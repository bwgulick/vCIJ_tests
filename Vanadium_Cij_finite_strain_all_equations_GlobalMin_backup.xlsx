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CE896924-5BA0-47EA-8DC8-6C7CA9B40FAD}" xr6:coauthVersionLast="47" xr6:coauthVersionMax="47" xr10:uidLastSave="{00000000-0000-0000-0000-000000000000}"/>
  <bookViews>
    <workbookView xWindow="28680" yWindow="-120" windowWidth="29040" windowHeight="15720" activeTab="2" xr2:uid="{5F35EC34-C410-40C3-9DB6-F447C7BA1DCF}"/>
  </bookViews>
  <sheets>
    <sheet name="Summary" sheetId="5" r:id="rId1"/>
    <sheet name="Cook updated" sheetId="6" r:id="rId2"/>
    <sheet name="FS No Vs 111" sheetId="1" r:id="rId3"/>
    <sheet name="FS No Vp 111" sheetId="2" r:id="rId4"/>
    <sheet name="FS No Vs 100" sheetId="3" r:id="rId5"/>
    <sheet name="FS No Vp 100" sheetId="4" r:id="rId6"/>
    <sheet name="Global Min" sheetId="7" r:id="rId7"/>
  </sheets>
  <definedNames>
    <definedName name="solver_adj" localSheetId="1" hidden="1">'Cook updated'!$AN$3:$AN$16,'Cook updated'!$AP$25:$AP$27,'Cook updated'!$AR$25:$AR$27</definedName>
    <definedName name="solver_adj" localSheetId="5" hidden="1">'FS No Vp 100'!$AS$26:$AS$28,'FS No Vp 100'!$AS$29:$AS$31</definedName>
    <definedName name="solver_adj" localSheetId="3" hidden="1">'FS No Vp 111'!$AQ$28:$AQ$30,'FS No Vp 111'!$AQ$31:$AQ$33</definedName>
    <definedName name="solver_adj" localSheetId="4" hidden="1">'FS No Vs 100'!$AQ$26:$AQ$28,'FS No Vs 100'!$AQ$29:$AQ$31</definedName>
    <definedName name="solver_adj" localSheetId="2" hidden="1">'FS No Vs 111'!$AP$26:$AP$28,'FS No Vs 111'!$AR$26:$AR$28</definedName>
    <definedName name="solver_adj" localSheetId="6" hidden="1">'Global Min'!$L$12:$M$17</definedName>
    <definedName name="solver_cvg" localSheetId="1" hidden="1">0.0001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cvg" localSheetId="2" hidden="1">0.0001</definedName>
    <definedName name="solver_cvg" localSheetId="6" hidden="1">0.0001</definedName>
    <definedName name="solver_drv" localSheetId="1" hidden="1">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drv" localSheetId="2" hidden="1">1</definedName>
    <definedName name="solver_drv" localSheetId="6" hidden="1">2</definedName>
    <definedName name="solver_eng" localSheetId="1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ng" localSheetId="2" hidden="1">1</definedName>
    <definedName name="solver_eng" localSheetId="6" hidden="1">1</definedName>
    <definedName name="solver_est" localSheetId="1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est" localSheetId="2" hidden="1">1</definedName>
    <definedName name="solver_est" localSheetId="6" hidden="1">1</definedName>
    <definedName name="solver_itr" localSheetId="1" hidden="1">2147483647</definedName>
    <definedName name="solver_itr" localSheetId="5" hidden="1">2147483647</definedName>
    <definedName name="solver_itr" localSheetId="3" hidden="1">2147483647</definedName>
    <definedName name="solver_itr" localSheetId="4" hidden="1">2147483647</definedName>
    <definedName name="solver_itr" localSheetId="2" hidden="1">2147483647</definedName>
    <definedName name="solver_itr" localSheetId="6" hidden="1">2147483647</definedName>
    <definedName name="solver_mip" localSheetId="1" hidden="1">2147483647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ip" localSheetId="2" hidden="1">2147483647</definedName>
    <definedName name="solver_mip" localSheetId="6" hidden="1">2147483647</definedName>
    <definedName name="solver_mni" localSheetId="1" hidden="1">30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ni" localSheetId="2" hidden="1">30</definedName>
    <definedName name="solver_mni" localSheetId="6" hidden="1">30</definedName>
    <definedName name="solver_mrt" localSheetId="1" hidden="1">0.075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rt" localSheetId="2" hidden="1">0.075</definedName>
    <definedName name="solver_mrt" localSheetId="6" hidden="1">0.075</definedName>
    <definedName name="solver_msl" localSheetId="1" hidden="1">2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msl" localSheetId="2" hidden="1">2</definedName>
    <definedName name="solver_msl" localSheetId="6" hidden="1">2</definedName>
    <definedName name="solver_neg" localSheetId="1" hidden="1">1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eg" localSheetId="2" hidden="1">1</definedName>
    <definedName name="solver_neg" localSheetId="6" hidden="1">1</definedName>
    <definedName name="solver_nod" localSheetId="1" hidden="1">2147483647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od" localSheetId="2" hidden="1">2147483647</definedName>
    <definedName name="solver_nod" localSheetId="6" hidden="1">2147483647</definedName>
    <definedName name="solver_num" localSheetId="1" hidden="1">0</definedName>
    <definedName name="solver_num" localSheetId="5" hidden="1">0</definedName>
    <definedName name="solver_num" localSheetId="3" hidden="1">0</definedName>
    <definedName name="solver_num" localSheetId="4" hidden="1">0</definedName>
    <definedName name="solver_num" localSheetId="2" hidden="1">0</definedName>
    <definedName name="solver_num" localSheetId="6" hidden="1">0</definedName>
    <definedName name="solver_nwt" localSheetId="1" hidden="1">1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nwt" localSheetId="2" hidden="1">1</definedName>
    <definedName name="solver_nwt" localSheetId="6" hidden="1">1</definedName>
    <definedName name="solver_opt" localSheetId="1" hidden="1">'Cook updated'!$AT$32</definedName>
    <definedName name="solver_opt" localSheetId="5" hidden="1">'FS No Vp 100'!$AS$32</definedName>
    <definedName name="solver_opt" localSheetId="3" hidden="1">'FS No Vp 111'!$AQ$34</definedName>
    <definedName name="solver_opt" localSheetId="4" hidden="1">'FS No Vs 100'!$AQ$32</definedName>
    <definedName name="solver_opt" localSheetId="2" hidden="1">'FS No Vs 111'!$AV$30</definedName>
    <definedName name="solver_opt" localSheetId="6" hidden="1">'Global Min'!$B$25</definedName>
    <definedName name="solver_pre" localSheetId="1" hidden="1">0.000001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pre" localSheetId="2" hidden="1">0.000001</definedName>
    <definedName name="solver_pre" localSheetId="6" hidden="1">0.000001</definedName>
    <definedName name="solver_rbv" localSheetId="1" hidden="1">2</definedName>
    <definedName name="solver_rbv" localSheetId="5" hidden="1">2</definedName>
    <definedName name="solver_rbv" localSheetId="3" hidden="1">2</definedName>
    <definedName name="solver_rbv" localSheetId="4" hidden="1">2</definedName>
    <definedName name="solver_rbv" localSheetId="2" hidden="1">2</definedName>
    <definedName name="solver_rbv" localSheetId="6" hidden="1">2</definedName>
    <definedName name="solver_rlx" localSheetId="1" hidden="1">2</definedName>
    <definedName name="solver_rlx" localSheetId="5" hidden="1">2</definedName>
    <definedName name="solver_rlx" localSheetId="3" hidden="1">2</definedName>
    <definedName name="solver_rlx" localSheetId="4" hidden="1">2</definedName>
    <definedName name="solver_rlx" localSheetId="2" hidden="1">2</definedName>
    <definedName name="solver_rlx" localSheetId="6" hidden="1">2</definedName>
    <definedName name="solver_rsd" localSheetId="1" hidden="1">0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rsd" localSheetId="2" hidden="1">0</definedName>
    <definedName name="solver_rsd" localSheetId="6" hidden="1">0</definedName>
    <definedName name="solver_scl" localSheetId="1" hidden="1">1</definedName>
    <definedName name="solver_scl" localSheetId="5" hidden="1">1</definedName>
    <definedName name="solver_scl" localSheetId="3" hidden="1">1</definedName>
    <definedName name="solver_scl" localSheetId="4" hidden="1">1</definedName>
    <definedName name="solver_scl" localSheetId="2" hidden="1">1</definedName>
    <definedName name="solver_scl" localSheetId="6" hidden="1">2</definedName>
    <definedName name="solver_sho" localSheetId="1" hidden="1">2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ho" localSheetId="2" hidden="1">2</definedName>
    <definedName name="solver_sho" localSheetId="6" hidden="1">2</definedName>
    <definedName name="solver_ssz" localSheetId="1" hidden="1">100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ssz" localSheetId="2" hidden="1">100</definedName>
    <definedName name="solver_ssz" localSheetId="6" hidden="1">100</definedName>
    <definedName name="solver_tim" localSheetId="1" hidden="1">2147483647</definedName>
    <definedName name="solver_tim" localSheetId="5" hidden="1">2147483647</definedName>
    <definedName name="solver_tim" localSheetId="3" hidden="1">2147483647</definedName>
    <definedName name="solver_tim" localSheetId="4" hidden="1">2147483647</definedName>
    <definedName name="solver_tim" localSheetId="2" hidden="1">2147483647</definedName>
    <definedName name="solver_tim" localSheetId="6" hidden="1">2147483647</definedName>
    <definedName name="solver_tol" localSheetId="1" hidden="1">0.01</definedName>
    <definedName name="solver_tol" localSheetId="5" hidden="1">0.01</definedName>
    <definedName name="solver_tol" localSheetId="3" hidden="1">0.01</definedName>
    <definedName name="solver_tol" localSheetId="4" hidden="1">0.01</definedName>
    <definedName name="solver_tol" localSheetId="2" hidden="1">0.01</definedName>
    <definedName name="solver_tol" localSheetId="6" hidden="1">0.01</definedName>
    <definedName name="solver_typ" localSheetId="1" hidden="1">2</definedName>
    <definedName name="solver_typ" localSheetId="5" hidden="1">2</definedName>
    <definedName name="solver_typ" localSheetId="3" hidden="1">2</definedName>
    <definedName name="solver_typ" localSheetId="4" hidden="1">2</definedName>
    <definedName name="solver_typ" localSheetId="2" hidden="1">2</definedName>
    <definedName name="solver_typ" localSheetId="6" hidden="1">2</definedName>
    <definedName name="solver_val" localSheetId="1" hidden="1">0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al" localSheetId="2" hidden="1">0</definedName>
    <definedName name="solver_val" localSheetId="6" hidden="1">0</definedName>
    <definedName name="solver_ver" localSheetId="1" hidden="1">3</definedName>
    <definedName name="solver_ver" localSheetId="5" hidden="1">3</definedName>
    <definedName name="solver_ver" localSheetId="3" hidden="1">3</definedName>
    <definedName name="solver_ver" localSheetId="4" hidden="1">3</definedName>
    <definedName name="solver_ver" localSheetId="2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26" i="4" l="1"/>
  <c r="BH27" i="4"/>
  <c r="E6" i="7" s="1"/>
  <c r="BH28" i="4"/>
  <c r="BH29" i="4"/>
  <c r="E8" i="7" s="1"/>
  <c r="BH30" i="4"/>
  <c r="E9" i="7" s="1"/>
  <c r="BH25" i="4"/>
  <c r="E4" i="7" s="1"/>
  <c r="BF26" i="3"/>
  <c r="D5" i="7" s="1"/>
  <c r="BF27" i="3"/>
  <c r="D6" i="7" s="1"/>
  <c r="BF28" i="3"/>
  <c r="D7" i="7" s="1"/>
  <c r="BF29" i="3"/>
  <c r="D8" i="7" s="1"/>
  <c r="BF30" i="3"/>
  <c r="D9" i="7" s="1"/>
  <c r="BF25" i="3"/>
  <c r="D4" i="7" s="1"/>
  <c r="BG26" i="1"/>
  <c r="B5" i="7" s="1"/>
  <c r="BG27" i="1"/>
  <c r="B6" i="7" s="1"/>
  <c r="BG28" i="1"/>
  <c r="B7" i="7" s="1"/>
  <c r="BG29" i="1"/>
  <c r="B8" i="7" s="1"/>
  <c r="BG30" i="1"/>
  <c r="B9" i="7" s="1"/>
  <c r="BG25" i="1"/>
  <c r="B4" i="7" s="1"/>
  <c r="BC26" i="2"/>
  <c r="C5" i="7" s="1"/>
  <c r="BC27" i="2"/>
  <c r="C6" i="7" s="1"/>
  <c r="BC28" i="2"/>
  <c r="C7" i="7" s="1"/>
  <c r="BC29" i="2"/>
  <c r="C8" i="7" s="1"/>
  <c r="BC30" i="2"/>
  <c r="C9" i="7" s="1"/>
  <c r="BC25" i="2"/>
  <c r="C4" i="7" s="1"/>
  <c r="AR27" i="1"/>
  <c r="F8" i="7" s="1"/>
  <c r="AR28" i="1"/>
  <c r="F9" i="7" s="1"/>
  <c r="AR26" i="1"/>
  <c r="F7" i="7" s="1"/>
  <c r="AP27" i="1"/>
  <c r="F5" i="7" s="1"/>
  <c r="AP28" i="1"/>
  <c r="F6" i="7" s="1"/>
  <c r="AP26" i="1"/>
  <c r="AS27" i="4"/>
  <c r="I5" i="7" s="1"/>
  <c r="AS28" i="4"/>
  <c r="I6" i="7" s="1"/>
  <c r="AS29" i="4"/>
  <c r="I7" i="7" s="1"/>
  <c r="AS30" i="4"/>
  <c r="I8" i="7" s="1"/>
  <c r="AS31" i="4"/>
  <c r="I9" i="7" s="1"/>
  <c r="AS26" i="4"/>
  <c r="I4" i="7" s="1"/>
  <c r="AQ27" i="3"/>
  <c r="H5" i="7" s="1"/>
  <c r="AQ28" i="3"/>
  <c r="H6" i="7" s="1"/>
  <c r="AQ29" i="3"/>
  <c r="H7" i="7" s="1"/>
  <c r="AQ30" i="3"/>
  <c r="H8" i="7" s="1"/>
  <c r="AQ31" i="3"/>
  <c r="H9" i="7" s="1"/>
  <c r="AQ26" i="3"/>
  <c r="AQ29" i="2"/>
  <c r="G5" i="7" s="1"/>
  <c r="AQ30" i="2"/>
  <c r="G6" i="7" s="1"/>
  <c r="AQ31" i="2"/>
  <c r="AQ32" i="2"/>
  <c r="G8" i="7" s="1"/>
  <c r="AQ33" i="2"/>
  <c r="G9" i="7" s="1"/>
  <c r="AQ28" i="2"/>
  <c r="G4" i="7" s="1"/>
  <c r="E5" i="7"/>
  <c r="B52" i="4"/>
  <c r="C44" i="4"/>
  <c r="B39" i="4"/>
  <c r="C43" i="4" s="1"/>
  <c r="C37" i="4"/>
  <c r="C35" i="4"/>
  <c r="AK32" i="4"/>
  <c r="AK31" i="4"/>
  <c r="AK30" i="4"/>
  <c r="B30" i="4"/>
  <c r="C34" i="4" s="1"/>
  <c r="AK29" i="4"/>
  <c r="K29" i="4"/>
  <c r="AK28" i="4"/>
  <c r="X28" i="4"/>
  <c r="V25" i="4"/>
  <c r="M25" i="4"/>
  <c r="F25" i="4"/>
  <c r="E25" i="4"/>
  <c r="BR23" i="4"/>
  <c r="BO23" i="4"/>
  <c r="BI23" i="4"/>
  <c r="BG23" i="4"/>
  <c r="BE23" i="4"/>
  <c r="BN23" i="4" s="1"/>
  <c r="BQ23" i="4" s="1"/>
  <c r="BD23" i="4"/>
  <c r="BM23" i="4" s="1"/>
  <c r="N23" i="4"/>
  <c r="O23" i="4" s="1"/>
  <c r="I23" i="4"/>
  <c r="H23" i="4"/>
  <c r="J23" i="4" s="1"/>
  <c r="K23" i="4" s="1"/>
  <c r="BO22" i="4"/>
  <c r="BR22" i="4" s="1"/>
  <c r="BM22" i="4"/>
  <c r="BI22" i="4"/>
  <c r="BQ22" i="4" s="1"/>
  <c r="BG22" i="4"/>
  <c r="BE22" i="4"/>
  <c r="BN22" i="4" s="1"/>
  <c r="BD22" i="4"/>
  <c r="N22" i="4"/>
  <c r="O22" i="4" s="1"/>
  <c r="J22" i="4"/>
  <c r="I22" i="4"/>
  <c r="H22" i="4"/>
  <c r="BP21" i="4"/>
  <c r="BO21" i="4"/>
  <c r="BR21" i="4" s="1"/>
  <c r="BI21" i="4"/>
  <c r="BG21" i="4"/>
  <c r="BE21" i="4"/>
  <c r="BN21" i="4" s="1"/>
  <c r="BQ21" i="4" s="1"/>
  <c r="BD21" i="4"/>
  <c r="BM21" i="4" s="1"/>
  <c r="N21" i="4"/>
  <c r="O21" i="4" s="1"/>
  <c r="I21" i="4"/>
  <c r="H21" i="4"/>
  <c r="J21" i="4" s="1"/>
  <c r="BO20" i="4"/>
  <c r="BM20" i="4"/>
  <c r="BI20" i="4"/>
  <c r="BG20" i="4"/>
  <c r="BE20" i="4"/>
  <c r="BN20" i="4" s="1"/>
  <c r="BD20" i="4"/>
  <c r="N20" i="4"/>
  <c r="I20" i="4"/>
  <c r="H20" i="4"/>
  <c r="J20" i="4" s="1"/>
  <c r="K20" i="4" s="1"/>
  <c r="BR19" i="4"/>
  <c r="BO19" i="4"/>
  <c r="BM19" i="4"/>
  <c r="BP19" i="4" s="1"/>
  <c r="BI19" i="4"/>
  <c r="BG19" i="4"/>
  <c r="BE19" i="4"/>
  <c r="BN19" i="4" s="1"/>
  <c r="BD19" i="4"/>
  <c r="O19" i="4"/>
  <c r="N19" i="4"/>
  <c r="O18" i="4" s="1"/>
  <c r="J19" i="4"/>
  <c r="I19" i="4"/>
  <c r="H19" i="4"/>
  <c r="BO18" i="4"/>
  <c r="BM18" i="4"/>
  <c r="BI18" i="4"/>
  <c r="BG18" i="4"/>
  <c r="BE18" i="4"/>
  <c r="BN18" i="4" s="1"/>
  <c r="BD18" i="4"/>
  <c r="N18" i="4"/>
  <c r="I18" i="4"/>
  <c r="H18" i="4"/>
  <c r="J18" i="4" s="1"/>
  <c r="BP17" i="4"/>
  <c r="BO17" i="4"/>
  <c r="BN17" i="4"/>
  <c r="BM17" i="4"/>
  <c r="BI17" i="4"/>
  <c r="BR17" i="4" s="1"/>
  <c r="BG17" i="4"/>
  <c r="BE17" i="4"/>
  <c r="BD17" i="4"/>
  <c r="N17" i="4"/>
  <c r="O17" i="4" s="1"/>
  <c r="J17" i="4"/>
  <c r="K17" i="4" s="1"/>
  <c r="I17" i="4"/>
  <c r="H17" i="4"/>
  <c r="BQ16" i="4"/>
  <c r="BP16" i="4"/>
  <c r="BO16" i="4"/>
  <c r="BI16" i="4"/>
  <c r="BR16" i="4" s="1"/>
  <c r="BG16" i="4"/>
  <c r="BE16" i="4"/>
  <c r="BN16" i="4" s="1"/>
  <c r="BD16" i="4"/>
  <c r="BM16" i="4" s="1"/>
  <c r="O16" i="4"/>
  <c r="N16" i="4"/>
  <c r="I16" i="4"/>
  <c r="H16" i="4"/>
  <c r="J16" i="4" s="1"/>
  <c r="BO15" i="4"/>
  <c r="BN15" i="4"/>
  <c r="BM15" i="4"/>
  <c r="BI15" i="4"/>
  <c r="BG15" i="4"/>
  <c r="BE15" i="4"/>
  <c r="BD15" i="4"/>
  <c r="N15" i="4"/>
  <c r="O15" i="4" s="1"/>
  <c r="J15" i="4"/>
  <c r="K15" i="4" s="1"/>
  <c r="I15" i="4"/>
  <c r="H15" i="4"/>
  <c r="BR14" i="4"/>
  <c r="BP14" i="4"/>
  <c r="BO14" i="4"/>
  <c r="BI14" i="4"/>
  <c r="BG14" i="4"/>
  <c r="BE14" i="4"/>
  <c r="BN14" i="4" s="1"/>
  <c r="BQ14" i="4" s="1"/>
  <c r="BD14" i="4"/>
  <c r="BM14" i="4" s="1"/>
  <c r="N14" i="4"/>
  <c r="O14" i="4" s="1"/>
  <c r="K14" i="4"/>
  <c r="I14" i="4"/>
  <c r="H14" i="4"/>
  <c r="J14" i="4" s="1"/>
  <c r="BO13" i="4"/>
  <c r="BN13" i="4"/>
  <c r="BM13" i="4"/>
  <c r="BI13" i="4"/>
  <c r="BG13" i="4"/>
  <c r="BE13" i="4"/>
  <c r="BD13" i="4"/>
  <c r="N13" i="4"/>
  <c r="I13" i="4"/>
  <c r="H13" i="4"/>
  <c r="J13" i="4" s="1"/>
  <c r="K13" i="4" s="1"/>
  <c r="BR12" i="4"/>
  <c r="BP12" i="4"/>
  <c r="BO12" i="4"/>
  <c r="BN12" i="4"/>
  <c r="BQ12" i="4" s="1"/>
  <c r="BI12" i="4"/>
  <c r="BG12" i="4"/>
  <c r="BE12" i="4"/>
  <c r="BD12" i="4"/>
  <c r="BM12" i="4" s="1"/>
  <c r="N12" i="4"/>
  <c r="O12" i="4" s="1"/>
  <c r="I12" i="4"/>
  <c r="H12" i="4"/>
  <c r="J12" i="4" s="1"/>
  <c r="BQ11" i="4"/>
  <c r="BO11" i="4"/>
  <c r="BR11" i="4" s="1"/>
  <c r="BM11" i="4"/>
  <c r="BI11" i="4"/>
  <c r="BG11" i="4"/>
  <c r="BE11" i="4"/>
  <c r="BN11" i="4" s="1"/>
  <c r="BD11" i="4"/>
  <c r="N11" i="4"/>
  <c r="J11" i="4"/>
  <c r="K11" i="4" s="1"/>
  <c r="I11" i="4"/>
  <c r="H11" i="4"/>
  <c r="BR10" i="4"/>
  <c r="BP10" i="4"/>
  <c r="BO10" i="4"/>
  <c r="BM10" i="4"/>
  <c r="BI10" i="4"/>
  <c r="BQ10" i="4" s="1"/>
  <c r="BG10" i="4"/>
  <c r="BH10" i="4" s="1"/>
  <c r="BK10" i="4" s="1"/>
  <c r="BE10" i="4"/>
  <c r="BN10" i="4" s="1"/>
  <c r="BD10" i="4"/>
  <c r="N10" i="4"/>
  <c r="I10" i="4"/>
  <c r="H10" i="4"/>
  <c r="J10" i="4" s="1"/>
  <c r="BO9" i="4"/>
  <c r="BN9" i="4"/>
  <c r="BM9" i="4"/>
  <c r="BI9" i="4"/>
  <c r="BG9" i="4"/>
  <c r="BE9" i="4"/>
  <c r="BD9" i="4"/>
  <c r="O9" i="4"/>
  <c r="N9" i="4"/>
  <c r="J9" i="4"/>
  <c r="K9" i="4" s="1"/>
  <c r="I9" i="4"/>
  <c r="H9" i="4"/>
  <c r="BR8" i="4"/>
  <c r="BO8" i="4"/>
  <c r="BI8" i="4"/>
  <c r="BP8" i="4" s="1"/>
  <c r="BG8" i="4"/>
  <c r="BE8" i="4"/>
  <c r="BN8" i="4" s="1"/>
  <c r="BQ8" i="4" s="1"/>
  <c r="BD8" i="4"/>
  <c r="BM8" i="4" s="1"/>
  <c r="O8" i="4"/>
  <c r="N8" i="4"/>
  <c r="I8" i="4"/>
  <c r="H8" i="4"/>
  <c r="J8" i="4" s="1"/>
  <c r="K8" i="4" s="1"/>
  <c r="BO7" i="4"/>
  <c r="BN7" i="4"/>
  <c r="BI7" i="4"/>
  <c r="BG7" i="4"/>
  <c r="BE7" i="4"/>
  <c r="BD7" i="4"/>
  <c r="BM7" i="4" s="1"/>
  <c r="N7" i="4"/>
  <c r="O7" i="4" s="1"/>
  <c r="I7" i="4"/>
  <c r="H7" i="4"/>
  <c r="J7" i="4" s="1"/>
  <c r="K7" i="4" s="1"/>
  <c r="BS6" i="4"/>
  <c r="BP6" i="4"/>
  <c r="BO6" i="4"/>
  <c r="BR6" i="4" s="1"/>
  <c r="BN6" i="4"/>
  <c r="BQ6" i="4" s="1"/>
  <c r="BI6" i="4"/>
  <c r="BG6" i="4"/>
  <c r="BE6" i="4"/>
  <c r="BD6" i="4"/>
  <c r="BM6" i="4" s="1"/>
  <c r="O6" i="4"/>
  <c r="N6" i="4"/>
  <c r="I6" i="4"/>
  <c r="H6" i="4"/>
  <c r="J6" i="4" s="1"/>
  <c r="BQ5" i="4"/>
  <c r="BO5" i="4"/>
  <c r="BI5" i="4"/>
  <c r="BG5" i="4"/>
  <c r="BE5" i="4"/>
  <c r="BN5" i="4" s="1"/>
  <c r="BD5" i="4"/>
  <c r="BM5" i="4" s="1"/>
  <c r="N5" i="4"/>
  <c r="O5" i="4" s="1"/>
  <c r="I5" i="4"/>
  <c r="H5" i="4"/>
  <c r="J5" i="4" s="1"/>
  <c r="K5" i="4" s="1"/>
  <c r="BR4" i="4"/>
  <c r="BO4" i="4"/>
  <c r="BI4" i="4"/>
  <c r="BG4" i="4"/>
  <c r="BH4" i="4" s="1"/>
  <c r="BK4" i="4" s="1"/>
  <c r="BE4" i="4"/>
  <c r="BN4" i="4" s="1"/>
  <c r="BQ4" i="4" s="1"/>
  <c r="BD4" i="4"/>
  <c r="BM4" i="4" s="1"/>
  <c r="BP4" i="4" s="1"/>
  <c r="O4" i="4"/>
  <c r="N4" i="4"/>
  <c r="I4" i="4"/>
  <c r="H4" i="4"/>
  <c r="J4" i="4" s="1"/>
  <c r="BO3" i="4"/>
  <c r="BN3" i="4"/>
  <c r="BM3" i="4"/>
  <c r="BI3" i="4"/>
  <c r="BG3" i="4"/>
  <c r="BE3" i="4"/>
  <c r="BD3" i="4"/>
  <c r="N3" i="4"/>
  <c r="O3" i="4" s="1"/>
  <c r="P4" i="4" s="1"/>
  <c r="I3" i="4"/>
  <c r="H3" i="4"/>
  <c r="J3" i="4" s="1"/>
  <c r="BQ2" i="4"/>
  <c r="BO2" i="4"/>
  <c r="BR2" i="4" s="1"/>
  <c r="BN2" i="4"/>
  <c r="BG2" i="4"/>
  <c r="BE2" i="4"/>
  <c r="BD2" i="4"/>
  <c r="BM2" i="4" s="1"/>
  <c r="BP2" i="4" s="1"/>
  <c r="BS2" i="4" s="1"/>
  <c r="AN2" i="4"/>
  <c r="AO2" i="4" s="1"/>
  <c r="AE2" i="4"/>
  <c r="Z2" i="4"/>
  <c r="Y2" i="4"/>
  <c r="V2" i="4"/>
  <c r="T2" i="4"/>
  <c r="U2" i="4" s="1"/>
  <c r="R2" i="4"/>
  <c r="S2" i="4" s="1"/>
  <c r="O2" i="4"/>
  <c r="P7" i="4" s="1"/>
  <c r="N2" i="4"/>
  <c r="L2" i="4"/>
  <c r="I2" i="4"/>
  <c r="H2" i="4"/>
  <c r="B52" i="3"/>
  <c r="C44" i="3"/>
  <c r="C43" i="3"/>
  <c r="B43" i="3"/>
  <c r="B39" i="3"/>
  <c r="C37" i="3"/>
  <c r="C35" i="3"/>
  <c r="C34" i="3"/>
  <c r="AI31" i="3"/>
  <c r="AI30" i="3"/>
  <c r="B30" i="3"/>
  <c r="AI29" i="3"/>
  <c r="AI28" i="3"/>
  <c r="X28" i="3"/>
  <c r="V25" i="3"/>
  <c r="M25" i="3"/>
  <c r="F25" i="3"/>
  <c r="E25" i="3"/>
  <c r="BM23" i="3"/>
  <c r="BL23" i="3"/>
  <c r="BO23" i="3" s="1"/>
  <c r="BK23" i="3"/>
  <c r="BN23" i="3" s="1"/>
  <c r="BG23" i="3"/>
  <c r="BE23" i="3"/>
  <c r="BC23" i="3"/>
  <c r="BB23" i="3"/>
  <c r="N23" i="3"/>
  <c r="O23" i="3" s="1"/>
  <c r="I23" i="3"/>
  <c r="H23" i="3"/>
  <c r="J23" i="3" s="1"/>
  <c r="K23" i="3" s="1"/>
  <c r="BP22" i="3"/>
  <c r="BM22" i="3"/>
  <c r="BG22" i="3"/>
  <c r="BO22" i="3" s="1"/>
  <c r="BE22" i="3"/>
  <c r="BC22" i="3"/>
  <c r="BL22" i="3" s="1"/>
  <c r="BB22" i="3"/>
  <c r="BK22" i="3" s="1"/>
  <c r="O22" i="3"/>
  <c r="N22" i="3"/>
  <c r="I22" i="3"/>
  <c r="J22" i="3" s="1"/>
  <c r="H22" i="3"/>
  <c r="BM21" i="3"/>
  <c r="BK21" i="3"/>
  <c r="BG21" i="3"/>
  <c r="BE21" i="3"/>
  <c r="BC21" i="3"/>
  <c r="BL21" i="3" s="1"/>
  <c r="BB21" i="3"/>
  <c r="N21" i="3"/>
  <c r="O21" i="3" s="1"/>
  <c r="I21" i="3"/>
  <c r="H21" i="3"/>
  <c r="J21" i="3" s="1"/>
  <c r="K21" i="3" s="1"/>
  <c r="BO20" i="3"/>
  <c r="BM20" i="3"/>
  <c r="BL20" i="3"/>
  <c r="BG20" i="3"/>
  <c r="BE20" i="3"/>
  <c r="BC20" i="3"/>
  <c r="BB20" i="3"/>
  <c r="BK20" i="3" s="1"/>
  <c r="N20" i="3"/>
  <c r="O20" i="3" s="1"/>
  <c r="I20" i="3"/>
  <c r="H20" i="3"/>
  <c r="J20" i="3" s="1"/>
  <c r="BM19" i="3"/>
  <c r="BG19" i="3"/>
  <c r="BP19" i="3" s="1"/>
  <c r="BE19" i="3"/>
  <c r="BC19" i="3"/>
  <c r="BL19" i="3" s="1"/>
  <c r="BB19" i="3"/>
  <c r="BK19" i="3" s="1"/>
  <c r="BN19" i="3" s="1"/>
  <c r="N19" i="3"/>
  <c r="O19" i="3" s="1"/>
  <c r="I19" i="3"/>
  <c r="H19" i="3"/>
  <c r="J19" i="3" s="1"/>
  <c r="BN18" i="3"/>
  <c r="BM18" i="3"/>
  <c r="BL18" i="3"/>
  <c r="BK18" i="3"/>
  <c r="BG18" i="3"/>
  <c r="BE18" i="3"/>
  <c r="BC18" i="3"/>
  <c r="BB18" i="3"/>
  <c r="N18" i="3"/>
  <c r="O18" i="3" s="1"/>
  <c r="J18" i="3"/>
  <c r="K18" i="3" s="1"/>
  <c r="I18" i="3"/>
  <c r="H18" i="3"/>
  <c r="BO17" i="3"/>
  <c r="BM17" i="3"/>
  <c r="BL17" i="3"/>
  <c r="BG17" i="3"/>
  <c r="BP17" i="3" s="1"/>
  <c r="BE17" i="3"/>
  <c r="BC17" i="3"/>
  <c r="BB17" i="3"/>
  <c r="BK17" i="3" s="1"/>
  <c r="N17" i="3"/>
  <c r="O17" i="3" s="1"/>
  <c r="I17" i="3"/>
  <c r="H17" i="3"/>
  <c r="J17" i="3" s="1"/>
  <c r="K17" i="3" s="1"/>
  <c r="BM16" i="3"/>
  <c r="BK16" i="3"/>
  <c r="BN16" i="3" s="1"/>
  <c r="BG16" i="3"/>
  <c r="BE16" i="3"/>
  <c r="BC16" i="3"/>
  <c r="BL16" i="3" s="1"/>
  <c r="BO16" i="3" s="1"/>
  <c r="BB16" i="3"/>
  <c r="N16" i="3"/>
  <c r="O16" i="3" s="1"/>
  <c r="I16" i="3"/>
  <c r="J16" i="3" s="1"/>
  <c r="K16" i="3" s="1"/>
  <c r="H16" i="3"/>
  <c r="BO15" i="3"/>
  <c r="BQ15" i="3" s="1"/>
  <c r="BR15" i="3" s="1"/>
  <c r="BN15" i="3"/>
  <c r="BM15" i="3"/>
  <c r="BK15" i="3"/>
  <c r="BG15" i="3"/>
  <c r="BP15" i="3" s="1"/>
  <c r="BE15" i="3"/>
  <c r="BC15" i="3"/>
  <c r="BL15" i="3" s="1"/>
  <c r="BB15" i="3"/>
  <c r="N15" i="3"/>
  <c r="O15" i="3" s="1"/>
  <c r="J15" i="3"/>
  <c r="I15" i="3"/>
  <c r="H15" i="3"/>
  <c r="BM14" i="3"/>
  <c r="BL14" i="3"/>
  <c r="BK14" i="3"/>
  <c r="BG14" i="3"/>
  <c r="BF14" i="3"/>
  <c r="BI14" i="3" s="1"/>
  <c r="BE14" i="3"/>
  <c r="BC14" i="3"/>
  <c r="BB14" i="3"/>
  <c r="N14" i="3"/>
  <c r="O14" i="3" s="1"/>
  <c r="J14" i="3"/>
  <c r="I14" i="3"/>
  <c r="H14" i="3"/>
  <c r="BM13" i="3"/>
  <c r="BG13" i="3"/>
  <c r="BE13" i="3"/>
  <c r="BC13" i="3"/>
  <c r="BL13" i="3" s="1"/>
  <c r="BB13" i="3"/>
  <c r="BK13" i="3" s="1"/>
  <c r="N13" i="3"/>
  <c r="O13" i="3" s="1"/>
  <c r="I13" i="3"/>
  <c r="J13" i="3" s="1"/>
  <c r="K13" i="3" s="1"/>
  <c r="H13" i="3"/>
  <c r="BM12" i="3"/>
  <c r="BG12" i="3"/>
  <c r="BP12" i="3" s="1"/>
  <c r="BE12" i="3"/>
  <c r="BC12" i="3"/>
  <c r="BL12" i="3" s="1"/>
  <c r="BO12" i="3" s="1"/>
  <c r="BB12" i="3"/>
  <c r="BK12" i="3" s="1"/>
  <c r="BN12" i="3" s="1"/>
  <c r="N12" i="3"/>
  <c r="I12" i="3"/>
  <c r="H12" i="3"/>
  <c r="J12" i="3" s="1"/>
  <c r="BM11" i="3"/>
  <c r="BL11" i="3"/>
  <c r="BG11" i="3"/>
  <c r="BE11" i="3"/>
  <c r="BC11" i="3"/>
  <c r="BB11" i="3"/>
  <c r="BK11" i="3" s="1"/>
  <c r="N11" i="3"/>
  <c r="O11" i="3" s="1"/>
  <c r="I11" i="3"/>
  <c r="H11" i="3"/>
  <c r="J11" i="3" s="1"/>
  <c r="BM10" i="3"/>
  <c r="BK10" i="3"/>
  <c r="BG10" i="3"/>
  <c r="BE10" i="3"/>
  <c r="BC10" i="3"/>
  <c r="BL10" i="3" s="1"/>
  <c r="BB10" i="3"/>
  <c r="N10" i="3"/>
  <c r="I10" i="3"/>
  <c r="H10" i="3"/>
  <c r="J10" i="3" s="1"/>
  <c r="BN9" i="3"/>
  <c r="BM9" i="3"/>
  <c r="BL9" i="3"/>
  <c r="BK9" i="3"/>
  <c r="BG9" i="3"/>
  <c r="BP9" i="3" s="1"/>
  <c r="BE9" i="3"/>
  <c r="BC9" i="3"/>
  <c r="BB9" i="3"/>
  <c r="N9" i="3"/>
  <c r="O9" i="3" s="1"/>
  <c r="I9" i="3"/>
  <c r="J9" i="3" s="1"/>
  <c r="H9" i="3"/>
  <c r="BP8" i="3"/>
  <c r="BN8" i="3"/>
  <c r="BM8" i="3"/>
  <c r="BG8" i="3"/>
  <c r="BE8" i="3"/>
  <c r="BC8" i="3"/>
  <c r="BL8" i="3" s="1"/>
  <c r="BO8" i="3" s="1"/>
  <c r="BQ8" i="3" s="1"/>
  <c r="BR8" i="3" s="1"/>
  <c r="BB8" i="3"/>
  <c r="BK8" i="3" s="1"/>
  <c r="O8" i="3"/>
  <c r="N8" i="3"/>
  <c r="I8" i="3"/>
  <c r="H8" i="3"/>
  <c r="BP7" i="3"/>
  <c r="BM7" i="3"/>
  <c r="BG7" i="3"/>
  <c r="BE7" i="3"/>
  <c r="BC7" i="3"/>
  <c r="BL7" i="3" s="1"/>
  <c r="BB7" i="3"/>
  <c r="BK7" i="3" s="1"/>
  <c r="O7" i="3"/>
  <c r="N7" i="3"/>
  <c r="I7" i="3"/>
  <c r="H7" i="3"/>
  <c r="J7" i="3" s="1"/>
  <c r="BM6" i="3"/>
  <c r="BL6" i="3"/>
  <c r="BK6" i="3"/>
  <c r="BN6" i="3" s="1"/>
  <c r="BG6" i="3"/>
  <c r="BP6" i="3" s="1"/>
  <c r="BE6" i="3"/>
  <c r="BC6" i="3"/>
  <c r="BB6" i="3"/>
  <c r="N6" i="3"/>
  <c r="O6" i="3" s="1"/>
  <c r="J6" i="3"/>
  <c r="K6" i="3" s="1"/>
  <c r="I6" i="3"/>
  <c r="H6" i="3"/>
  <c r="BP5" i="3"/>
  <c r="BM5" i="3"/>
  <c r="BL5" i="3"/>
  <c r="BO5" i="3" s="1"/>
  <c r="BQ5" i="3" s="1"/>
  <c r="BR5" i="3" s="1"/>
  <c r="BG5" i="3"/>
  <c r="BE5" i="3"/>
  <c r="BC5" i="3"/>
  <c r="BB5" i="3"/>
  <c r="BK5" i="3" s="1"/>
  <c r="BN5" i="3" s="1"/>
  <c r="N5" i="3"/>
  <c r="J5" i="3"/>
  <c r="I5" i="3"/>
  <c r="H5" i="3"/>
  <c r="BM4" i="3"/>
  <c r="BG4" i="3"/>
  <c r="BE4" i="3"/>
  <c r="BC4" i="3"/>
  <c r="BL4" i="3" s="1"/>
  <c r="BB4" i="3"/>
  <c r="BK4" i="3" s="1"/>
  <c r="N4" i="3"/>
  <c r="I4" i="3"/>
  <c r="H4" i="3"/>
  <c r="BN3" i="3"/>
  <c r="BM3" i="3"/>
  <c r="BL3" i="3"/>
  <c r="BK3" i="3"/>
  <c r="BG3" i="3"/>
  <c r="BE3" i="3"/>
  <c r="BC3" i="3"/>
  <c r="BB3" i="3"/>
  <c r="N3" i="3"/>
  <c r="O3" i="3" s="1"/>
  <c r="J3" i="3"/>
  <c r="I3" i="3"/>
  <c r="H3" i="3"/>
  <c r="BP2" i="3"/>
  <c r="BO2" i="3"/>
  <c r="BM2" i="3"/>
  <c r="BL2" i="3"/>
  <c r="BK2" i="3"/>
  <c r="BN2" i="3" s="1"/>
  <c r="BE2" i="3"/>
  <c r="BC2" i="3"/>
  <c r="BB2" i="3"/>
  <c r="AM2" i="3"/>
  <c r="AL2" i="3"/>
  <c r="AE2" i="3"/>
  <c r="Y2" i="3" s="1"/>
  <c r="Z2" i="3"/>
  <c r="X2" i="3"/>
  <c r="V2" i="3"/>
  <c r="T2" i="3"/>
  <c r="U2" i="3" s="1"/>
  <c r="S2" i="3"/>
  <c r="R2" i="3"/>
  <c r="N2" i="3"/>
  <c r="O2" i="3" s="1"/>
  <c r="P3" i="3" s="1"/>
  <c r="L2" i="3"/>
  <c r="I2" i="3"/>
  <c r="H2" i="3"/>
  <c r="AC2" i="3" s="1"/>
  <c r="B52" i="2"/>
  <c r="C44" i="2"/>
  <c r="C43" i="2"/>
  <c r="B43" i="2" s="1"/>
  <c r="B39" i="2"/>
  <c r="C37" i="2"/>
  <c r="C35" i="2"/>
  <c r="B34" i="2" s="1"/>
  <c r="B30" i="2"/>
  <c r="C34" i="2" s="1"/>
  <c r="K29" i="2" s="1"/>
  <c r="X28" i="2"/>
  <c r="D27" i="2"/>
  <c r="V25" i="2"/>
  <c r="M25" i="2"/>
  <c r="F25" i="2"/>
  <c r="E25" i="2"/>
  <c r="BR23" i="2"/>
  <c r="BQ23" i="2"/>
  <c r="BS23" i="2" s="1"/>
  <c r="BO23" i="2"/>
  <c r="BN23" i="2"/>
  <c r="BM23" i="2"/>
  <c r="BP23" i="2" s="1"/>
  <c r="BI23" i="2"/>
  <c r="BH23" i="2"/>
  <c r="BK23" i="2" s="1"/>
  <c r="BG23" i="2"/>
  <c r="BE23" i="2"/>
  <c r="BD23" i="2"/>
  <c r="N23" i="2"/>
  <c r="O23" i="2" s="1"/>
  <c r="J23" i="2"/>
  <c r="I23" i="2"/>
  <c r="H23" i="2"/>
  <c r="BO22" i="2"/>
  <c r="BR22" i="2" s="1"/>
  <c r="BS22" i="2" s="1"/>
  <c r="BN22" i="2"/>
  <c r="BI22" i="2"/>
  <c r="BQ22" i="2" s="1"/>
  <c r="BG22" i="2"/>
  <c r="BE22" i="2"/>
  <c r="BM22" i="2" s="1"/>
  <c r="BP22" i="2" s="1"/>
  <c r="BD22" i="2"/>
  <c r="O22" i="2"/>
  <c r="N22" i="2"/>
  <c r="I22" i="2"/>
  <c r="J22" i="2" s="1"/>
  <c r="K22" i="2" s="1"/>
  <c r="H22" i="2"/>
  <c r="BO21" i="2"/>
  <c r="BN21" i="2"/>
  <c r="BI21" i="2"/>
  <c r="BH21" i="2"/>
  <c r="BK21" i="2" s="1"/>
  <c r="BG21" i="2"/>
  <c r="BE21" i="2"/>
  <c r="BM21" i="2" s="1"/>
  <c r="BD21" i="2"/>
  <c r="N21" i="2"/>
  <c r="O21" i="2" s="1"/>
  <c r="I21" i="2"/>
  <c r="J21" i="2" s="1"/>
  <c r="H21" i="2"/>
  <c r="BR20" i="2"/>
  <c r="BO20" i="2"/>
  <c r="BN20" i="2"/>
  <c r="BQ20" i="2" s="1"/>
  <c r="BM20" i="2"/>
  <c r="BP20" i="2" s="1"/>
  <c r="BI20" i="2"/>
  <c r="BG20" i="2"/>
  <c r="BE20" i="2"/>
  <c r="BD20" i="2"/>
  <c r="N20" i="2"/>
  <c r="K20" i="2"/>
  <c r="J20" i="2"/>
  <c r="K21" i="2" s="1"/>
  <c r="I20" i="2"/>
  <c r="H20" i="2"/>
  <c r="BP19" i="2"/>
  <c r="BO19" i="2"/>
  <c r="BN19" i="2"/>
  <c r="BI19" i="2"/>
  <c r="BQ19" i="2" s="1"/>
  <c r="BG19" i="2"/>
  <c r="BE19" i="2"/>
  <c r="BM19" i="2" s="1"/>
  <c r="BD19" i="2"/>
  <c r="O19" i="2"/>
  <c r="N19" i="2"/>
  <c r="J19" i="2"/>
  <c r="K19" i="2" s="1"/>
  <c r="I19" i="2"/>
  <c r="H19" i="2"/>
  <c r="BP18" i="2"/>
  <c r="BO18" i="2"/>
  <c r="BR18" i="2" s="1"/>
  <c r="BN18" i="2"/>
  <c r="BQ18" i="2" s="1"/>
  <c r="BS18" i="2" s="1"/>
  <c r="BI18" i="2"/>
  <c r="BG18" i="2"/>
  <c r="BE18" i="2"/>
  <c r="BM18" i="2" s="1"/>
  <c r="BD18" i="2"/>
  <c r="N18" i="2"/>
  <c r="O18" i="2" s="1"/>
  <c r="I18" i="2"/>
  <c r="J18" i="2" s="1"/>
  <c r="K18" i="2" s="1"/>
  <c r="H18" i="2"/>
  <c r="BR17" i="2"/>
  <c r="BQ17" i="2"/>
  <c r="BS17" i="2" s="1"/>
  <c r="BO17" i="2"/>
  <c r="BN17" i="2"/>
  <c r="BI17" i="2"/>
  <c r="BH17" i="2"/>
  <c r="BK17" i="2" s="1"/>
  <c r="BG17" i="2"/>
  <c r="BE17" i="2"/>
  <c r="BM17" i="2" s="1"/>
  <c r="BP17" i="2" s="1"/>
  <c r="BD17" i="2"/>
  <c r="N17" i="2"/>
  <c r="J17" i="2"/>
  <c r="K17" i="2" s="1"/>
  <c r="I17" i="2"/>
  <c r="H17" i="2"/>
  <c r="BO16" i="2"/>
  <c r="BN16" i="2"/>
  <c r="BI16" i="2"/>
  <c r="BG16" i="2"/>
  <c r="BE16" i="2"/>
  <c r="BM16" i="2" s="1"/>
  <c r="BD16" i="2"/>
  <c r="N16" i="2"/>
  <c r="I16" i="2"/>
  <c r="J16" i="2" s="1"/>
  <c r="K16" i="2" s="1"/>
  <c r="H16" i="2"/>
  <c r="BO15" i="2"/>
  <c r="BN15" i="2"/>
  <c r="BM15" i="2"/>
  <c r="BI15" i="2"/>
  <c r="BG15" i="2"/>
  <c r="BE15" i="2"/>
  <c r="BD15" i="2"/>
  <c r="N15" i="2"/>
  <c r="O15" i="2" s="1"/>
  <c r="K15" i="2"/>
  <c r="I15" i="2"/>
  <c r="J15" i="2" s="1"/>
  <c r="H15" i="2"/>
  <c r="BR14" i="2"/>
  <c r="BP14" i="2"/>
  <c r="BO14" i="2"/>
  <c r="BN14" i="2"/>
  <c r="BQ14" i="2" s="1"/>
  <c r="BM14" i="2"/>
  <c r="BI14" i="2"/>
  <c r="BG14" i="2"/>
  <c r="BE14" i="2"/>
  <c r="BD14" i="2"/>
  <c r="O14" i="2"/>
  <c r="N14" i="2"/>
  <c r="K14" i="2"/>
  <c r="J14" i="2"/>
  <c r="I14" i="2"/>
  <c r="H14" i="2"/>
  <c r="BR13" i="2"/>
  <c r="BO13" i="2"/>
  <c r="BN13" i="2"/>
  <c r="BM13" i="2"/>
  <c r="BP13" i="2" s="1"/>
  <c r="BI13" i="2"/>
  <c r="BQ13" i="2" s="1"/>
  <c r="BG13" i="2"/>
  <c r="BE13" i="2"/>
  <c r="BD13" i="2"/>
  <c r="O13" i="2"/>
  <c r="N13" i="2"/>
  <c r="J13" i="2"/>
  <c r="I13" i="2"/>
  <c r="H13" i="2"/>
  <c r="BQ12" i="2"/>
  <c r="BO12" i="2"/>
  <c r="BR12" i="2" s="1"/>
  <c r="BN12" i="2"/>
  <c r="BI12" i="2"/>
  <c r="BP12" i="2" s="1"/>
  <c r="BH12" i="2"/>
  <c r="BK12" i="2" s="1"/>
  <c r="BG12" i="2"/>
  <c r="BE12" i="2"/>
  <c r="BM12" i="2" s="1"/>
  <c r="BD12" i="2"/>
  <c r="O12" i="2"/>
  <c r="N12" i="2"/>
  <c r="I12" i="2"/>
  <c r="J12" i="2" s="1"/>
  <c r="K12" i="2" s="1"/>
  <c r="H12" i="2"/>
  <c r="BR11" i="2"/>
  <c r="BQ11" i="2"/>
  <c r="BP11" i="2"/>
  <c r="BS11" i="2" s="1"/>
  <c r="BO11" i="2"/>
  <c r="BN11" i="2"/>
  <c r="BM11" i="2"/>
  <c r="BI11" i="2"/>
  <c r="BH11" i="2"/>
  <c r="BK11" i="2" s="1"/>
  <c r="BG11" i="2"/>
  <c r="BE11" i="2"/>
  <c r="BD11" i="2"/>
  <c r="N11" i="2"/>
  <c r="O11" i="2" s="1"/>
  <c r="I11" i="2"/>
  <c r="J11" i="2" s="1"/>
  <c r="H11" i="2"/>
  <c r="BO10" i="2"/>
  <c r="BN10" i="2"/>
  <c r="BI10" i="2"/>
  <c r="BG10" i="2"/>
  <c r="BE10" i="2"/>
  <c r="BM10" i="2" s="1"/>
  <c r="BD10" i="2"/>
  <c r="N10" i="2"/>
  <c r="I10" i="2"/>
  <c r="J10" i="2" s="1"/>
  <c r="H10" i="2"/>
  <c r="BO9" i="2"/>
  <c r="BN9" i="2"/>
  <c r="BM9" i="2"/>
  <c r="BI9" i="2"/>
  <c r="BP9" i="2" s="1"/>
  <c r="BG9" i="2"/>
  <c r="BE9" i="2"/>
  <c r="BD9" i="2"/>
  <c r="N9" i="2"/>
  <c r="O9" i="2" s="1"/>
  <c r="K9" i="2"/>
  <c r="I9" i="2"/>
  <c r="J9" i="2" s="1"/>
  <c r="K10" i="2" s="1"/>
  <c r="H9" i="2"/>
  <c r="BR8" i="2"/>
  <c r="BO8" i="2"/>
  <c r="BN8" i="2"/>
  <c r="BQ8" i="2" s="1"/>
  <c r="BM8" i="2"/>
  <c r="BP8" i="2" s="1"/>
  <c r="BI8" i="2"/>
  <c r="BG8" i="2"/>
  <c r="BE8" i="2"/>
  <c r="BD8" i="2"/>
  <c r="O8" i="2"/>
  <c r="N8" i="2"/>
  <c r="O7" i="2" s="1"/>
  <c r="J8" i="2"/>
  <c r="I8" i="2"/>
  <c r="H8" i="2"/>
  <c r="BR7" i="2"/>
  <c r="BO7" i="2"/>
  <c r="BN7" i="2"/>
  <c r="BM7" i="2"/>
  <c r="BP7" i="2" s="1"/>
  <c r="BI7" i="2"/>
  <c r="BQ7" i="2" s="1"/>
  <c r="BH7" i="2"/>
  <c r="BK7" i="2" s="1"/>
  <c r="BG7" i="2"/>
  <c r="BE7" i="2"/>
  <c r="BD7" i="2"/>
  <c r="N7" i="2"/>
  <c r="I7" i="2"/>
  <c r="J7" i="2" s="1"/>
  <c r="H7" i="2"/>
  <c r="BO6" i="2"/>
  <c r="BR6" i="2" s="1"/>
  <c r="BN6" i="2"/>
  <c r="BQ6" i="2" s="1"/>
  <c r="BI6" i="2"/>
  <c r="BH6" i="2"/>
  <c r="BK6" i="2" s="1"/>
  <c r="BG6" i="2"/>
  <c r="BE6" i="2"/>
  <c r="BM6" i="2" s="1"/>
  <c r="BD6" i="2"/>
  <c r="N6" i="2"/>
  <c r="O6" i="2" s="1"/>
  <c r="I6" i="2"/>
  <c r="J6" i="2" s="1"/>
  <c r="K6" i="2" s="1"/>
  <c r="H6" i="2"/>
  <c r="BR5" i="2"/>
  <c r="BQ5" i="2"/>
  <c r="BO5" i="2"/>
  <c r="BN5" i="2"/>
  <c r="BM5" i="2"/>
  <c r="BP5" i="2" s="1"/>
  <c r="BS5" i="2" s="1"/>
  <c r="BI5" i="2"/>
  <c r="BH5" i="2"/>
  <c r="BK5" i="2" s="1"/>
  <c r="BG5" i="2"/>
  <c r="BE5" i="2"/>
  <c r="BD5" i="2"/>
  <c r="N5" i="2"/>
  <c r="J5" i="2"/>
  <c r="I5" i="2"/>
  <c r="H5" i="2"/>
  <c r="BR4" i="2"/>
  <c r="BO4" i="2"/>
  <c r="BN4" i="2"/>
  <c r="BM4" i="2"/>
  <c r="BI4" i="2"/>
  <c r="BG4" i="2"/>
  <c r="BE4" i="2"/>
  <c r="BD4" i="2"/>
  <c r="O4" i="2"/>
  <c r="N4" i="2"/>
  <c r="I4" i="2"/>
  <c r="J4" i="2" s="1"/>
  <c r="H4" i="2"/>
  <c r="BO3" i="2"/>
  <c r="BN3" i="2"/>
  <c r="BQ3" i="2" s="1"/>
  <c r="BK3" i="2"/>
  <c r="BI3" i="2"/>
  <c r="BH3" i="2"/>
  <c r="BG3" i="2"/>
  <c r="BE3" i="2"/>
  <c r="BM3" i="2" s="1"/>
  <c r="BP3" i="2" s="1"/>
  <c r="BD3" i="2"/>
  <c r="N3" i="2"/>
  <c r="O3" i="2" s="1"/>
  <c r="J3" i="2"/>
  <c r="K3" i="2" s="1"/>
  <c r="I3" i="2"/>
  <c r="H3" i="2"/>
  <c r="BO2" i="2"/>
  <c r="BR2" i="2" s="1"/>
  <c r="BN2" i="2"/>
  <c r="BQ2" i="2" s="1"/>
  <c r="BK2" i="2"/>
  <c r="BH2" i="2"/>
  <c r="BG2" i="2"/>
  <c r="BE2" i="2"/>
  <c r="BM2" i="2" s="1"/>
  <c r="BP2" i="2" s="1"/>
  <c r="BD2" i="2"/>
  <c r="AM2" i="2"/>
  <c r="AN2" i="2" s="1"/>
  <c r="AQ2" i="2" s="1"/>
  <c r="AL2" i="2"/>
  <c r="AE2" i="2"/>
  <c r="V2" i="2"/>
  <c r="S2" i="2"/>
  <c r="R2" i="2"/>
  <c r="T2" i="2" s="1"/>
  <c r="U2" i="2" s="1"/>
  <c r="L2" i="2"/>
  <c r="J2" i="2"/>
  <c r="I2" i="2"/>
  <c r="AC2" i="2" s="1"/>
  <c r="H2" i="2"/>
  <c r="AA2" i="2" s="1"/>
  <c r="G2" i="2"/>
  <c r="Z2" i="2" s="1"/>
  <c r="F2" i="2"/>
  <c r="B52" i="1"/>
  <c r="C44" i="1"/>
  <c r="C43" i="1"/>
  <c r="B43" i="1"/>
  <c r="B39" i="1"/>
  <c r="C37" i="1"/>
  <c r="C35" i="1"/>
  <c r="C34" i="1"/>
  <c r="B30" i="1"/>
  <c r="X28" i="1"/>
  <c r="BN23" i="1"/>
  <c r="BM23" i="1"/>
  <c r="BP23" i="1" s="1"/>
  <c r="BH23" i="1"/>
  <c r="BQ23" i="1" s="1"/>
  <c r="BF23" i="1"/>
  <c r="BD23" i="1"/>
  <c r="BC23" i="1"/>
  <c r="BL23" i="1" s="1"/>
  <c r="O23" i="1"/>
  <c r="N23" i="1"/>
  <c r="J23" i="1"/>
  <c r="I23" i="1"/>
  <c r="H23" i="1"/>
  <c r="BN22" i="1"/>
  <c r="BQ22" i="1" s="1"/>
  <c r="BM22" i="1"/>
  <c r="BP22" i="1" s="1"/>
  <c r="BH22" i="1"/>
  <c r="BF22" i="1"/>
  <c r="BD22" i="1"/>
  <c r="BC22" i="1"/>
  <c r="BL22" i="1" s="1"/>
  <c r="BO22" i="1" s="1"/>
  <c r="BR22" i="1" s="1"/>
  <c r="N22" i="1"/>
  <c r="O22" i="1" s="1"/>
  <c r="J22" i="1"/>
  <c r="K22" i="1" s="1"/>
  <c r="I22" i="1"/>
  <c r="H22" i="1"/>
  <c r="BO21" i="1"/>
  <c r="BN21" i="1"/>
  <c r="BQ21" i="1" s="1"/>
  <c r="BM21" i="1"/>
  <c r="BP21" i="1" s="1"/>
  <c r="BL21" i="1"/>
  <c r="BH21" i="1"/>
  <c r="BF21" i="1"/>
  <c r="BD21" i="1"/>
  <c r="BC21" i="1"/>
  <c r="N21" i="1"/>
  <c r="K21" i="1"/>
  <c r="I21" i="1"/>
  <c r="H21" i="1"/>
  <c r="J21" i="1" s="1"/>
  <c r="BN20" i="1"/>
  <c r="BQ20" i="1" s="1"/>
  <c r="BM20" i="1"/>
  <c r="BP20" i="1" s="1"/>
  <c r="BH20" i="1"/>
  <c r="BF20" i="1"/>
  <c r="BD20" i="1"/>
  <c r="BC20" i="1"/>
  <c r="BL20" i="1" s="1"/>
  <c r="BO20" i="1" s="1"/>
  <c r="O20" i="1"/>
  <c r="N20" i="1"/>
  <c r="J20" i="1"/>
  <c r="I20" i="1"/>
  <c r="H20" i="1"/>
  <c r="BN19" i="1"/>
  <c r="BQ19" i="1" s="1"/>
  <c r="BM19" i="1"/>
  <c r="BH19" i="1"/>
  <c r="BF19" i="1"/>
  <c r="BD19" i="1"/>
  <c r="BC19" i="1"/>
  <c r="BL19" i="1" s="1"/>
  <c r="N19" i="1"/>
  <c r="J19" i="1"/>
  <c r="K19" i="1" s="1"/>
  <c r="I19" i="1"/>
  <c r="H19" i="1"/>
  <c r="BR18" i="1"/>
  <c r="BO18" i="1"/>
  <c r="BN18" i="1"/>
  <c r="BQ18" i="1" s="1"/>
  <c r="BM18" i="1"/>
  <c r="BL18" i="1"/>
  <c r="BH18" i="1"/>
  <c r="BP18" i="1" s="1"/>
  <c r="BF18" i="1"/>
  <c r="BD18" i="1"/>
  <c r="BC18" i="1"/>
  <c r="N18" i="1"/>
  <c r="K18" i="1"/>
  <c r="J18" i="1"/>
  <c r="I18" i="1"/>
  <c r="H18" i="1"/>
  <c r="BO17" i="1"/>
  <c r="BN17" i="1"/>
  <c r="BQ17" i="1" s="1"/>
  <c r="BM17" i="1"/>
  <c r="BP17" i="1" s="1"/>
  <c r="BH17" i="1"/>
  <c r="BF17" i="1"/>
  <c r="BD17" i="1"/>
  <c r="BC17" i="1"/>
  <c r="BL17" i="1" s="1"/>
  <c r="O17" i="1"/>
  <c r="N17" i="1"/>
  <c r="J17" i="1"/>
  <c r="I17" i="1"/>
  <c r="H17" i="1"/>
  <c r="BP16" i="1"/>
  <c r="BN16" i="1"/>
  <c r="BM16" i="1"/>
  <c r="BH16" i="1"/>
  <c r="BF16" i="1"/>
  <c r="BD16" i="1"/>
  <c r="BC16" i="1"/>
  <c r="BL16" i="1" s="1"/>
  <c r="N16" i="1"/>
  <c r="O16" i="1" s="1"/>
  <c r="K16" i="1"/>
  <c r="I16" i="1"/>
  <c r="H16" i="1"/>
  <c r="J16" i="1" s="1"/>
  <c r="BQ15" i="1"/>
  <c r="BN15" i="1"/>
  <c r="BM15" i="1"/>
  <c r="BL15" i="1"/>
  <c r="BH15" i="1"/>
  <c r="BP15" i="1" s="1"/>
  <c r="BF15" i="1"/>
  <c r="BD15" i="1"/>
  <c r="BC15" i="1"/>
  <c r="N15" i="1"/>
  <c r="I15" i="1"/>
  <c r="H15" i="1"/>
  <c r="J15" i="1" s="1"/>
  <c r="BQ14" i="1"/>
  <c r="BP14" i="1"/>
  <c r="BN14" i="1"/>
  <c r="BM14" i="1"/>
  <c r="BH14" i="1"/>
  <c r="BF14" i="1"/>
  <c r="BD14" i="1"/>
  <c r="BC14" i="1"/>
  <c r="BL14" i="1" s="1"/>
  <c r="N14" i="1"/>
  <c r="J14" i="1"/>
  <c r="I14" i="1"/>
  <c r="H14" i="1"/>
  <c r="BN13" i="1"/>
  <c r="BM13" i="1"/>
  <c r="BL13" i="1"/>
  <c r="BH13" i="1"/>
  <c r="BF13" i="1"/>
  <c r="BD13" i="1"/>
  <c r="BC13" i="1"/>
  <c r="N13" i="1"/>
  <c r="O13" i="1" s="1"/>
  <c r="J13" i="1"/>
  <c r="I13" i="1"/>
  <c r="H13" i="1"/>
  <c r="BO12" i="1"/>
  <c r="BN12" i="1"/>
  <c r="BM12" i="1"/>
  <c r="BL12" i="1"/>
  <c r="BH12" i="1"/>
  <c r="BF12" i="1"/>
  <c r="BD12" i="1"/>
  <c r="BC12" i="1"/>
  <c r="O12" i="1"/>
  <c r="N12" i="1"/>
  <c r="K12" i="1"/>
  <c r="I12" i="1"/>
  <c r="H12" i="1"/>
  <c r="J12" i="1" s="1"/>
  <c r="K13" i="1" s="1"/>
  <c r="BP11" i="1"/>
  <c r="BN11" i="1"/>
  <c r="BM11" i="1"/>
  <c r="BH11" i="1"/>
  <c r="BQ11" i="1" s="1"/>
  <c r="BG11" i="1"/>
  <c r="BJ11" i="1" s="1"/>
  <c r="BF11" i="1"/>
  <c r="BD11" i="1"/>
  <c r="BC11" i="1"/>
  <c r="BL11" i="1" s="1"/>
  <c r="BO11" i="1" s="1"/>
  <c r="BR11" i="1" s="1"/>
  <c r="O11" i="1"/>
  <c r="N11" i="1"/>
  <c r="K11" i="1"/>
  <c r="J11" i="1"/>
  <c r="I11" i="1"/>
  <c r="H11" i="1"/>
  <c r="BP10" i="1"/>
  <c r="BN10" i="1"/>
  <c r="BQ10" i="1" s="1"/>
  <c r="BM10" i="1"/>
  <c r="BL10" i="1"/>
  <c r="BO10" i="1" s="1"/>
  <c r="BH10" i="1"/>
  <c r="BF10" i="1"/>
  <c r="BD10" i="1"/>
  <c r="BC10" i="1"/>
  <c r="N10" i="1"/>
  <c r="O10" i="1" s="1"/>
  <c r="K10" i="1"/>
  <c r="I10" i="1"/>
  <c r="H10" i="1"/>
  <c r="J10" i="1" s="1"/>
  <c r="BN9" i="1"/>
  <c r="BM9" i="1"/>
  <c r="BL9" i="1"/>
  <c r="BH9" i="1"/>
  <c r="BO9" i="1" s="1"/>
  <c r="BF9" i="1"/>
  <c r="BD9" i="1"/>
  <c r="BC9" i="1"/>
  <c r="N9" i="1"/>
  <c r="O9" i="1" s="1"/>
  <c r="I9" i="1"/>
  <c r="H9" i="1"/>
  <c r="J9" i="1" s="1"/>
  <c r="BP8" i="1"/>
  <c r="BR8" i="1" s="1"/>
  <c r="BO8" i="1"/>
  <c r="BN8" i="1"/>
  <c r="BQ8" i="1" s="1"/>
  <c r="BM8" i="1"/>
  <c r="BH8" i="1"/>
  <c r="BF8" i="1"/>
  <c r="BD8" i="1"/>
  <c r="BC8" i="1"/>
  <c r="BL8" i="1" s="1"/>
  <c r="N8" i="1"/>
  <c r="O8" i="1" s="1"/>
  <c r="J8" i="1"/>
  <c r="K8" i="1" s="1"/>
  <c r="I8" i="1"/>
  <c r="H8" i="1"/>
  <c r="BN7" i="1"/>
  <c r="BM7" i="1"/>
  <c r="BL7" i="1"/>
  <c r="BH7" i="1"/>
  <c r="BP7" i="1" s="1"/>
  <c r="BF7" i="1"/>
  <c r="BD7" i="1"/>
  <c r="BC7" i="1"/>
  <c r="N7" i="1"/>
  <c r="K7" i="1"/>
  <c r="J7" i="1"/>
  <c r="I7" i="1"/>
  <c r="H7" i="1"/>
  <c r="BP6" i="1"/>
  <c r="BN6" i="1"/>
  <c r="BM6" i="1"/>
  <c r="BL6" i="1"/>
  <c r="BH6" i="1"/>
  <c r="BF6" i="1"/>
  <c r="BD6" i="1"/>
  <c r="BC6" i="1"/>
  <c r="N6" i="1"/>
  <c r="O5" i="1" s="1"/>
  <c r="K6" i="1"/>
  <c r="J6" i="1"/>
  <c r="I6" i="1"/>
  <c r="H6" i="1"/>
  <c r="BP5" i="1"/>
  <c r="BN5" i="1"/>
  <c r="BM5" i="1"/>
  <c r="BL5" i="1"/>
  <c r="BH5" i="1"/>
  <c r="BO5" i="1" s="1"/>
  <c r="BG5" i="1"/>
  <c r="BJ5" i="1" s="1"/>
  <c r="BF5" i="1"/>
  <c r="BD5" i="1"/>
  <c r="BC5" i="1"/>
  <c r="N5" i="1"/>
  <c r="K5" i="1"/>
  <c r="I5" i="1"/>
  <c r="H5" i="1"/>
  <c r="J5" i="1" s="1"/>
  <c r="BQ4" i="1"/>
  <c r="BO4" i="1"/>
  <c r="BN4" i="1"/>
  <c r="BM4" i="1"/>
  <c r="BL4" i="1"/>
  <c r="BH4" i="1"/>
  <c r="BF4" i="1"/>
  <c r="BD4" i="1"/>
  <c r="BC4" i="1"/>
  <c r="N4" i="1"/>
  <c r="O4" i="1" s="1"/>
  <c r="J4" i="1"/>
  <c r="I4" i="1"/>
  <c r="H4" i="1"/>
  <c r="BN3" i="1"/>
  <c r="BM3" i="1"/>
  <c r="BH3" i="1"/>
  <c r="BF3" i="1"/>
  <c r="BD3" i="1"/>
  <c r="BC3" i="1"/>
  <c r="BL3" i="1" s="1"/>
  <c r="O3" i="1"/>
  <c r="N3" i="1"/>
  <c r="J3" i="1"/>
  <c r="K3" i="1" s="1"/>
  <c r="I3" i="1"/>
  <c r="H3" i="1"/>
  <c r="BN2" i="1"/>
  <c r="BQ2" i="1" s="1"/>
  <c r="BM2" i="1"/>
  <c r="BP2" i="1" s="1"/>
  <c r="BL2" i="1"/>
  <c r="BO2" i="1" s="1"/>
  <c r="BR2" i="1" s="1"/>
  <c r="BF2" i="1"/>
  <c r="BD2" i="1"/>
  <c r="BC2" i="1"/>
  <c r="AK2" i="1"/>
  <c r="AL2" i="1" s="1"/>
  <c r="AM2" i="1" s="1"/>
  <c r="AP2" i="1" s="1"/>
  <c r="AH2" i="1"/>
  <c r="AE2" i="1"/>
  <c r="Z2" i="1" s="1"/>
  <c r="AB2" i="1"/>
  <c r="AA2" i="1"/>
  <c r="X2" i="1"/>
  <c r="V2" i="1"/>
  <c r="T2" i="1"/>
  <c r="U2" i="1" s="1"/>
  <c r="R2" i="1"/>
  <c r="S2" i="1" s="1"/>
  <c r="N2" i="1"/>
  <c r="O2" i="1" s="1"/>
  <c r="L2" i="1"/>
  <c r="J2" i="1"/>
  <c r="I2" i="1"/>
  <c r="H2" i="1"/>
  <c r="AC2" i="1" s="1"/>
  <c r="AF2" i="1" s="1"/>
  <c r="G2" i="1"/>
  <c r="F2" i="1"/>
  <c r="B52" i="6"/>
  <c r="C44" i="6"/>
  <c r="B39" i="6"/>
  <c r="C43" i="6" s="1"/>
  <c r="B43" i="6" s="1"/>
  <c r="O2" i="6" s="1"/>
  <c r="C37" i="6"/>
  <c r="C35" i="6"/>
  <c r="B30" i="6"/>
  <c r="C34" i="6" s="1"/>
  <c r="Z28" i="6"/>
  <c r="P23" i="6"/>
  <c r="Q23" i="6" s="1"/>
  <c r="P22" i="6"/>
  <c r="P21" i="6"/>
  <c r="Q21" i="6" s="1"/>
  <c r="P20" i="6"/>
  <c r="Q20" i="6" s="1"/>
  <c r="P19" i="6"/>
  <c r="Q18" i="6"/>
  <c r="P18" i="6"/>
  <c r="Q17" i="6"/>
  <c r="P17" i="6"/>
  <c r="Q16" i="6"/>
  <c r="P16" i="6"/>
  <c r="Q15" i="6"/>
  <c r="P15" i="6"/>
  <c r="P14" i="6"/>
  <c r="Q14" i="6" s="1"/>
  <c r="P13" i="6"/>
  <c r="Q13" i="6" s="1"/>
  <c r="Q12" i="6"/>
  <c r="P12" i="6"/>
  <c r="Q11" i="6"/>
  <c r="P11" i="6"/>
  <c r="Q10" i="6"/>
  <c r="P10" i="6"/>
  <c r="P9" i="6"/>
  <c r="Q9" i="6" s="1"/>
  <c r="P8" i="6"/>
  <c r="Q7" i="6"/>
  <c r="P7" i="6"/>
  <c r="P6" i="6"/>
  <c r="Q6" i="6" s="1"/>
  <c r="P5" i="6"/>
  <c r="Q4" i="6" s="1"/>
  <c r="P4" i="6"/>
  <c r="Q3" i="6"/>
  <c r="P3" i="6"/>
  <c r="R2" i="6"/>
  <c r="Q2" i="6"/>
  <c r="P2" i="6"/>
  <c r="N2" i="6"/>
  <c r="BH37" i="4" l="1"/>
  <c r="E7" i="7"/>
  <c r="N7" i="7" s="1"/>
  <c r="BF36" i="3"/>
  <c r="BJ27" i="3" s="1"/>
  <c r="BC36" i="2"/>
  <c r="BG25" i="2" s="1"/>
  <c r="BC37" i="2"/>
  <c r="BH36" i="4"/>
  <c r="BL26" i="4" s="1"/>
  <c r="BF37" i="3"/>
  <c r="N5" i="7"/>
  <c r="N9" i="7"/>
  <c r="N4" i="7"/>
  <c r="N8" i="7"/>
  <c r="AR31" i="1"/>
  <c r="AP31" i="1"/>
  <c r="AT26" i="1" s="1"/>
  <c r="F4" i="7"/>
  <c r="BG37" i="1"/>
  <c r="AQ27" i="2"/>
  <c r="AQ39" i="2" s="1"/>
  <c r="AS25" i="4"/>
  <c r="AW27" i="4" s="1"/>
  <c r="BG36" i="1"/>
  <c r="BK26" i="1" s="1"/>
  <c r="K8" i="7"/>
  <c r="AQ26" i="2"/>
  <c r="AU25" i="4"/>
  <c r="AS25" i="3"/>
  <c r="AQ25" i="3"/>
  <c r="AU26" i="3" s="1"/>
  <c r="H4" i="7"/>
  <c r="L6" i="7"/>
  <c r="O6" i="7"/>
  <c r="G7" i="7"/>
  <c r="Q5" i="7"/>
  <c r="Q9" i="7"/>
  <c r="K5" i="7"/>
  <c r="K4" i="7"/>
  <c r="BR5" i="1"/>
  <c r="BR9" i="1"/>
  <c r="BR4" i="1"/>
  <c r="H23" i="6"/>
  <c r="I16" i="6"/>
  <c r="K16" i="6" s="1"/>
  <c r="H11" i="6"/>
  <c r="I4" i="6"/>
  <c r="K4" i="6" s="1"/>
  <c r="H2" i="6"/>
  <c r="I19" i="6"/>
  <c r="K19" i="6" s="1"/>
  <c r="I17" i="6"/>
  <c r="K17" i="6" s="1"/>
  <c r="H12" i="6"/>
  <c r="I5" i="6"/>
  <c r="K5" i="6" s="1"/>
  <c r="AD2" i="6"/>
  <c r="I22" i="6"/>
  <c r="K22" i="6" s="1"/>
  <c r="I18" i="6"/>
  <c r="K18" i="6" s="1"/>
  <c r="H21" i="6"/>
  <c r="H19" i="6"/>
  <c r="I14" i="6"/>
  <c r="K14" i="6" s="1"/>
  <c r="H8" i="6"/>
  <c r="H14" i="6"/>
  <c r="H16" i="6"/>
  <c r="I7" i="6"/>
  <c r="K7" i="6" s="1"/>
  <c r="I13" i="6"/>
  <c r="K13" i="6" s="1"/>
  <c r="H7" i="6"/>
  <c r="T2" i="6"/>
  <c r="V2" i="6" s="1"/>
  <c r="W2" i="6" s="1"/>
  <c r="I6" i="6"/>
  <c r="K6" i="6" s="1"/>
  <c r="H10" i="6"/>
  <c r="H13" i="6"/>
  <c r="H4" i="6"/>
  <c r="I9" i="6"/>
  <c r="K9" i="6" s="1"/>
  <c r="H22" i="6"/>
  <c r="I12" i="6"/>
  <c r="K12" i="6" s="1"/>
  <c r="H6" i="6"/>
  <c r="AG2" i="6"/>
  <c r="AB2" i="6" s="1"/>
  <c r="AF2" i="6"/>
  <c r="AA2" i="6" s="1"/>
  <c r="I20" i="6"/>
  <c r="K20" i="6" s="1"/>
  <c r="H17" i="6"/>
  <c r="H5" i="6"/>
  <c r="I11" i="6"/>
  <c r="K11" i="6" s="1"/>
  <c r="H20" i="6"/>
  <c r="AE2" i="6"/>
  <c r="H18" i="6"/>
  <c r="I10" i="6"/>
  <c r="K10" i="6" s="1"/>
  <c r="AC2" i="6"/>
  <c r="I23" i="6"/>
  <c r="K23" i="6" s="1"/>
  <c r="I15" i="6"/>
  <c r="K15" i="6" s="1"/>
  <c r="H9" i="6"/>
  <c r="I3" i="6"/>
  <c r="K3" i="6" s="1"/>
  <c r="I21" i="6"/>
  <c r="K21" i="6" s="1"/>
  <c r="H15" i="6"/>
  <c r="I8" i="6"/>
  <c r="K8" i="6" s="1"/>
  <c r="H3" i="6"/>
  <c r="X2" i="6"/>
  <c r="I2" i="6"/>
  <c r="K2" i="6" s="1"/>
  <c r="R4" i="6"/>
  <c r="L13" i="1"/>
  <c r="M13" i="1" s="1"/>
  <c r="L3" i="1"/>
  <c r="M3" i="1" s="1"/>
  <c r="L5" i="1"/>
  <c r="M5" i="1" s="1"/>
  <c r="L6" i="1"/>
  <c r="M6" i="1" s="1"/>
  <c r="L4" i="1"/>
  <c r="M4" i="1" s="1"/>
  <c r="BG23" i="1"/>
  <c r="BJ23" i="1" s="1"/>
  <c r="BG22" i="1"/>
  <c r="BJ22" i="1" s="1"/>
  <c r="BG10" i="1"/>
  <c r="BJ10" i="1" s="1"/>
  <c r="BG21" i="1"/>
  <c r="BJ21" i="1" s="1"/>
  <c r="BG9" i="1"/>
  <c r="BJ9" i="1" s="1"/>
  <c r="BG19" i="1"/>
  <c r="BJ19" i="1" s="1"/>
  <c r="BG18" i="1"/>
  <c r="BJ18" i="1" s="1"/>
  <c r="BG15" i="1"/>
  <c r="BJ15" i="1" s="1"/>
  <c r="BG17" i="1"/>
  <c r="BJ17" i="1" s="1"/>
  <c r="BG13" i="1"/>
  <c r="BJ13" i="1" s="1"/>
  <c r="BG6" i="1"/>
  <c r="BJ6" i="1" s="1"/>
  <c r="BG12" i="1"/>
  <c r="BJ12" i="1" s="1"/>
  <c r="BG7" i="1"/>
  <c r="BJ7" i="1" s="1"/>
  <c r="BG16" i="1"/>
  <c r="BJ16" i="1" s="1"/>
  <c r="BG20" i="1"/>
  <c r="BJ20" i="1" s="1"/>
  <c r="BG8" i="1"/>
  <c r="BJ8" i="1" s="1"/>
  <c r="BO3" i="1"/>
  <c r="BQ3" i="1"/>
  <c r="O7" i="1"/>
  <c r="P16" i="1" s="1"/>
  <c r="Q5" i="6"/>
  <c r="R5" i="6" s="1"/>
  <c r="BG2" i="1"/>
  <c r="BJ2" i="1" s="1"/>
  <c r="P3" i="1"/>
  <c r="K9" i="1"/>
  <c r="O19" i="1"/>
  <c r="O18" i="1"/>
  <c r="BS2" i="2"/>
  <c r="BP3" i="1"/>
  <c r="BG14" i="1"/>
  <c r="BJ14" i="1" s="1"/>
  <c r="X2" i="2"/>
  <c r="AG2" i="2"/>
  <c r="AI2" i="2"/>
  <c r="AH2" i="2"/>
  <c r="AJ2" i="2" s="1"/>
  <c r="AF2" i="2"/>
  <c r="K7" i="2"/>
  <c r="K8" i="2"/>
  <c r="Q19" i="6"/>
  <c r="BQ6" i="1"/>
  <c r="BO6" i="1"/>
  <c r="BR6" i="1" s="1"/>
  <c r="P12" i="1"/>
  <c r="P2" i="1"/>
  <c r="P5" i="1"/>
  <c r="O14" i="1"/>
  <c r="O15" i="1"/>
  <c r="Q8" i="6"/>
  <c r="K4" i="1"/>
  <c r="L18" i="1" s="1"/>
  <c r="M18" i="1" s="1"/>
  <c r="BP13" i="1"/>
  <c r="BO13" i="1"/>
  <c r="BQ13" i="1"/>
  <c r="R13" i="6"/>
  <c r="L3" i="2"/>
  <c r="BG4" i="1"/>
  <c r="BJ4" i="1" s="1"/>
  <c r="BQ7" i="1"/>
  <c r="BO7" i="1"/>
  <c r="BR7" i="1" s="1"/>
  <c r="K29" i="1"/>
  <c r="B34" i="1"/>
  <c r="R3" i="6"/>
  <c r="AD2" i="1"/>
  <c r="AG2" i="1" s="1"/>
  <c r="AI2" i="1" s="1"/>
  <c r="Y2" i="1"/>
  <c r="BP4" i="1"/>
  <c r="BR10" i="1"/>
  <c r="BR17" i="1"/>
  <c r="BR21" i="1"/>
  <c r="P4" i="1"/>
  <c r="O6" i="1"/>
  <c r="P23" i="1" s="1"/>
  <c r="BQ9" i="1"/>
  <c r="BP9" i="1"/>
  <c r="R18" i="6"/>
  <c r="Q22" i="6"/>
  <c r="M29" i="6"/>
  <c r="B34" i="6"/>
  <c r="BG3" i="1"/>
  <c r="BJ3" i="1" s="1"/>
  <c r="P6" i="1"/>
  <c r="BR20" i="1"/>
  <c r="BQ5" i="1"/>
  <c r="K15" i="1"/>
  <c r="O4" i="3"/>
  <c r="O5" i="3"/>
  <c r="AD2" i="2"/>
  <c r="N2" i="2"/>
  <c r="O2" i="2" s="1"/>
  <c r="Y2" i="2"/>
  <c r="BS7" i="2"/>
  <c r="BO19" i="1"/>
  <c r="BR19" i="1" s="1"/>
  <c r="K4" i="2"/>
  <c r="L11" i="2" s="1"/>
  <c r="BS8" i="2"/>
  <c r="BO15" i="1"/>
  <c r="BR15" i="1" s="1"/>
  <c r="BO16" i="1"/>
  <c r="K20" i="1"/>
  <c r="K23" i="1"/>
  <c r="K14" i="1"/>
  <c r="L19" i="1" s="1"/>
  <c r="M19" i="1" s="1"/>
  <c r="BO14" i="1"/>
  <c r="BR14" i="1" s="1"/>
  <c r="BP19" i="1"/>
  <c r="BS12" i="2"/>
  <c r="O16" i="2"/>
  <c r="O17" i="2"/>
  <c r="BQ12" i="1"/>
  <c r="BP12" i="1"/>
  <c r="BR12" i="1" s="1"/>
  <c r="O21" i="1"/>
  <c r="BQ16" i="1"/>
  <c r="K17" i="1"/>
  <c r="K5" i="2"/>
  <c r="L21" i="2" s="1"/>
  <c r="BS14" i="2"/>
  <c r="BS13" i="2"/>
  <c r="K23" i="2"/>
  <c r="BQ10" i="2"/>
  <c r="BP10" i="2"/>
  <c r="BR15" i="2"/>
  <c r="BQ15" i="2"/>
  <c r="BP15" i="2"/>
  <c r="BR2" i="3"/>
  <c r="BO23" i="1"/>
  <c r="BR23" i="1" s="1"/>
  <c r="K13" i="2"/>
  <c r="BS20" i="2"/>
  <c r="BP3" i="3"/>
  <c r="BO3" i="3"/>
  <c r="BH22" i="2"/>
  <c r="BK22" i="2" s="1"/>
  <c r="BH19" i="2"/>
  <c r="BK19" i="2" s="1"/>
  <c r="BH15" i="2"/>
  <c r="BK15" i="2" s="1"/>
  <c r="BH20" i="2"/>
  <c r="BK20" i="2" s="1"/>
  <c r="BH18" i="2"/>
  <c r="BK18" i="2" s="1"/>
  <c r="BH14" i="2"/>
  <c r="BK14" i="2" s="1"/>
  <c r="BH8" i="2"/>
  <c r="BK8" i="2" s="1"/>
  <c r="BH13" i="2"/>
  <c r="BK13" i="2" s="1"/>
  <c r="BH16" i="2"/>
  <c r="BK16" i="2" s="1"/>
  <c r="BH10" i="2"/>
  <c r="BK10" i="2" s="1"/>
  <c r="BH4" i="2"/>
  <c r="BK4" i="2" s="1"/>
  <c r="BP6" i="2"/>
  <c r="BS6" i="2" s="1"/>
  <c r="O10" i="2"/>
  <c r="O29" i="2"/>
  <c r="N29" i="2"/>
  <c r="J29" i="2"/>
  <c r="M29" i="2"/>
  <c r="AN2" i="3"/>
  <c r="AQ2" i="3" s="1"/>
  <c r="BP4" i="3"/>
  <c r="BO4" i="3"/>
  <c r="BN4" i="3"/>
  <c r="AB2" i="2"/>
  <c r="BQ4" i="2"/>
  <c r="BS4" i="2" s="1"/>
  <c r="BP4" i="2"/>
  <c r="O5" i="2"/>
  <c r="BN10" i="3"/>
  <c r="BO10" i="3"/>
  <c r="BP10" i="3"/>
  <c r="BR3" i="2"/>
  <c r="BS3" i="2" s="1"/>
  <c r="BH9" i="2"/>
  <c r="BK9" i="2" s="1"/>
  <c r="BR10" i="2"/>
  <c r="K11" i="2"/>
  <c r="BR9" i="2"/>
  <c r="BQ9" i="2"/>
  <c r="BR16" i="2"/>
  <c r="BQ16" i="2"/>
  <c r="BP16" i="2"/>
  <c r="BR19" i="2"/>
  <c r="BS19" i="2" s="1"/>
  <c r="K5" i="3"/>
  <c r="K10" i="3"/>
  <c r="BP21" i="2"/>
  <c r="O20" i="2"/>
  <c r="K14" i="3"/>
  <c r="BF23" i="3"/>
  <c r="BI23" i="3" s="1"/>
  <c r="BF20" i="3"/>
  <c r="BI20" i="3" s="1"/>
  <c r="BF22" i="3"/>
  <c r="BI22" i="3" s="1"/>
  <c r="BF19" i="3"/>
  <c r="BI19" i="3" s="1"/>
  <c r="BF16" i="3"/>
  <c r="BI16" i="3" s="1"/>
  <c r="BF13" i="3"/>
  <c r="BI13" i="3" s="1"/>
  <c r="BF10" i="3"/>
  <c r="BI10" i="3" s="1"/>
  <c r="BF15" i="3"/>
  <c r="BI15" i="3" s="1"/>
  <c r="BF18" i="3"/>
  <c r="BI18" i="3" s="1"/>
  <c r="BF12" i="3"/>
  <c r="BI12" i="3" s="1"/>
  <c r="BF17" i="3"/>
  <c r="BI17" i="3" s="1"/>
  <c r="BF11" i="3"/>
  <c r="BI11" i="3" s="1"/>
  <c r="BF2" i="3"/>
  <c r="BI2" i="3" s="1"/>
  <c r="BF6" i="3"/>
  <c r="BI6" i="3" s="1"/>
  <c r="BF4" i="3"/>
  <c r="BI4" i="3" s="1"/>
  <c r="BF21" i="3"/>
  <c r="BI21" i="3" s="1"/>
  <c r="BF5" i="3"/>
  <c r="BI5" i="3" s="1"/>
  <c r="BF9" i="3"/>
  <c r="BI9" i="3" s="1"/>
  <c r="BF7" i="3"/>
  <c r="BI7" i="3" s="1"/>
  <c r="BF8" i="3"/>
  <c r="BI8" i="3" s="1"/>
  <c r="BF3" i="3"/>
  <c r="BI3" i="3" s="1"/>
  <c r="K11" i="3"/>
  <c r="BQ21" i="2"/>
  <c r="AH2" i="3"/>
  <c r="AG2" i="3"/>
  <c r="AI2" i="3" s="1"/>
  <c r="AF2" i="3"/>
  <c r="BR21" i="2"/>
  <c r="BQ2" i="3"/>
  <c r="J4" i="3"/>
  <c r="K4" i="3" s="1"/>
  <c r="J8" i="3"/>
  <c r="L8" i="7"/>
  <c r="O10" i="3"/>
  <c r="P16" i="3" s="1"/>
  <c r="P5" i="3"/>
  <c r="P6" i="3"/>
  <c r="K12" i="3"/>
  <c r="BQ16" i="3"/>
  <c r="AB2" i="3"/>
  <c r="AA2" i="3"/>
  <c r="BO7" i="3"/>
  <c r="BQ7" i="3" s="1"/>
  <c r="BR7" i="3" s="1"/>
  <c r="P8" i="3"/>
  <c r="P9" i="3"/>
  <c r="BQ12" i="3"/>
  <c r="BR12" i="3" s="1"/>
  <c r="J2" i="3"/>
  <c r="K3" i="3" s="1"/>
  <c r="AD2" i="3"/>
  <c r="O12" i="3"/>
  <c r="BS10" i="4"/>
  <c r="BT10" i="4" s="1"/>
  <c r="BR13" i="4"/>
  <c r="BP13" i="4"/>
  <c r="BS13" i="4" s="1"/>
  <c r="BQ13" i="4"/>
  <c r="P14" i="3"/>
  <c r="P11" i="3"/>
  <c r="P21" i="3"/>
  <c r="P19" i="3"/>
  <c r="P7" i="3"/>
  <c r="P4" i="3"/>
  <c r="P12" i="3"/>
  <c r="K7" i="3"/>
  <c r="BP14" i="3"/>
  <c r="BN14" i="3"/>
  <c r="BO14" i="3"/>
  <c r="BQ14" i="3" s="1"/>
  <c r="K19" i="3"/>
  <c r="BT8" i="4"/>
  <c r="P2" i="3"/>
  <c r="BP13" i="3"/>
  <c r="BO13" i="3"/>
  <c r="BN13" i="3"/>
  <c r="BN7" i="3"/>
  <c r="AD2" i="4"/>
  <c r="AF2" i="4" s="1"/>
  <c r="AB2" i="4"/>
  <c r="BO6" i="3"/>
  <c r="BQ6" i="3" s="1"/>
  <c r="BR6" i="3" s="1"/>
  <c r="BO9" i="3"/>
  <c r="BQ9" i="3" s="1"/>
  <c r="BR9" i="3" s="1"/>
  <c r="BP16" i="3"/>
  <c r="BR3" i="4"/>
  <c r="BQ3" i="4"/>
  <c r="BP3" i="4"/>
  <c r="BP11" i="3"/>
  <c r="BN11" i="3"/>
  <c r="BT12" i="4"/>
  <c r="BP21" i="3"/>
  <c r="BO21" i="3"/>
  <c r="BN21" i="3"/>
  <c r="BS4" i="4"/>
  <c r="BT4" i="4"/>
  <c r="BT16" i="4"/>
  <c r="BT11" i="4"/>
  <c r="BP18" i="3"/>
  <c r="BO18" i="3"/>
  <c r="BQ18" i="3" s="1"/>
  <c r="BO11" i="3"/>
  <c r="K15" i="3"/>
  <c r="K20" i="3"/>
  <c r="K29" i="3"/>
  <c r="B34" i="3"/>
  <c r="AC2" i="4"/>
  <c r="AA2" i="4" s="1"/>
  <c r="J2" i="4"/>
  <c r="K3" i="4" s="1"/>
  <c r="AI2" i="4"/>
  <c r="K6" i="4"/>
  <c r="BR7" i="4"/>
  <c r="BP7" i="4"/>
  <c r="BS7" i="4" s="1"/>
  <c r="BQ7" i="4"/>
  <c r="AJ2" i="4"/>
  <c r="BN17" i="3"/>
  <c r="BQ17" i="3" s="1"/>
  <c r="BR17" i="3" s="1"/>
  <c r="AI32" i="3"/>
  <c r="P8" i="4"/>
  <c r="K18" i="4"/>
  <c r="BT2" i="4"/>
  <c r="K4" i="4"/>
  <c r="BS8" i="4"/>
  <c r="BS14" i="4"/>
  <c r="BT14" i="4" s="1"/>
  <c r="BO19" i="3"/>
  <c r="BQ19" i="3" s="1"/>
  <c r="BR19" i="3" s="1"/>
  <c r="BP20" i="3"/>
  <c r="AP2" i="4"/>
  <c r="AS2" i="4" s="1"/>
  <c r="K22" i="3"/>
  <c r="BT23" i="4"/>
  <c r="AG2" i="4"/>
  <c r="BT6" i="4"/>
  <c r="BN22" i="3"/>
  <c r="BQ22" i="3" s="1"/>
  <c r="BR22" i="3" s="1"/>
  <c r="X2" i="4"/>
  <c r="BR20" i="4"/>
  <c r="BQ20" i="4"/>
  <c r="BP20" i="4"/>
  <c r="BP23" i="3"/>
  <c r="BQ23" i="3" s="1"/>
  <c r="BN20" i="3"/>
  <c r="BQ20" i="3" s="1"/>
  <c r="BS12" i="4"/>
  <c r="P9" i="4"/>
  <c r="BH18" i="4"/>
  <c r="BK18" i="4" s="1"/>
  <c r="BH15" i="4"/>
  <c r="BK15" i="4" s="1"/>
  <c r="BH22" i="4"/>
  <c r="BK22" i="4" s="1"/>
  <c r="BH17" i="4"/>
  <c r="BK17" i="4" s="1"/>
  <c r="BH12" i="4"/>
  <c r="BK12" i="4" s="1"/>
  <c r="BH19" i="4"/>
  <c r="BK19" i="4" s="1"/>
  <c r="BH14" i="4"/>
  <c r="BK14" i="4" s="1"/>
  <c r="BH20" i="4"/>
  <c r="BK20" i="4" s="1"/>
  <c r="BH13" i="4"/>
  <c r="BK13" i="4" s="1"/>
  <c r="BH7" i="4"/>
  <c r="BK7" i="4" s="1"/>
  <c r="BH9" i="4"/>
  <c r="BK9" i="4" s="1"/>
  <c r="BH23" i="4"/>
  <c r="BK23" i="4" s="1"/>
  <c r="BH21" i="4"/>
  <c r="BK21" i="4" s="1"/>
  <c r="BH11" i="4"/>
  <c r="BK11" i="4" s="1"/>
  <c r="BH6" i="4"/>
  <c r="BK6" i="4" s="1"/>
  <c r="BH8" i="4"/>
  <c r="BK8" i="4" s="1"/>
  <c r="BR9" i="4"/>
  <c r="BQ9" i="4"/>
  <c r="BP9" i="4"/>
  <c r="BS9" i="4" s="1"/>
  <c r="P2" i="4"/>
  <c r="BH2" i="4"/>
  <c r="BK2" i="4" s="1"/>
  <c r="P5" i="4"/>
  <c r="P3" i="4"/>
  <c r="K10" i="4"/>
  <c r="O11" i="4"/>
  <c r="K16" i="4"/>
  <c r="BH16" i="4"/>
  <c r="BK16" i="4" s="1"/>
  <c r="K21" i="4"/>
  <c r="BS21" i="4"/>
  <c r="BT21" i="4" s="1"/>
  <c r="BH5" i="4"/>
  <c r="BK5" i="4" s="1"/>
  <c r="P6" i="4"/>
  <c r="BR5" i="4"/>
  <c r="BP5" i="4"/>
  <c r="BQ18" i="4"/>
  <c r="BP18" i="4"/>
  <c r="BR18" i="4"/>
  <c r="BS19" i="4"/>
  <c r="BH3" i="4"/>
  <c r="BK3" i="4" s="1"/>
  <c r="O10" i="4"/>
  <c r="P21" i="4" s="1"/>
  <c r="K12" i="4"/>
  <c r="BS16" i="4"/>
  <c r="BT22" i="4"/>
  <c r="BR15" i="4"/>
  <c r="BQ15" i="4"/>
  <c r="BP15" i="4"/>
  <c r="BQ19" i="4"/>
  <c r="K19" i="4"/>
  <c r="N29" i="4"/>
  <c r="J29" i="4"/>
  <c r="O5" i="7"/>
  <c r="L5" i="7"/>
  <c r="M29" i="4"/>
  <c r="O13" i="4"/>
  <c r="O20" i="4"/>
  <c r="K22" i="4"/>
  <c r="O29" i="4"/>
  <c r="B43" i="4"/>
  <c r="O9" i="7"/>
  <c r="L9" i="7"/>
  <c r="BP11" i="4"/>
  <c r="BS11" i="4" s="1"/>
  <c r="BP23" i="4"/>
  <c r="BS23" i="4" s="1"/>
  <c r="Q8" i="7"/>
  <c r="B34" i="4"/>
  <c r="Q6" i="7"/>
  <c r="N6" i="7"/>
  <c r="M6" i="7"/>
  <c r="K6" i="7"/>
  <c r="O8" i="7"/>
  <c r="M8" i="7"/>
  <c r="K9" i="7"/>
  <c r="BQ17" i="4"/>
  <c r="BP22" i="4"/>
  <c r="BS22" i="4" s="1"/>
  <c r="M5" i="7"/>
  <c r="M9" i="7"/>
  <c r="BJ26" i="3" l="1"/>
  <c r="BJ11" i="2"/>
  <c r="BL11" i="2" s="1"/>
  <c r="BJ6" i="2"/>
  <c r="BL6" i="2" s="1"/>
  <c r="BJ22" i="2"/>
  <c r="BL22" i="2" s="1"/>
  <c r="BJ25" i="3"/>
  <c r="BH14" i="3"/>
  <c r="BJ14" i="3" s="1"/>
  <c r="BJ7" i="2"/>
  <c r="BL7" i="2" s="1"/>
  <c r="BJ21" i="2"/>
  <c r="BL21" i="2" s="1"/>
  <c r="BJ10" i="4"/>
  <c r="BL10" i="4" s="1"/>
  <c r="BJ4" i="4"/>
  <c r="BL4" i="4" s="1"/>
  <c r="BJ14" i="2"/>
  <c r="BL14" i="2" s="1"/>
  <c r="BJ18" i="2"/>
  <c r="BL18" i="2" s="1"/>
  <c r="BG27" i="2"/>
  <c r="BJ12" i="2"/>
  <c r="BL12" i="2" s="1"/>
  <c r="BJ23" i="2"/>
  <c r="BL23" i="2" s="1"/>
  <c r="BJ5" i="2"/>
  <c r="BL5" i="2" s="1"/>
  <c r="BJ13" i="2"/>
  <c r="BL13" i="2" s="1"/>
  <c r="BJ9" i="2"/>
  <c r="BL9" i="2" s="1"/>
  <c r="BJ17" i="2"/>
  <c r="BL17" i="2" s="1"/>
  <c r="BJ3" i="2"/>
  <c r="BL3" i="2" s="1"/>
  <c r="BJ19" i="2"/>
  <c r="BL19" i="2" s="1"/>
  <c r="Q7" i="7"/>
  <c r="K7" i="7"/>
  <c r="BG26" i="2"/>
  <c r="BJ2" i="2"/>
  <c r="BL2" i="2" s="1"/>
  <c r="BL27" i="4"/>
  <c r="BL25" i="4"/>
  <c r="AT28" i="1"/>
  <c r="AO2" i="1"/>
  <c r="AW2" i="1" s="1"/>
  <c r="AT27" i="1"/>
  <c r="O4" i="7"/>
  <c r="AQ41" i="2"/>
  <c r="AR40" i="2"/>
  <c r="P8" i="7"/>
  <c r="AP2" i="2"/>
  <c r="AY2" i="2" s="1"/>
  <c r="AQ40" i="2"/>
  <c r="AR41" i="2"/>
  <c r="AR39" i="2"/>
  <c r="M7" i="7"/>
  <c r="AU28" i="3"/>
  <c r="AU27" i="3"/>
  <c r="AW28" i="4"/>
  <c r="AW26" i="4"/>
  <c r="BK27" i="1"/>
  <c r="BK25" i="1"/>
  <c r="BI5" i="1"/>
  <c r="BK5" i="1" s="1"/>
  <c r="L4" i="7"/>
  <c r="P4" i="7" s="1"/>
  <c r="BI11" i="1"/>
  <c r="Q4" i="7"/>
  <c r="M4" i="7"/>
  <c r="P9" i="7"/>
  <c r="P5" i="7"/>
  <c r="O7" i="7"/>
  <c r="L7" i="7"/>
  <c r="P6" i="7"/>
  <c r="E13" i="7"/>
  <c r="L17" i="4"/>
  <c r="L14" i="4"/>
  <c r="L21" i="4"/>
  <c r="L16" i="4"/>
  <c r="L23" i="4"/>
  <c r="L18" i="4"/>
  <c r="L12" i="4"/>
  <c r="L6" i="4"/>
  <c r="L8" i="4"/>
  <c r="L22" i="4"/>
  <c r="L10" i="4"/>
  <c r="L20" i="4"/>
  <c r="L19" i="4"/>
  <c r="L13" i="4"/>
  <c r="L5" i="4"/>
  <c r="L7" i="4"/>
  <c r="L4" i="4"/>
  <c r="L11" i="4"/>
  <c r="L3" i="4"/>
  <c r="L9" i="4"/>
  <c r="L15" i="4"/>
  <c r="V18" i="1"/>
  <c r="AE18" i="1"/>
  <c r="AC18" i="1"/>
  <c r="R18" i="1"/>
  <c r="T18" i="1" s="1"/>
  <c r="AD18" i="1"/>
  <c r="AK18" i="1"/>
  <c r="M21" i="2"/>
  <c r="J48" i="2"/>
  <c r="O48" i="2" s="1"/>
  <c r="M11" i="2"/>
  <c r="J38" i="2"/>
  <c r="O38" i="2" s="1"/>
  <c r="N38" i="2"/>
  <c r="AE19" i="1"/>
  <c r="AD19" i="1"/>
  <c r="R19" i="1"/>
  <c r="T19" i="1" s="1"/>
  <c r="AK19" i="1"/>
  <c r="AC19" i="1"/>
  <c r="V19" i="1"/>
  <c r="BT17" i="4"/>
  <c r="BJ8" i="4"/>
  <c r="BL8" i="4" s="1"/>
  <c r="BJ16" i="2"/>
  <c r="BL16" i="2" s="1"/>
  <c r="L18" i="2"/>
  <c r="BR18" i="3"/>
  <c r="BJ16" i="4"/>
  <c r="BL16" i="4" s="1"/>
  <c r="R10" i="6"/>
  <c r="P20" i="4"/>
  <c r="BS15" i="2"/>
  <c r="L7" i="2"/>
  <c r="L23" i="2"/>
  <c r="R6" i="6"/>
  <c r="BH22" i="3"/>
  <c r="BJ22" i="3" s="1"/>
  <c r="BI4" i="1"/>
  <c r="BK4" i="1" s="1"/>
  <c r="L9" i="2"/>
  <c r="L20" i="2"/>
  <c r="P20" i="1"/>
  <c r="BR3" i="1"/>
  <c r="BI9" i="1"/>
  <c r="BK9" i="1" s="1"/>
  <c r="V5" i="1"/>
  <c r="AE5" i="1"/>
  <c r="AC5" i="1"/>
  <c r="AK5" i="1"/>
  <c r="R5" i="1"/>
  <c r="T5" i="1" s="1"/>
  <c r="AD5" i="1"/>
  <c r="AK13" i="1"/>
  <c r="AD13" i="1"/>
  <c r="R13" i="1"/>
  <c r="T13" i="1" s="1"/>
  <c r="AE13" i="1"/>
  <c r="AC13" i="1"/>
  <c r="V13" i="1"/>
  <c r="L6" i="6"/>
  <c r="J6" i="6"/>
  <c r="P8" i="1"/>
  <c r="BH16" i="3"/>
  <c r="BJ16" i="3" s="1"/>
  <c r="K8" i="3"/>
  <c r="K9" i="3"/>
  <c r="BH21" i="3"/>
  <c r="BJ21" i="3" s="1"/>
  <c r="L23" i="1"/>
  <c r="M23" i="1" s="1"/>
  <c r="P18" i="4"/>
  <c r="BS18" i="4"/>
  <c r="BJ23" i="4"/>
  <c r="BL23" i="4" s="1"/>
  <c r="P12" i="4"/>
  <c r="AR2" i="4"/>
  <c r="AZ2" i="4" s="1"/>
  <c r="BR14" i="3"/>
  <c r="P17" i="3"/>
  <c r="P18" i="3"/>
  <c r="BH6" i="3"/>
  <c r="BJ6" i="3" s="1"/>
  <c r="BH20" i="3"/>
  <c r="BJ20" i="3" s="1"/>
  <c r="BQ4" i="3"/>
  <c r="BR4" i="3" s="1"/>
  <c r="R15" i="6"/>
  <c r="L8" i="2"/>
  <c r="P15" i="1"/>
  <c r="BI8" i="1"/>
  <c r="BK8" i="1" s="1"/>
  <c r="BI21" i="1"/>
  <c r="BK21" i="1" s="1"/>
  <c r="L10" i="1"/>
  <c r="M10" i="1" s="1"/>
  <c r="L14" i="1"/>
  <c r="M14" i="1" s="1"/>
  <c r="L12" i="6"/>
  <c r="J12" i="6"/>
  <c r="P19" i="4"/>
  <c r="P16" i="4"/>
  <c r="L12" i="2"/>
  <c r="R12" i="6"/>
  <c r="J30" i="2"/>
  <c r="O30" i="2" s="1"/>
  <c r="M3" i="2"/>
  <c r="BJ11" i="4"/>
  <c r="BL11" i="4" s="1"/>
  <c r="BH4" i="3"/>
  <c r="BJ4" i="3" s="1"/>
  <c r="BT19" i="4"/>
  <c r="BT18" i="4"/>
  <c r="BJ9" i="4"/>
  <c r="BL9" i="4" s="1"/>
  <c r="P11" i="4"/>
  <c r="P15" i="3"/>
  <c r="P20" i="3"/>
  <c r="BH2" i="3"/>
  <c r="BJ2" i="3" s="1"/>
  <c r="BH23" i="3"/>
  <c r="BJ23" i="3" s="1"/>
  <c r="BS16" i="2"/>
  <c r="BQ10" i="3"/>
  <c r="BR10" i="3" s="1"/>
  <c r="M30" i="2"/>
  <c r="BJ4" i="2"/>
  <c r="BL4" i="2" s="1"/>
  <c r="BJ8" i="2"/>
  <c r="BL8" i="2" s="1"/>
  <c r="BS10" i="2"/>
  <c r="L14" i="2"/>
  <c r="R21" i="6"/>
  <c r="P18" i="1"/>
  <c r="BI20" i="1"/>
  <c r="BK20" i="1" s="1"/>
  <c r="BI10" i="1"/>
  <c r="BK10" i="1" s="1"/>
  <c r="L11" i="1"/>
  <c r="M11" i="1" s="1"/>
  <c r="L16" i="1"/>
  <c r="M16" i="1" s="1"/>
  <c r="L22" i="6"/>
  <c r="J22" i="6"/>
  <c r="L16" i="6"/>
  <c r="J16" i="6"/>
  <c r="M50" i="1"/>
  <c r="J42" i="1"/>
  <c r="O42" i="1" s="1"/>
  <c r="J31" i="1"/>
  <c r="J50" i="1"/>
  <c r="O50" i="1" s="1"/>
  <c r="J44" i="1"/>
  <c r="M44" i="1" s="1"/>
  <c r="Q17" i="1" s="1"/>
  <c r="J29" i="1"/>
  <c r="O29" i="1" s="1"/>
  <c r="N46" i="1"/>
  <c r="O43" i="1"/>
  <c r="J36" i="1"/>
  <c r="O36" i="1" s="1"/>
  <c r="J46" i="1"/>
  <c r="O46" i="1" s="1"/>
  <c r="M43" i="1"/>
  <c r="J32" i="1"/>
  <c r="N32" i="1" s="1"/>
  <c r="N30" i="1"/>
  <c r="O45" i="1"/>
  <c r="J43" i="1"/>
  <c r="J45" i="1"/>
  <c r="J37" i="1"/>
  <c r="O37" i="1" s="1"/>
  <c r="O31" i="1"/>
  <c r="N29" i="1"/>
  <c r="J33" i="1"/>
  <c r="M33" i="1" s="1"/>
  <c r="M29" i="1"/>
  <c r="N42" i="1"/>
  <c r="M46" i="1"/>
  <c r="N31" i="1"/>
  <c r="N45" i="1"/>
  <c r="J40" i="1"/>
  <c r="N40" i="1" s="1"/>
  <c r="M31" i="1"/>
  <c r="M45" i="1"/>
  <c r="Q18" i="1" s="1"/>
  <c r="O44" i="1"/>
  <c r="J30" i="1"/>
  <c r="M30" i="1" s="1"/>
  <c r="Q3" i="1" s="1"/>
  <c r="O30" i="1"/>
  <c r="O33" i="1"/>
  <c r="N50" i="1"/>
  <c r="N43" i="1"/>
  <c r="N44" i="1"/>
  <c r="AE6" i="1"/>
  <c r="AK6" i="1"/>
  <c r="AD6" i="1"/>
  <c r="AC6" i="1"/>
  <c r="V6" i="1"/>
  <c r="R6" i="1"/>
  <c r="T6" i="1" s="1"/>
  <c r="BS15" i="4"/>
  <c r="BT15" i="4" s="1"/>
  <c r="BS5" i="4"/>
  <c r="BT5" i="4" s="1"/>
  <c r="BJ7" i="4"/>
  <c r="BL7" i="4" s="1"/>
  <c r="P23" i="4"/>
  <c r="P13" i="3"/>
  <c r="P22" i="3"/>
  <c r="P23" i="3"/>
  <c r="BH11" i="3"/>
  <c r="BJ11" i="3" s="1"/>
  <c r="AP2" i="3"/>
  <c r="AX2" i="3" s="1"/>
  <c r="P18" i="2"/>
  <c r="P21" i="2"/>
  <c r="P15" i="2"/>
  <c r="P9" i="2"/>
  <c r="P20" i="2"/>
  <c r="P14" i="2"/>
  <c r="P8" i="2"/>
  <c r="P23" i="2"/>
  <c r="P22" i="2"/>
  <c r="P13" i="2"/>
  <c r="P19" i="2"/>
  <c r="P12" i="2"/>
  <c r="P6" i="2"/>
  <c r="P2" i="2"/>
  <c r="P7" i="2"/>
  <c r="P5" i="2"/>
  <c r="P16" i="2"/>
  <c r="P10" i="2"/>
  <c r="P3" i="2"/>
  <c r="P17" i="2"/>
  <c r="P11" i="2"/>
  <c r="P4" i="2"/>
  <c r="BI3" i="1"/>
  <c r="BK3" i="1" s="1"/>
  <c r="L15" i="2"/>
  <c r="P14" i="1"/>
  <c r="P19" i="1"/>
  <c r="BI16" i="1"/>
  <c r="BK16" i="1" s="1"/>
  <c r="BI22" i="1"/>
  <c r="BK22" i="1" s="1"/>
  <c r="L12" i="1"/>
  <c r="M12" i="1" s="1"/>
  <c r="R9" i="6"/>
  <c r="L18" i="6"/>
  <c r="J18" i="6"/>
  <c r="U2" i="6"/>
  <c r="BJ17" i="4"/>
  <c r="BL17" i="4" s="1"/>
  <c r="P15" i="4"/>
  <c r="R17" i="6"/>
  <c r="BJ15" i="4"/>
  <c r="BL15" i="4" s="1"/>
  <c r="BJ2" i="4"/>
  <c r="BL2" i="4" s="1"/>
  <c r="BJ13" i="4"/>
  <c r="BL13" i="4" s="1"/>
  <c r="P14" i="4"/>
  <c r="BS3" i="4"/>
  <c r="BT13" i="4"/>
  <c r="L21" i="3"/>
  <c r="M21" i="3" s="1"/>
  <c r="L22" i="3"/>
  <c r="M22" i="3" s="1"/>
  <c r="L18" i="3"/>
  <c r="M18" i="3" s="1"/>
  <c r="L15" i="3"/>
  <c r="M15" i="3" s="1"/>
  <c r="L12" i="3"/>
  <c r="M12" i="3" s="1"/>
  <c r="L17" i="3"/>
  <c r="M17" i="3" s="1"/>
  <c r="L13" i="3"/>
  <c r="M13" i="3" s="1"/>
  <c r="L8" i="3"/>
  <c r="M8" i="3" s="1"/>
  <c r="L5" i="3"/>
  <c r="M5" i="3" s="1"/>
  <c r="L23" i="3"/>
  <c r="M23" i="3" s="1"/>
  <c r="L16" i="3"/>
  <c r="M16" i="3" s="1"/>
  <c r="L19" i="3"/>
  <c r="M19" i="3" s="1"/>
  <c r="L7" i="3"/>
  <c r="M7" i="3" s="1"/>
  <c r="L14" i="3"/>
  <c r="M14" i="3" s="1"/>
  <c r="L11" i="3"/>
  <c r="M11" i="3" s="1"/>
  <c r="L3" i="3"/>
  <c r="M3" i="3" s="1"/>
  <c r="L20" i="3"/>
  <c r="M20" i="3" s="1"/>
  <c r="L9" i="3"/>
  <c r="M9" i="3" s="1"/>
  <c r="L6" i="3"/>
  <c r="M6" i="3" s="1"/>
  <c r="L4" i="3"/>
  <c r="M4" i="3" s="1"/>
  <c r="L10" i="3"/>
  <c r="M10" i="3" s="1"/>
  <c r="BS21" i="2"/>
  <c r="BH17" i="3"/>
  <c r="BJ17" i="3" s="1"/>
  <c r="BQ3" i="3"/>
  <c r="BR16" i="1"/>
  <c r="L10" i="2"/>
  <c r="P13" i="1"/>
  <c r="R7" i="6"/>
  <c r="P9" i="1"/>
  <c r="BI7" i="1"/>
  <c r="BK7" i="1" s="1"/>
  <c r="BI23" i="1"/>
  <c r="BK23" i="1" s="1"/>
  <c r="L15" i="1"/>
  <c r="M15" i="1" s="1"/>
  <c r="R23" i="6"/>
  <c r="AI2" i="6"/>
  <c r="AK2" i="6"/>
  <c r="AJ2" i="6"/>
  <c r="AH2" i="6"/>
  <c r="Z2" i="6"/>
  <c r="L14" i="6"/>
  <c r="J14" i="6"/>
  <c r="L2" i="6"/>
  <c r="J2" i="6"/>
  <c r="AD4" i="1"/>
  <c r="R4" i="1"/>
  <c r="T4" i="1" s="1"/>
  <c r="AC4" i="1"/>
  <c r="AK4" i="1"/>
  <c r="AE4" i="1"/>
  <c r="V4" i="1"/>
  <c r="BI18" i="1"/>
  <c r="BK18" i="1" s="1"/>
  <c r="L17" i="1"/>
  <c r="M17" i="1" s="1"/>
  <c r="O47" i="3"/>
  <c r="N39" i="3"/>
  <c r="J33" i="3"/>
  <c r="N47" i="3"/>
  <c r="O34" i="3"/>
  <c r="M47" i="3"/>
  <c r="M44" i="3"/>
  <c r="J42" i="3"/>
  <c r="M42" i="3" s="1"/>
  <c r="J39" i="3"/>
  <c r="O36" i="3"/>
  <c r="N34" i="3"/>
  <c r="N29" i="3"/>
  <c r="J47" i="3"/>
  <c r="J44" i="3"/>
  <c r="O44" i="3" s="1"/>
  <c r="M34" i="3"/>
  <c r="Q7" i="3" s="1"/>
  <c r="M29" i="3"/>
  <c r="O49" i="3"/>
  <c r="N41" i="3"/>
  <c r="J34" i="3"/>
  <c r="N49" i="3"/>
  <c r="M41" i="3"/>
  <c r="N38" i="3"/>
  <c r="J36" i="3"/>
  <c r="M36" i="3" s="1"/>
  <c r="M49" i="3"/>
  <c r="M46" i="3"/>
  <c r="J41" i="3"/>
  <c r="O41" i="3" s="1"/>
  <c r="O30" i="3"/>
  <c r="J49" i="3"/>
  <c r="J43" i="3"/>
  <c r="N43" i="3" s="1"/>
  <c r="N37" i="3"/>
  <c r="O33" i="3"/>
  <c r="N30" i="3"/>
  <c r="M37" i="3"/>
  <c r="M30" i="3"/>
  <c r="J37" i="3"/>
  <c r="O37" i="3" s="1"/>
  <c r="J30" i="3"/>
  <c r="J48" i="3"/>
  <c r="N48" i="3" s="1"/>
  <c r="J46" i="3"/>
  <c r="N46" i="3" s="1"/>
  <c r="O45" i="3"/>
  <c r="J29" i="3"/>
  <c r="O29" i="3" s="1"/>
  <c r="N45" i="3"/>
  <c r="J40" i="3"/>
  <c r="O40" i="3" s="1"/>
  <c r="O39" i="3"/>
  <c r="J45" i="3"/>
  <c r="M43" i="3"/>
  <c r="J38" i="3"/>
  <c r="O38" i="3" s="1"/>
  <c r="BT3" i="4"/>
  <c r="AJ2" i="3"/>
  <c r="BH12" i="3"/>
  <c r="BJ12" i="3" s="1"/>
  <c r="BS9" i="2"/>
  <c r="N30" i="2"/>
  <c r="BR3" i="3"/>
  <c r="BI19" i="1"/>
  <c r="BK19" i="1" s="1"/>
  <c r="L13" i="2"/>
  <c r="L16" i="2"/>
  <c r="P21" i="1"/>
  <c r="P7" i="1"/>
  <c r="BI12" i="1"/>
  <c r="BK12" i="1" s="1"/>
  <c r="P11" i="1"/>
  <c r="L7" i="1"/>
  <c r="M7" i="1" s="1"/>
  <c r="L3" i="6"/>
  <c r="J3" i="6"/>
  <c r="M3" i="6" s="1"/>
  <c r="L20" i="6"/>
  <c r="J20" i="6"/>
  <c r="L4" i="6"/>
  <c r="J4" i="6"/>
  <c r="L8" i="6"/>
  <c r="J8" i="6"/>
  <c r="BH13" i="3"/>
  <c r="BJ13" i="3" s="1"/>
  <c r="L22" i="1"/>
  <c r="M22" i="1" s="1"/>
  <c r="BJ21" i="4"/>
  <c r="BL21" i="4" s="1"/>
  <c r="BJ20" i="4"/>
  <c r="BL20" i="4" s="1"/>
  <c r="BS17" i="4"/>
  <c r="BJ14" i="4"/>
  <c r="BL14" i="4" s="1"/>
  <c r="BQ13" i="3"/>
  <c r="BR13" i="3" s="1"/>
  <c r="BH3" i="3"/>
  <c r="BJ3" i="3" s="1"/>
  <c r="BH18" i="3"/>
  <c r="BJ18" i="3" s="1"/>
  <c r="P29" i="6"/>
  <c r="J29" i="6"/>
  <c r="O29" i="6" s="1"/>
  <c r="L22" i="2"/>
  <c r="L5" i="2"/>
  <c r="R8" i="6"/>
  <c r="P10" i="1"/>
  <c r="BI6" i="1"/>
  <c r="BK6" i="1" s="1"/>
  <c r="L8" i="1"/>
  <c r="M8" i="1" s="1"/>
  <c r="L9" i="1"/>
  <c r="M9" i="1" s="1"/>
  <c r="R16" i="6"/>
  <c r="J13" i="6"/>
  <c r="M13" i="6" s="1"/>
  <c r="L13" i="6"/>
  <c r="L11" i="6"/>
  <c r="J11" i="6"/>
  <c r="M11" i="6" s="1"/>
  <c r="P22" i="4"/>
  <c r="BH9" i="3"/>
  <c r="BJ9" i="3" s="1"/>
  <c r="BJ20" i="2"/>
  <c r="BL20" i="2" s="1"/>
  <c r="BI14" i="1"/>
  <c r="BK14" i="1" s="1"/>
  <c r="BI15" i="1"/>
  <c r="BK15" i="1" s="1"/>
  <c r="BJ3" i="4"/>
  <c r="BL3" i="4" s="1"/>
  <c r="BJ6" i="4"/>
  <c r="BL6" i="4" s="1"/>
  <c r="BQ21" i="3"/>
  <c r="BR21" i="3" s="1"/>
  <c r="BH5" i="3"/>
  <c r="BJ5" i="3" s="1"/>
  <c r="L7" i="6"/>
  <c r="J7" i="6"/>
  <c r="M7" i="6" s="1"/>
  <c r="BH19" i="3"/>
  <c r="BJ19" i="3" s="1"/>
  <c r="BR13" i="1"/>
  <c r="BR23" i="3"/>
  <c r="BJ5" i="4"/>
  <c r="BL5" i="4" s="1"/>
  <c r="BT9" i="4"/>
  <c r="BJ19" i="4"/>
  <c r="BL19" i="4" s="1"/>
  <c r="P10" i="4"/>
  <c r="BS20" i="4"/>
  <c r="AH2" i="4"/>
  <c r="AK2" i="4" s="1"/>
  <c r="AL2" i="4" s="1"/>
  <c r="P10" i="3"/>
  <c r="BH8" i="3"/>
  <c r="BJ8" i="3" s="1"/>
  <c r="BH15" i="3"/>
  <c r="BJ15" i="3" s="1"/>
  <c r="BJ10" i="2"/>
  <c r="BL10" i="2" s="1"/>
  <c r="L6" i="2"/>
  <c r="R19" i="6"/>
  <c r="P17" i="1"/>
  <c r="P22" i="1"/>
  <c r="BI2" i="1"/>
  <c r="BK2" i="1" s="1"/>
  <c r="BI13" i="1"/>
  <c r="BK13" i="1" s="1"/>
  <c r="L20" i="1"/>
  <c r="M20" i="1" s="1"/>
  <c r="L21" i="1"/>
  <c r="M21" i="1" s="1"/>
  <c r="R22" i="6"/>
  <c r="L15" i="6"/>
  <c r="J15" i="6"/>
  <c r="M15" i="6" s="1"/>
  <c r="L5" i="6"/>
  <c r="J5" i="6"/>
  <c r="M5" i="6" s="1"/>
  <c r="J10" i="6"/>
  <c r="L10" i="6"/>
  <c r="L19" i="6"/>
  <c r="J19" i="6"/>
  <c r="M19" i="6" s="1"/>
  <c r="BJ22" i="4"/>
  <c r="BL22" i="4" s="1"/>
  <c r="J9" i="6"/>
  <c r="M9" i="6" s="1"/>
  <c r="L9" i="6"/>
  <c r="BJ18" i="4"/>
  <c r="BL18" i="4" s="1"/>
  <c r="P13" i="4"/>
  <c r="BJ12" i="4"/>
  <c r="BL12" i="4" s="1"/>
  <c r="P17" i="4"/>
  <c r="BT20" i="4"/>
  <c r="BR20" i="3"/>
  <c r="BT7" i="4"/>
  <c r="BQ11" i="3"/>
  <c r="BR11" i="3" s="1"/>
  <c r="BR16" i="3"/>
  <c r="BH7" i="3"/>
  <c r="BJ7" i="3" s="1"/>
  <c r="BH10" i="3"/>
  <c r="BJ10" i="3" s="1"/>
  <c r="BJ15" i="2"/>
  <c r="BL15" i="2" s="1"/>
  <c r="L19" i="2"/>
  <c r="R20" i="6"/>
  <c r="L4" i="2"/>
  <c r="L17" i="2"/>
  <c r="R14" i="6"/>
  <c r="R11" i="6"/>
  <c r="BI17" i="1"/>
  <c r="BK17" i="1" s="1"/>
  <c r="AK3" i="1"/>
  <c r="AE3" i="1"/>
  <c r="AD3" i="1"/>
  <c r="R3" i="1"/>
  <c r="T3" i="1" s="1"/>
  <c r="AC3" i="1"/>
  <c r="V3" i="1"/>
  <c r="L17" i="6"/>
  <c r="J17" i="6"/>
  <c r="M17" i="6" s="1"/>
  <c r="J21" i="6"/>
  <c r="M21" i="6" s="1"/>
  <c r="L21" i="6"/>
  <c r="J23" i="6"/>
  <c r="M23" i="6" s="1"/>
  <c r="L23" i="6"/>
  <c r="BT6" i="2" l="1"/>
  <c r="CA6" i="2" s="1"/>
  <c r="BV18" i="2"/>
  <c r="BT7" i="2"/>
  <c r="BW7" i="2" s="1"/>
  <c r="BU6" i="2"/>
  <c r="CB6" i="2" s="1"/>
  <c r="BW10" i="4"/>
  <c r="BZ10" i="4" s="1"/>
  <c r="BV11" i="2"/>
  <c r="BT11" i="2"/>
  <c r="BW11" i="2" s="1"/>
  <c r="BT14" i="3"/>
  <c r="BW14" i="3" s="1"/>
  <c r="BS14" i="3"/>
  <c r="BZ14" i="3" s="1"/>
  <c r="BT18" i="2"/>
  <c r="CA18" i="2" s="1"/>
  <c r="BT21" i="2"/>
  <c r="CA21" i="2" s="1"/>
  <c r="BU10" i="4"/>
  <c r="BX10" i="4" s="1"/>
  <c r="BV12" i="2"/>
  <c r="BU14" i="3"/>
  <c r="BX14" i="3" s="1"/>
  <c r="BT22" i="2"/>
  <c r="CA22" i="2" s="1"/>
  <c r="BV22" i="2"/>
  <c r="BU7" i="2"/>
  <c r="CB7" i="2" s="1"/>
  <c r="BU14" i="2"/>
  <c r="CB14" i="2" s="1"/>
  <c r="BV7" i="2"/>
  <c r="BV10" i="4"/>
  <c r="BV23" i="2"/>
  <c r="BV6" i="2"/>
  <c r="BT14" i="2"/>
  <c r="CA14" i="2" s="1"/>
  <c r="BV9" i="2"/>
  <c r="BT9" i="2"/>
  <c r="BU13" i="2"/>
  <c r="CB13" i="2" s="1"/>
  <c r="BU22" i="2"/>
  <c r="BU11" i="2"/>
  <c r="CB11" i="2" s="1"/>
  <c r="BU12" i="2"/>
  <c r="CB12" i="2" s="1"/>
  <c r="BU9" i="2"/>
  <c r="CB9" i="2" s="1"/>
  <c r="BU18" i="2"/>
  <c r="CB18" i="2" s="1"/>
  <c r="BU3" i="2"/>
  <c r="CB3" i="2" s="1"/>
  <c r="BT17" i="2"/>
  <c r="BW17" i="2" s="1"/>
  <c r="BU21" i="2"/>
  <c r="CB21" i="2" s="1"/>
  <c r="CI21" i="2" s="1"/>
  <c r="BT5" i="2"/>
  <c r="CA5" i="2" s="1"/>
  <c r="BV17" i="2"/>
  <c r="BU17" i="2"/>
  <c r="CB17" i="2" s="1"/>
  <c r="BT13" i="2"/>
  <c r="BW4" i="4"/>
  <c r="BZ4" i="4" s="1"/>
  <c r="BV4" i="4"/>
  <c r="BY4" i="4" s="1"/>
  <c r="BV5" i="2"/>
  <c r="E16" i="7"/>
  <c r="BT3" i="2"/>
  <c r="BV3" i="2"/>
  <c r="BU5" i="2"/>
  <c r="CB5" i="2" s="1"/>
  <c r="BT12" i="2"/>
  <c r="BW12" i="2" s="1"/>
  <c r="BU23" i="2"/>
  <c r="CB23" i="2" s="1"/>
  <c r="BU19" i="2"/>
  <c r="BT19" i="2"/>
  <c r="BW19" i="2" s="1"/>
  <c r="BV13" i="2"/>
  <c r="BT23" i="2"/>
  <c r="CA23" i="2" s="1"/>
  <c r="BV21" i="2"/>
  <c r="BV2" i="2"/>
  <c r="BY2" i="2" s="1"/>
  <c r="BT2" i="2"/>
  <c r="CA2" i="2" s="1"/>
  <c r="CH2" i="2" s="1"/>
  <c r="BV14" i="2"/>
  <c r="BV19" i="2"/>
  <c r="P7" i="7"/>
  <c r="E15" i="7" s="1"/>
  <c r="BU2" i="2"/>
  <c r="BX2" i="2" s="1"/>
  <c r="BU4" i="4"/>
  <c r="BX4" i="4" s="1"/>
  <c r="BS19" i="3"/>
  <c r="BV19" i="3" s="1"/>
  <c r="BU20" i="3"/>
  <c r="BX20" i="3" s="1"/>
  <c r="BU7" i="3"/>
  <c r="BX7" i="3" s="1"/>
  <c r="BV3" i="4"/>
  <c r="CC3" i="4" s="1"/>
  <c r="BW3" i="4"/>
  <c r="BZ3" i="4" s="1"/>
  <c r="BW21" i="4"/>
  <c r="BZ21" i="4" s="1"/>
  <c r="BW20" i="4"/>
  <c r="BZ20" i="4" s="1"/>
  <c r="BW17" i="4"/>
  <c r="BZ17" i="4" s="1"/>
  <c r="BU19" i="4"/>
  <c r="BX19" i="4" s="1"/>
  <c r="BU17" i="4"/>
  <c r="CB17" i="4" s="1"/>
  <c r="BW15" i="4"/>
  <c r="BZ15" i="4" s="1"/>
  <c r="BU13" i="4"/>
  <c r="CB13" i="4" s="1"/>
  <c r="BW22" i="4"/>
  <c r="BZ22" i="4" s="1"/>
  <c r="BV6" i="4"/>
  <c r="BY6" i="4" s="1"/>
  <c r="BW13" i="4"/>
  <c r="BZ13" i="4" s="1"/>
  <c r="BV12" i="4"/>
  <c r="CC12" i="4" s="1"/>
  <c r="BU22" i="4"/>
  <c r="BX22" i="4" s="1"/>
  <c r="BU5" i="4"/>
  <c r="CB5" i="4" s="1"/>
  <c r="BU21" i="4"/>
  <c r="BX21" i="4" s="1"/>
  <c r="BV13" i="4"/>
  <c r="BV22" i="4"/>
  <c r="CC22" i="4" s="1"/>
  <c r="BW8" i="4"/>
  <c r="BZ8" i="4" s="1"/>
  <c r="BU3" i="4"/>
  <c r="BX3" i="4" s="1"/>
  <c r="BV21" i="4"/>
  <c r="BV2" i="4"/>
  <c r="CC2" i="4" s="1"/>
  <c r="CJ2" i="4" s="1"/>
  <c r="BV23" i="4"/>
  <c r="BY23" i="4" s="1"/>
  <c r="BU7" i="4"/>
  <c r="CB7" i="4" s="1"/>
  <c r="BU23" i="4"/>
  <c r="CB23" i="4" s="1"/>
  <c r="BU15" i="4"/>
  <c r="CB15" i="4" s="1"/>
  <c r="BW7" i="4"/>
  <c r="BZ7" i="4" s="1"/>
  <c r="BU11" i="4"/>
  <c r="CB11" i="4" s="1"/>
  <c r="BW23" i="4"/>
  <c r="BZ23" i="4" s="1"/>
  <c r="BV11" i="4"/>
  <c r="BY11" i="4" s="1"/>
  <c r="BW11" i="4"/>
  <c r="BZ11" i="4" s="1"/>
  <c r="BS3" i="3"/>
  <c r="BZ3" i="3" s="1"/>
  <c r="CG3" i="3" s="1"/>
  <c r="BT13" i="3"/>
  <c r="CA13" i="3" s="1"/>
  <c r="CH13" i="3" s="1"/>
  <c r="BU11" i="3"/>
  <c r="BX11" i="3" s="1"/>
  <c r="BS16" i="3"/>
  <c r="BV16" i="3" s="1"/>
  <c r="BU23" i="3"/>
  <c r="BX23" i="3" s="1"/>
  <c r="BU5" i="3"/>
  <c r="BX5" i="3" s="1"/>
  <c r="BU13" i="3"/>
  <c r="BX13" i="3" s="1"/>
  <c r="BS4" i="3"/>
  <c r="BZ4" i="3" s="1"/>
  <c r="CG4" i="3" s="1"/>
  <c r="BU19" i="3"/>
  <c r="BX19" i="3" s="1"/>
  <c r="BT7" i="3"/>
  <c r="CA7" i="3" s="1"/>
  <c r="CH7" i="3" s="1"/>
  <c r="BS18" i="3"/>
  <c r="BZ18" i="3" s="1"/>
  <c r="BT12" i="3"/>
  <c r="BW12" i="3" s="1"/>
  <c r="BS5" i="3"/>
  <c r="BZ5" i="3" s="1"/>
  <c r="CG5" i="3" s="1"/>
  <c r="BS9" i="3"/>
  <c r="BZ9" i="3" s="1"/>
  <c r="CG9" i="3" s="1"/>
  <c r="BT18" i="3"/>
  <c r="CA18" i="3" s="1"/>
  <c r="CH18" i="3" s="1"/>
  <c r="BU18" i="3"/>
  <c r="BX18" i="3" s="1"/>
  <c r="BS21" i="3"/>
  <c r="BS13" i="3"/>
  <c r="BV13" i="3" s="1"/>
  <c r="BT21" i="3"/>
  <c r="CA21" i="3" s="1"/>
  <c r="CH21" i="3" s="1"/>
  <c r="BS15" i="3"/>
  <c r="BZ15" i="3" s="1"/>
  <c r="CG15" i="3" s="1"/>
  <c r="BS6" i="3"/>
  <c r="BV6" i="3" s="1"/>
  <c r="BU21" i="3"/>
  <c r="BX21" i="3" s="1"/>
  <c r="BU10" i="2"/>
  <c r="CB10" i="2" s="1"/>
  <c r="BV10" i="2"/>
  <c r="BV4" i="2"/>
  <c r="BT4" i="2"/>
  <c r="BU4" i="2"/>
  <c r="CB4" i="2" s="1"/>
  <c r="BT20" i="2"/>
  <c r="CA20" i="2" s="1"/>
  <c r="BV20" i="2"/>
  <c r="BU20" i="2"/>
  <c r="CB20" i="2" s="1"/>
  <c r="BT16" i="2"/>
  <c r="BW16" i="2" s="1"/>
  <c r="AQ2" i="1"/>
  <c r="AT2" i="1" s="1"/>
  <c r="AS2" i="1"/>
  <c r="AV2" i="1" s="1"/>
  <c r="AR2" i="1"/>
  <c r="AU2" i="1" s="1"/>
  <c r="E14" i="7"/>
  <c r="AT2" i="2"/>
  <c r="AX2" i="2" s="1"/>
  <c r="AR2" i="2"/>
  <c r="AV2" i="2" s="1"/>
  <c r="AS2" i="2"/>
  <c r="AW2" i="2" s="1"/>
  <c r="BU5" i="1"/>
  <c r="BW5" i="1" s="1"/>
  <c r="BT5" i="1"/>
  <c r="CA5" i="1" s="1"/>
  <c r="CH5" i="1" s="1"/>
  <c r="BT11" i="1"/>
  <c r="BX11" i="1" s="1"/>
  <c r="BS5" i="1"/>
  <c r="AR2" i="3"/>
  <c r="AU2" i="3" s="1"/>
  <c r="BS11" i="1"/>
  <c r="BV11" i="1" s="1"/>
  <c r="BK11" i="1"/>
  <c r="BG32" i="1" s="1"/>
  <c r="BU11" i="1"/>
  <c r="BW11" i="1" s="1"/>
  <c r="AT2" i="4"/>
  <c r="AW2" i="4" s="1"/>
  <c r="AT2" i="3"/>
  <c r="AW2" i="3" s="1"/>
  <c r="BS23" i="1"/>
  <c r="BZ23" i="1" s="1"/>
  <c r="BU18" i="1"/>
  <c r="BW18" i="1" s="1"/>
  <c r="BT19" i="1"/>
  <c r="BX19" i="1" s="1"/>
  <c r="BS10" i="1"/>
  <c r="BZ10" i="1" s="1"/>
  <c r="CG10" i="1" s="1"/>
  <c r="BU23" i="1"/>
  <c r="BW23" i="1" s="1"/>
  <c r="BT18" i="1"/>
  <c r="BX18" i="1" s="1"/>
  <c r="BT21" i="1"/>
  <c r="BX21" i="1" s="1"/>
  <c r="BS9" i="1"/>
  <c r="BZ9" i="1" s="1"/>
  <c r="CG9" i="1" s="1"/>
  <c r="BT9" i="1"/>
  <c r="BX9" i="1" s="1"/>
  <c r="BT12" i="1"/>
  <c r="BX12" i="1" s="1"/>
  <c r="BT22" i="1"/>
  <c r="BX22" i="1" s="1"/>
  <c r="BT16" i="1"/>
  <c r="BS14" i="1"/>
  <c r="BZ14" i="1" s="1"/>
  <c r="CG14" i="1" s="1"/>
  <c r="BT23" i="1"/>
  <c r="BU22" i="1"/>
  <c r="BW22" i="1" s="1"/>
  <c r="BU8" i="1"/>
  <c r="BW8" i="1" s="1"/>
  <c r="BU14" i="1"/>
  <c r="BW14" i="1" s="1"/>
  <c r="BS18" i="1"/>
  <c r="BV18" i="1" s="1"/>
  <c r="BT7" i="1"/>
  <c r="CA7" i="1" s="1"/>
  <c r="CH7" i="1" s="1"/>
  <c r="BS16" i="1"/>
  <c r="BZ16" i="1" s="1"/>
  <c r="BU9" i="1"/>
  <c r="BW9" i="1" s="1"/>
  <c r="BU4" i="1"/>
  <c r="BW4" i="1" s="1"/>
  <c r="BT14" i="1"/>
  <c r="CA14" i="1" s="1"/>
  <c r="BU7" i="1"/>
  <c r="BW7" i="1" s="1"/>
  <c r="BU16" i="1"/>
  <c r="BW16" i="1" s="1"/>
  <c r="BS12" i="1"/>
  <c r="BS2" i="1"/>
  <c r="BV2" i="1" s="1"/>
  <c r="BT17" i="1"/>
  <c r="BX17" i="1" s="1"/>
  <c r="BT2" i="1"/>
  <c r="CA2" i="1" s="1"/>
  <c r="CH2" i="1" s="1"/>
  <c r="BT13" i="1"/>
  <c r="CA13" i="1" s="1"/>
  <c r="CH13" i="1" s="1"/>
  <c r="BU2" i="1"/>
  <c r="BW2" i="1" s="1"/>
  <c r="BS20" i="1"/>
  <c r="BV20" i="1" s="1"/>
  <c r="BS4" i="1"/>
  <c r="BZ4" i="1" s="1"/>
  <c r="CG4" i="1" s="1"/>
  <c r="BU20" i="1"/>
  <c r="BW20" i="1" s="1"/>
  <c r="BT20" i="1"/>
  <c r="CA20" i="1" s="1"/>
  <c r="BS21" i="1"/>
  <c r="BV21" i="1" s="1"/>
  <c r="BT4" i="1"/>
  <c r="CA4" i="1" s="1"/>
  <c r="CH4" i="1" s="1"/>
  <c r="S3" i="1"/>
  <c r="Z3" i="1"/>
  <c r="AB3" i="1"/>
  <c r="AA3" i="1"/>
  <c r="Y3" i="1"/>
  <c r="W3" i="1"/>
  <c r="AB17" i="1"/>
  <c r="AA17" i="1"/>
  <c r="Y17" i="1"/>
  <c r="S18" i="1"/>
  <c r="AB18" i="1"/>
  <c r="Y18" i="1"/>
  <c r="AA18" i="1"/>
  <c r="Z18" i="1"/>
  <c r="W18" i="1"/>
  <c r="Q3" i="2"/>
  <c r="AK14" i="1"/>
  <c r="AC14" i="1"/>
  <c r="AE14" i="1"/>
  <c r="V14" i="1"/>
  <c r="R14" i="1"/>
  <c r="T14" i="1" s="1"/>
  <c r="AD14" i="1"/>
  <c r="AH18" i="1"/>
  <c r="AF18" i="1"/>
  <c r="AI18" i="1" s="1"/>
  <c r="AG18" i="1"/>
  <c r="X18" i="1"/>
  <c r="M20" i="4"/>
  <c r="J47" i="4"/>
  <c r="O47" i="4" s="1"/>
  <c r="U3" i="1"/>
  <c r="BU18" i="4"/>
  <c r="BS13" i="1"/>
  <c r="BT8" i="3"/>
  <c r="BV5" i="4"/>
  <c r="BT6" i="1"/>
  <c r="BU14" i="4"/>
  <c r="M20" i="6"/>
  <c r="N20" i="6" s="1"/>
  <c r="M16" i="2"/>
  <c r="N43" i="2"/>
  <c r="J43" i="2"/>
  <c r="O43" i="2" s="1"/>
  <c r="BU12" i="3"/>
  <c r="BX12" i="3" s="1"/>
  <c r="J35" i="3"/>
  <c r="O35" i="3" s="1"/>
  <c r="O48" i="3"/>
  <c r="Q22" i="3"/>
  <c r="O46" i="3"/>
  <c r="AL2" i="6"/>
  <c r="AC10" i="3"/>
  <c r="V10" i="3"/>
  <c r="AD10" i="3"/>
  <c r="R10" i="3"/>
  <c r="T10" i="3" s="1"/>
  <c r="AL10" i="3"/>
  <c r="AE10" i="3"/>
  <c r="AE5" i="3"/>
  <c r="AD5" i="3"/>
  <c r="R5" i="3"/>
  <c r="T5" i="3" s="1"/>
  <c r="V5" i="3"/>
  <c r="AL5" i="3"/>
  <c r="AC5" i="3"/>
  <c r="BS11" i="3"/>
  <c r="Q4" i="1"/>
  <c r="M32" i="1"/>
  <c r="N33" i="1"/>
  <c r="Q6" i="1" s="1"/>
  <c r="BU10" i="1"/>
  <c r="BW10" i="1" s="1"/>
  <c r="BV9" i="4"/>
  <c r="R10" i="1"/>
  <c r="T10" i="1" s="1"/>
  <c r="AD10" i="1"/>
  <c r="AK10" i="1"/>
  <c r="AE10" i="1"/>
  <c r="AC10" i="1"/>
  <c r="V10" i="1"/>
  <c r="BU6" i="3"/>
  <c r="BX6" i="3" s="1"/>
  <c r="BS22" i="3"/>
  <c r="BU16" i="4"/>
  <c r="BV8" i="4"/>
  <c r="M10" i="4"/>
  <c r="J37" i="4"/>
  <c r="O37" i="4" s="1"/>
  <c r="M37" i="4"/>
  <c r="Q10" i="3"/>
  <c r="AF4" i="1"/>
  <c r="AH4" i="1"/>
  <c r="X4" i="1"/>
  <c r="AG4" i="1"/>
  <c r="V4" i="3"/>
  <c r="AL4" i="3"/>
  <c r="AE4" i="3"/>
  <c r="AD4" i="3"/>
  <c r="AC4" i="3"/>
  <c r="R4" i="3"/>
  <c r="T4" i="3" s="1"/>
  <c r="M47" i="1"/>
  <c r="Q20" i="1" s="1"/>
  <c r="BT11" i="3"/>
  <c r="BC32" i="2"/>
  <c r="BV16" i="4"/>
  <c r="BU13" i="1"/>
  <c r="BW13" i="1" s="1"/>
  <c r="BT15" i="1"/>
  <c r="BW14" i="4"/>
  <c r="BZ14" i="4" s="1"/>
  <c r="BV15" i="2"/>
  <c r="O42" i="3"/>
  <c r="Q14" i="3"/>
  <c r="AB7" i="3"/>
  <c r="Z7" i="3"/>
  <c r="Q20" i="3"/>
  <c r="AL4" i="1"/>
  <c r="AM4" i="1" s="1"/>
  <c r="AP4" i="1" s="1"/>
  <c r="AN4" i="1"/>
  <c r="V15" i="1"/>
  <c r="AE15" i="1"/>
  <c r="AK15" i="1"/>
  <c r="AD15" i="1"/>
  <c r="AC15" i="1"/>
  <c r="R15" i="1"/>
  <c r="T15" i="1" s="1"/>
  <c r="M10" i="2"/>
  <c r="N37" i="2"/>
  <c r="M37" i="2"/>
  <c r="J37" i="2"/>
  <c r="O37" i="2" s="1"/>
  <c r="AE9" i="3"/>
  <c r="AD9" i="3"/>
  <c r="R9" i="3"/>
  <c r="T9" i="3" s="1"/>
  <c r="V9" i="3"/>
  <c r="AL9" i="3"/>
  <c r="AC9" i="3"/>
  <c r="AE17" i="3"/>
  <c r="AD17" i="3"/>
  <c r="AL17" i="3"/>
  <c r="AC17" i="3"/>
  <c r="V17" i="3"/>
  <c r="R17" i="3"/>
  <c r="T17" i="3" s="1"/>
  <c r="BS19" i="1"/>
  <c r="AL13" i="1"/>
  <c r="AM13" i="1" s="1"/>
  <c r="AP13" i="1" s="1"/>
  <c r="AN13" i="1"/>
  <c r="BU22" i="3"/>
  <c r="BX22" i="3" s="1"/>
  <c r="BW16" i="4"/>
  <c r="BZ16" i="4" s="1"/>
  <c r="N48" i="2"/>
  <c r="M9" i="4"/>
  <c r="J36" i="4"/>
  <c r="O36" i="4" s="1"/>
  <c r="M6" i="4"/>
  <c r="J33" i="4"/>
  <c r="O33" i="4" s="1"/>
  <c r="AE20" i="1"/>
  <c r="AD20" i="1"/>
  <c r="R20" i="1"/>
  <c r="T20" i="1" s="1"/>
  <c r="AC20" i="1"/>
  <c r="V20" i="1"/>
  <c r="AK20" i="1"/>
  <c r="V11" i="2"/>
  <c r="AD11" i="2"/>
  <c r="R11" i="2"/>
  <c r="T11" i="2" s="1"/>
  <c r="AL11" i="2"/>
  <c r="AE11" i="2"/>
  <c r="AC11" i="2"/>
  <c r="BV14" i="4"/>
  <c r="AE13" i="3"/>
  <c r="AC13" i="3"/>
  <c r="AD13" i="3"/>
  <c r="V13" i="3"/>
  <c r="AL13" i="3"/>
  <c r="R13" i="3"/>
  <c r="T13" i="3" s="1"/>
  <c r="AN3" i="1"/>
  <c r="AL3" i="1"/>
  <c r="AM3" i="1" s="1"/>
  <c r="AP3" i="1" s="1"/>
  <c r="M5" i="2"/>
  <c r="N32" i="2"/>
  <c r="M32" i="2"/>
  <c r="Q5" i="2" s="1"/>
  <c r="J32" i="2"/>
  <c r="O32" i="2" s="1"/>
  <c r="BS17" i="1"/>
  <c r="BS10" i="3"/>
  <c r="M10" i="6"/>
  <c r="N13" i="6" s="1"/>
  <c r="BT5" i="3"/>
  <c r="BU15" i="1"/>
  <c r="BW15" i="1" s="1"/>
  <c r="BT9" i="3"/>
  <c r="M22" i="2"/>
  <c r="J49" i="2"/>
  <c r="O49" i="2" s="1"/>
  <c r="Q29" i="6"/>
  <c r="BT15" i="2"/>
  <c r="AD7" i="1"/>
  <c r="R7" i="1"/>
  <c r="T7" i="1" s="1"/>
  <c r="AK7" i="1"/>
  <c r="AE7" i="1"/>
  <c r="AC7" i="1"/>
  <c r="V7" i="1"/>
  <c r="M35" i="3"/>
  <c r="M48" i="3"/>
  <c r="Q21" i="3" s="1"/>
  <c r="O43" i="3"/>
  <c r="N36" i="3"/>
  <c r="Q9" i="3" s="1"/>
  <c r="N42" i="3"/>
  <c r="Q15" i="3" s="1"/>
  <c r="AE20" i="3"/>
  <c r="AD20" i="3"/>
  <c r="R20" i="3"/>
  <c r="T20" i="3" s="1"/>
  <c r="U20" i="3" s="1"/>
  <c r="AC20" i="3"/>
  <c r="AL20" i="3"/>
  <c r="V20" i="3"/>
  <c r="AL12" i="3"/>
  <c r="R12" i="3"/>
  <c r="T12" i="3" s="1"/>
  <c r="U12" i="3" s="1"/>
  <c r="AD12" i="3"/>
  <c r="AC12" i="3"/>
  <c r="V12" i="3"/>
  <c r="AE12" i="3"/>
  <c r="BU2" i="4"/>
  <c r="BV17" i="4"/>
  <c r="BS3" i="1"/>
  <c r="BU19" i="1"/>
  <c r="BW19" i="1" s="1"/>
  <c r="N37" i="1"/>
  <c r="J35" i="1"/>
  <c r="O35" i="1" s="1"/>
  <c r="J38" i="1"/>
  <c r="O38" i="1" s="1"/>
  <c r="N49" i="1"/>
  <c r="M16" i="6"/>
  <c r="BV8" i="2"/>
  <c r="BS23" i="3"/>
  <c r="BU21" i="1"/>
  <c r="BW21" i="1" s="1"/>
  <c r="BT16" i="3"/>
  <c r="M20" i="2"/>
  <c r="J47" i="2"/>
  <c r="O47" i="2" s="1"/>
  <c r="AG19" i="1"/>
  <c r="AF19" i="1"/>
  <c r="X19" i="1"/>
  <c r="AH19" i="1"/>
  <c r="M48" i="2"/>
  <c r="M3" i="4"/>
  <c r="J30" i="4"/>
  <c r="O30" i="4" s="1"/>
  <c r="M30" i="4"/>
  <c r="M12" i="4"/>
  <c r="J39" i="4"/>
  <c r="O39" i="4" s="1"/>
  <c r="M19" i="2"/>
  <c r="J46" i="2"/>
  <c r="O46" i="2" s="1"/>
  <c r="AD22" i="1"/>
  <c r="R22" i="1"/>
  <c r="T22" i="1" s="1"/>
  <c r="AC22" i="1"/>
  <c r="AK22" i="1"/>
  <c r="AE22" i="1"/>
  <c r="V22" i="1"/>
  <c r="BS15" i="1"/>
  <c r="BU9" i="3"/>
  <c r="BX9" i="3" s="1"/>
  <c r="BU20" i="4"/>
  <c r="M40" i="3"/>
  <c r="U4" i="1"/>
  <c r="R3" i="3"/>
  <c r="T3" i="3" s="1"/>
  <c r="AE3" i="3"/>
  <c r="AD3" i="3"/>
  <c r="AC3" i="3"/>
  <c r="V3" i="3"/>
  <c r="AL3" i="3"/>
  <c r="AE15" i="3"/>
  <c r="AD15" i="3"/>
  <c r="AC15" i="3"/>
  <c r="V15" i="3"/>
  <c r="R15" i="3"/>
  <c r="T15" i="3" s="1"/>
  <c r="AL15" i="3"/>
  <c r="BT3" i="1"/>
  <c r="M40" i="1"/>
  <c r="Q13" i="1" s="1"/>
  <c r="J48" i="1"/>
  <c r="O40" i="1"/>
  <c r="O32" i="1"/>
  <c r="J47" i="1"/>
  <c r="O47" i="1" s="1"/>
  <c r="BT8" i="2"/>
  <c r="BU16" i="3"/>
  <c r="BX16" i="3" s="1"/>
  <c r="M9" i="2"/>
  <c r="J36" i="2"/>
  <c r="O36" i="2" s="1"/>
  <c r="M36" i="2"/>
  <c r="Q9" i="2" s="1"/>
  <c r="N36" i="2"/>
  <c r="M18" i="2"/>
  <c r="J45" i="2"/>
  <c r="O45" i="2" s="1"/>
  <c r="M45" i="2"/>
  <c r="N45" i="2"/>
  <c r="V21" i="2"/>
  <c r="AE21" i="2"/>
  <c r="AL21" i="2"/>
  <c r="AD21" i="2"/>
  <c r="AC21" i="2"/>
  <c r="R21" i="2"/>
  <c r="T21" i="2" s="1"/>
  <c r="M11" i="4"/>
  <c r="M38" i="4"/>
  <c r="J38" i="4"/>
  <c r="O38" i="4" s="1"/>
  <c r="N38" i="4"/>
  <c r="M18" i="4"/>
  <c r="N45" i="4"/>
  <c r="J45" i="4"/>
  <c r="O45" i="4" s="1"/>
  <c r="M4" i="2"/>
  <c r="J31" i="2"/>
  <c r="O31" i="2" s="1"/>
  <c r="N31" i="2"/>
  <c r="Q19" i="3"/>
  <c r="M13" i="2"/>
  <c r="J40" i="2"/>
  <c r="O40" i="2" s="1"/>
  <c r="U13" i="1"/>
  <c r="AL6" i="3"/>
  <c r="V6" i="3"/>
  <c r="R6" i="3"/>
  <c r="T6" i="3" s="1"/>
  <c r="AE6" i="3"/>
  <c r="AD6" i="3"/>
  <c r="AC6" i="3"/>
  <c r="Q23" i="1"/>
  <c r="BU10" i="3"/>
  <c r="BX10" i="3" s="1"/>
  <c r="Q16" i="3"/>
  <c r="M33" i="3"/>
  <c r="J31" i="3"/>
  <c r="AE11" i="3"/>
  <c r="AL11" i="3"/>
  <c r="AD11" i="3"/>
  <c r="AC11" i="3"/>
  <c r="R11" i="3"/>
  <c r="T11" i="3" s="1"/>
  <c r="V11" i="3"/>
  <c r="AE18" i="3"/>
  <c r="AD18" i="3"/>
  <c r="AC18" i="3"/>
  <c r="R18" i="3"/>
  <c r="T18" i="3" s="1"/>
  <c r="AL18" i="3"/>
  <c r="V18" i="3"/>
  <c r="M18" i="6"/>
  <c r="AH6" i="1"/>
  <c r="AG6" i="1"/>
  <c r="X6" i="1"/>
  <c r="AF6" i="1"/>
  <c r="AI6" i="1" s="1"/>
  <c r="Q19" i="1"/>
  <c r="Q16" i="1"/>
  <c r="M22" i="6"/>
  <c r="BU8" i="2"/>
  <c r="BT23" i="3"/>
  <c r="BT4" i="3"/>
  <c r="BS8" i="1"/>
  <c r="BS20" i="3"/>
  <c r="AU2" i="4"/>
  <c r="AX2" i="4" s="1"/>
  <c r="AN5" i="1"/>
  <c r="AL5" i="1"/>
  <c r="AM5" i="1" s="1"/>
  <c r="AP5" i="1" s="1"/>
  <c r="N50" i="2"/>
  <c r="M23" i="2"/>
  <c r="J50" i="2"/>
  <c r="O50" i="2" s="1"/>
  <c r="M50" i="2"/>
  <c r="BV16" i="2"/>
  <c r="AN19" i="1"/>
  <c r="AL19" i="1"/>
  <c r="AM19" i="1" s="1"/>
  <c r="AP19" i="1" s="1"/>
  <c r="AL18" i="1"/>
  <c r="AM18" i="1" s="1"/>
  <c r="AP18" i="1" s="1"/>
  <c r="AN18" i="1"/>
  <c r="M4" i="4"/>
  <c r="J31" i="4"/>
  <c r="O31" i="4" s="1"/>
  <c r="M23" i="4"/>
  <c r="J50" i="4"/>
  <c r="O50" i="4" s="1"/>
  <c r="M50" i="4"/>
  <c r="BW18" i="4"/>
  <c r="BZ18" i="4" s="1"/>
  <c r="BT22" i="3"/>
  <c r="BU17" i="3"/>
  <c r="BX17" i="3" s="1"/>
  <c r="AE14" i="3"/>
  <c r="AL14" i="3"/>
  <c r="AC14" i="3"/>
  <c r="V14" i="3"/>
  <c r="R14" i="3"/>
  <c r="T14" i="3" s="1"/>
  <c r="AD14" i="3"/>
  <c r="V22" i="3"/>
  <c r="AE22" i="3"/>
  <c r="AC22" i="3"/>
  <c r="AL22" i="3"/>
  <c r="AD22" i="3"/>
  <c r="R22" i="3"/>
  <c r="T22" i="3" s="1"/>
  <c r="U22" i="3" s="1"/>
  <c r="BW2" i="4"/>
  <c r="BZ2" i="4" s="1"/>
  <c r="BU3" i="1"/>
  <c r="BW3" i="1" s="1"/>
  <c r="M36" i="1"/>
  <c r="BU2" i="3"/>
  <c r="BX2" i="3" s="1"/>
  <c r="BU4" i="3"/>
  <c r="BX4" i="3" s="1"/>
  <c r="AD3" i="2"/>
  <c r="R3" i="2"/>
  <c r="T3" i="2" s="1"/>
  <c r="U3" i="2" s="1"/>
  <c r="AC3" i="2"/>
  <c r="AL3" i="2"/>
  <c r="AE3" i="2"/>
  <c r="V3" i="2"/>
  <c r="AV2" i="4"/>
  <c r="AY2" i="4" s="1"/>
  <c r="M6" i="6"/>
  <c r="M7" i="2"/>
  <c r="J34" i="2"/>
  <c r="O34" i="2" s="1"/>
  <c r="U19" i="1"/>
  <c r="N34" i="4"/>
  <c r="M7" i="4"/>
  <c r="J34" i="4"/>
  <c r="O34" i="4" s="1"/>
  <c r="M34" i="4"/>
  <c r="M16" i="4"/>
  <c r="M43" i="4"/>
  <c r="J43" i="4"/>
  <c r="O43" i="4" s="1"/>
  <c r="M6" i="2"/>
  <c r="J33" i="2"/>
  <c r="O33" i="2" s="1"/>
  <c r="M22" i="4"/>
  <c r="M49" i="4"/>
  <c r="Q22" i="4" s="1"/>
  <c r="J49" i="4"/>
  <c r="O49" i="4" s="1"/>
  <c r="N49" i="4"/>
  <c r="BU15" i="2"/>
  <c r="BT15" i="3"/>
  <c r="BH32" i="4"/>
  <c r="AC9" i="1"/>
  <c r="AK9" i="1"/>
  <c r="V9" i="1"/>
  <c r="AE9" i="1"/>
  <c r="R9" i="1"/>
  <c r="T9" i="1" s="1"/>
  <c r="AD9" i="1"/>
  <c r="N35" i="3"/>
  <c r="BS7" i="3"/>
  <c r="BW12" i="4"/>
  <c r="BZ12" i="4" s="1"/>
  <c r="BT10" i="2"/>
  <c r="BU15" i="3"/>
  <c r="BX15" i="3" s="1"/>
  <c r="BV19" i="4"/>
  <c r="BT19" i="3"/>
  <c r="BU6" i="4"/>
  <c r="AC8" i="1"/>
  <c r="AE8" i="1"/>
  <c r="R8" i="1"/>
  <c r="T8" i="1" s="1"/>
  <c r="AD8" i="1"/>
  <c r="V8" i="1"/>
  <c r="AK8" i="1"/>
  <c r="BT3" i="3"/>
  <c r="BV20" i="4"/>
  <c r="M8" i="6"/>
  <c r="BU12" i="1"/>
  <c r="BW12" i="1" s="1"/>
  <c r="N31" i="3"/>
  <c r="N40" i="3"/>
  <c r="M38" i="3"/>
  <c r="Q11" i="3" s="1"/>
  <c r="J50" i="3"/>
  <c r="O50" i="3" s="1"/>
  <c r="M39" i="3"/>
  <c r="Q12" i="3" s="1"/>
  <c r="AD17" i="1"/>
  <c r="R17" i="1"/>
  <c r="T17" i="1" s="1"/>
  <c r="U17" i="1" s="1"/>
  <c r="AC17" i="1"/>
  <c r="AE17" i="1"/>
  <c r="Z17" i="1" s="1"/>
  <c r="V17" i="1"/>
  <c r="AK17" i="1"/>
  <c r="BS7" i="1"/>
  <c r="BS17" i="3"/>
  <c r="V7" i="3"/>
  <c r="AC7" i="3"/>
  <c r="AA7" i="3" s="1"/>
  <c r="AL7" i="3"/>
  <c r="R7" i="3"/>
  <c r="T7" i="3" s="1"/>
  <c r="U7" i="3" s="1"/>
  <c r="AE7" i="3"/>
  <c r="Y7" i="3" s="1"/>
  <c r="AD7" i="3"/>
  <c r="AL21" i="3"/>
  <c r="AC21" i="3"/>
  <c r="V21" i="3"/>
  <c r="R21" i="3"/>
  <c r="T21" i="3" s="1"/>
  <c r="U21" i="3" s="1"/>
  <c r="AE21" i="3"/>
  <c r="AD21" i="3"/>
  <c r="BV15" i="4"/>
  <c r="M15" i="2"/>
  <c r="N42" i="2"/>
  <c r="J42" i="2"/>
  <c r="O42" i="2" s="1"/>
  <c r="AS2" i="3"/>
  <c r="AV2" i="3" s="1"/>
  <c r="J41" i="1"/>
  <c r="M37" i="1"/>
  <c r="Q10" i="1" s="1"/>
  <c r="J49" i="1"/>
  <c r="O49" i="1" s="1"/>
  <c r="AK16" i="1"/>
  <c r="V16" i="1"/>
  <c r="AE16" i="1"/>
  <c r="AD16" i="1"/>
  <c r="R16" i="1"/>
  <c r="T16" i="1" s="1"/>
  <c r="U16" i="1" s="1"/>
  <c r="AC16" i="1"/>
  <c r="M14" i="2"/>
  <c r="J41" i="2"/>
  <c r="O41" i="2" s="1"/>
  <c r="N41" i="2"/>
  <c r="M41" i="2"/>
  <c r="Q14" i="2" s="1"/>
  <c r="BS2" i="3"/>
  <c r="M12" i="6"/>
  <c r="BT8" i="1"/>
  <c r="BT20" i="3"/>
  <c r="AC23" i="1"/>
  <c r="AK23" i="1"/>
  <c r="R23" i="1"/>
  <c r="T23" i="1" s="1"/>
  <c r="U23" i="1" s="1"/>
  <c r="AE23" i="1"/>
  <c r="AD23" i="1"/>
  <c r="V23" i="1"/>
  <c r="BU16" i="2"/>
  <c r="U18" i="1"/>
  <c r="M5" i="4"/>
  <c r="J32" i="4"/>
  <c r="O32" i="4" s="1"/>
  <c r="M32" i="4"/>
  <c r="M21" i="4"/>
  <c r="J48" i="4"/>
  <c r="O48" i="4" s="1"/>
  <c r="M48" i="4"/>
  <c r="BV18" i="4"/>
  <c r="V8" i="3"/>
  <c r="AE8" i="3"/>
  <c r="AD8" i="3"/>
  <c r="R8" i="3"/>
  <c r="T8" i="3" s="1"/>
  <c r="AL8" i="3"/>
  <c r="AC8" i="3"/>
  <c r="N36" i="1"/>
  <c r="M8" i="4"/>
  <c r="J35" i="4"/>
  <c r="O35" i="4" s="1"/>
  <c r="N35" i="4"/>
  <c r="M35" i="4"/>
  <c r="BU12" i="4"/>
  <c r="BW19" i="4"/>
  <c r="BZ19" i="4" s="1"/>
  <c r="Q3" i="3"/>
  <c r="V19" i="3"/>
  <c r="AE19" i="3"/>
  <c r="AC19" i="3"/>
  <c r="AD19" i="3"/>
  <c r="AL19" i="3"/>
  <c r="R19" i="3"/>
  <c r="T19" i="3" s="1"/>
  <c r="U19" i="3" s="1"/>
  <c r="V12" i="1"/>
  <c r="AE12" i="1"/>
  <c r="AK12" i="1"/>
  <c r="R12" i="1"/>
  <c r="T12" i="1" s="1"/>
  <c r="AD12" i="1"/>
  <c r="AC12" i="1"/>
  <c r="AN6" i="1"/>
  <c r="AL6" i="1"/>
  <c r="AM6" i="1" s="1"/>
  <c r="AP6" i="1" s="1"/>
  <c r="N47" i="1"/>
  <c r="N41" i="1"/>
  <c r="AK11" i="1"/>
  <c r="R11" i="1"/>
  <c r="T11" i="1" s="1"/>
  <c r="AD11" i="1"/>
  <c r="AC11" i="1"/>
  <c r="V11" i="1"/>
  <c r="AE11" i="1"/>
  <c r="BU9" i="4"/>
  <c r="BF32" i="3"/>
  <c r="AH5" i="1"/>
  <c r="X5" i="1"/>
  <c r="AG5" i="1"/>
  <c r="AF5" i="1"/>
  <c r="AI5" i="1" s="1"/>
  <c r="M13" i="4"/>
  <c r="J40" i="4"/>
  <c r="O40" i="4" s="1"/>
  <c r="M40" i="4"/>
  <c r="M14" i="4"/>
  <c r="J41" i="4"/>
  <c r="O41" i="4" s="1"/>
  <c r="AE23" i="3"/>
  <c r="AD23" i="3"/>
  <c r="R23" i="3"/>
  <c r="T23" i="3" s="1"/>
  <c r="AC23" i="3"/>
  <c r="AL23" i="3"/>
  <c r="V23" i="3"/>
  <c r="BW5" i="4"/>
  <c r="BZ5" i="4" s="1"/>
  <c r="N5" i="6"/>
  <c r="N18" i="6"/>
  <c r="N14" i="6"/>
  <c r="N7" i="6"/>
  <c r="N3" i="6"/>
  <c r="N8" i="6"/>
  <c r="M15" i="4"/>
  <c r="M42" i="4"/>
  <c r="J42" i="4"/>
  <c r="O42" i="4" s="1"/>
  <c r="BT10" i="3"/>
  <c r="BU17" i="1"/>
  <c r="BW17" i="1" s="1"/>
  <c r="BU8" i="3"/>
  <c r="BX8" i="3" s="1"/>
  <c r="BW6" i="4"/>
  <c r="BZ6" i="4" s="1"/>
  <c r="BS6" i="1"/>
  <c r="X3" i="1"/>
  <c r="AG3" i="1"/>
  <c r="AH3" i="1"/>
  <c r="AF3" i="1"/>
  <c r="AI3" i="1" s="1"/>
  <c r="M17" i="2"/>
  <c r="J44" i="2"/>
  <c r="O44" i="2" s="1"/>
  <c r="AE21" i="1"/>
  <c r="AD21" i="1"/>
  <c r="R21" i="1"/>
  <c r="T21" i="1" s="1"/>
  <c r="AC21" i="1"/>
  <c r="V21" i="1"/>
  <c r="AK21" i="1"/>
  <c r="BS8" i="3"/>
  <c r="BU6" i="1"/>
  <c r="BW6" i="1" s="1"/>
  <c r="BU3" i="3"/>
  <c r="BX3" i="3" s="1"/>
  <c r="M4" i="6"/>
  <c r="N6" i="6" s="1"/>
  <c r="BS12" i="3"/>
  <c r="M45" i="3"/>
  <c r="Q18" i="3" s="1"/>
  <c r="J32" i="3"/>
  <c r="N33" i="3"/>
  <c r="N44" i="3"/>
  <c r="Q17" i="3" s="1"/>
  <c r="M14" i="6"/>
  <c r="BT17" i="3"/>
  <c r="AE16" i="3"/>
  <c r="AC16" i="3"/>
  <c r="V16" i="3"/>
  <c r="R16" i="3"/>
  <c r="T16" i="3" s="1"/>
  <c r="U16" i="3" s="1"/>
  <c r="AL16" i="3"/>
  <c r="AD16" i="3"/>
  <c r="BS22" i="1"/>
  <c r="BV7" i="4"/>
  <c r="M42" i="1"/>
  <c r="Q15" i="1" s="1"/>
  <c r="J34" i="1"/>
  <c r="M34" i="1" s="1"/>
  <c r="J39" i="1"/>
  <c r="O39" i="1" s="1"/>
  <c r="BT10" i="1"/>
  <c r="BT2" i="3"/>
  <c r="BW9" i="4"/>
  <c r="BZ9" i="4" s="1"/>
  <c r="M12" i="2"/>
  <c r="J39" i="2"/>
  <c r="O39" i="2" s="1"/>
  <c r="M8" i="2"/>
  <c r="J35" i="2"/>
  <c r="O35" i="2" s="1"/>
  <c r="BT6" i="3"/>
  <c r="X13" i="1"/>
  <c r="AH13" i="1"/>
  <c r="AG13" i="1"/>
  <c r="AF13" i="1"/>
  <c r="AI13" i="1" s="1"/>
  <c r="BU8" i="4"/>
  <c r="M38" i="2"/>
  <c r="Q11" i="2" s="1"/>
  <c r="M19" i="4"/>
  <c r="J46" i="4"/>
  <c r="O46" i="4" s="1"/>
  <c r="N44" i="4"/>
  <c r="J44" i="4"/>
  <c r="O44" i="4" s="1"/>
  <c r="M17" i="4"/>
  <c r="M44" i="4"/>
  <c r="Q17" i="4" s="1"/>
  <c r="CA7" i="2" l="1"/>
  <c r="CG14" i="3"/>
  <c r="BW6" i="2"/>
  <c r="BW22" i="2"/>
  <c r="BZ7" i="2"/>
  <c r="CE18" i="2"/>
  <c r="BZ18" i="2"/>
  <c r="BW18" i="2"/>
  <c r="CH21" i="2"/>
  <c r="BW14" i="2"/>
  <c r="CA11" i="2"/>
  <c r="CH11" i="2" s="1"/>
  <c r="CF13" i="2"/>
  <c r="BZ9" i="2"/>
  <c r="BZ11" i="2"/>
  <c r="CE13" i="2"/>
  <c r="CA9" i="2"/>
  <c r="CD9" i="2"/>
  <c r="CE9" i="2"/>
  <c r="BZ13" i="2"/>
  <c r="BW21" i="2"/>
  <c r="CE14" i="3"/>
  <c r="BW13" i="2"/>
  <c r="CC14" i="3"/>
  <c r="CJ14" i="3" s="1"/>
  <c r="CA13" i="2"/>
  <c r="CH13" i="2" s="1"/>
  <c r="CD13" i="2"/>
  <c r="BZ19" i="3"/>
  <c r="CG19" i="3" s="1"/>
  <c r="CA10" i="4"/>
  <c r="BW9" i="2"/>
  <c r="BZ22" i="2"/>
  <c r="CE6" i="2"/>
  <c r="CB10" i="4"/>
  <c r="BZ5" i="2"/>
  <c r="BX7" i="4"/>
  <c r="CF7" i="2"/>
  <c r="BZ2" i="2"/>
  <c r="CD7" i="2"/>
  <c r="CK7" i="2" s="1"/>
  <c r="CE10" i="4"/>
  <c r="CE7" i="2"/>
  <c r="CD11" i="2"/>
  <c r="CK11" i="2" s="1"/>
  <c r="CC7" i="2"/>
  <c r="CC9" i="2"/>
  <c r="CC13" i="2"/>
  <c r="CD10" i="4"/>
  <c r="CA14" i="3"/>
  <c r="CH14" i="3" s="1"/>
  <c r="CB14" i="3"/>
  <c r="CI14" i="3" s="1"/>
  <c r="CD14" i="3"/>
  <c r="BV14" i="3"/>
  <c r="BZ19" i="2"/>
  <c r="CA19" i="2"/>
  <c r="CH19" i="2" s="1"/>
  <c r="BY14" i="3"/>
  <c r="CF22" i="2"/>
  <c r="BY10" i="4"/>
  <c r="CC10" i="4"/>
  <c r="CJ10" i="4" s="1"/>
  <c r="CC19" i="2"/>
  <c r="CF9" i="2"/>
  <c r="CG10" i="4"/>
  <c r="CF10" i="4"/>
  <c r="BZ6" i="2"/>
  <c r="CC6" i="2"/>
  <c r="CD6" i="2"/>
  <c r="CK6" i="2" s="1"/>
  <c r="CF6" i="2"/>
  <c r="CC22" i="2"/>
  <c r="CE11" i="2"/>
  <c r="CF11" i="2"/>
  <c r="CC11" i="2"/>
  <c r="CF14" i="2"/>
  <c r="CF18" i="2"/>
  <c r="CC18" i="2"/>
  <c r="CD18" i="2"/>
  <c r="CK18" i="2" s="1"/>
  <c r="BW2" i="2"/>
  <c r="CC2" i="2"/>
  <c r="CD2" i="2"/>
  <c r="CK2" i="2" s="1"/>
  <c r="CC12" i="2"/>
  <c r="CE12" i="2"/>
  <c r="CD22" i="2"/>
  <c r="CK22" i="2" s="1"/>
  <c r="CB22" i="2"/>
  <c r="CE22" i="2"/>
  <c r="CA17" i="2"/>
  <c r="CD5" i="2"/>
  <c r="CD23" i="2"/>
  <c r="CK23" i="2" s="1"/>
  <c r="CF5" i="2"/>
  <c r="CF19" i="2"/>
  <c r="BZ17" i="2"/>
  <c r="CE23" i="2"/>
  <c r="BZ23" i="2"/>
  <c r="CF12" i="2"/>
  <c r="CC17" i="2"/>
  <c r="CB19" i="2"/>
  <c r="BZ3" i="2"/>
  <c r="CD17" i="2"/>
  <c r="CK17" i="2" s="1"/>
  <c r="CD19" i="2"/>
  <c r="CK19" i="2" s="1"/>
  <c r="CF17" i="2"/>
  <c r="CE19" i="2"/>
  <c r="CE17" i="2"/>
  <c r="CC21" i="2"/>
  <c r="CD12" i="2"/>
  <c r="CE2" i="2"/>
  <c r="CF2" i="2"/>
  <c r="BZ14" i="2"/>
  <c r="CF3" i="2"/>
  <c r="CC14" i="2"/>
  <c r="CD3" i="2"/>
  <c r="CK3" i="2" s="1"/>
  <c r="CE14" i="2"/>
  <c r="CC3" i="2"/>
  <c r="CE3" i="2"/>
  <c r="CD14" i="2"/>
  <c r="CE21" i="2"/>
  <c r="BZ21" i="2"/>
  <c r="CA3" i="2"/>
  <c r="CH3" i="2" s="1"/>
  <c r="BW3" i="2"/>
  <c r="BW5" i="2"/>
  <c r="CC5" i="2"/>
  <c r="CE5" i="2"/>
  <c r="CA12" i="2"/>
  <c r="CC4" i="4"/>
  <c r="CB2" i="2"/>
  <c r="CI2" i="2" s="1"/>
  <c r="BZ12" i="2"/>
  <c r="CC23" i="2"/>
  <c r="CF23" i="2"/>
  <c r="BW23" i="2"/>
  <c r="CA4" i="4"/>
  <c r="CD21" i="2"/>
  <c r="CK21" i="2" s="1"/>
  <c r="CF21" i="2"/>
  <c r="BV3" i="3"/>
  <c r="CF4" i="4"/>
  <c r="CD4" i="4"/>
  <c r="CE4" i="4"/>
  <c r="CB4" i="4"/>
  <c r="CG4" i="4"/>
  <c r="BV9" i="3"/>
  <c r="CB22" i="4"/>
  <c r="BY2" i="4"/>
  <c r="CD17" i="4"/>
  <c r="CA15" i="4"/>
  <c r="CA21" i="4"/>
  <c r="CB21" i="4"/>
  <c r="CA3" i="4"/>
  <c r="BX13" i="4"/>
  <c r="BX11" i="4"/>
  <c r="BX17" i="4"/>
  <c r="BY3" i="4"/>
  <c r="CG21" i="4"/>
  <c r="CB19" i="4"/>
  <c r="CE3" i="4"/>
  <c r="CA13" i="4"/>
  <c r="CC11" i="4"/>
  <c r="CJ11" i="4" s="1"/>
  <c r="CC23" i="4"/>
  <c r="CB3" i="4"/>
  <c r="CD21" i="4"/>
  <c r="CA17" i="4"/>
  <c r="CD3" i="4"/>
  <c r="CE21" i="4"/>
  <c r="CF3" i="4"/>
  <c r="CA11" i="4"/>
  <c r="CD13" i="4"/>
  <c r="CK13" i="4" s="1"/>
  <c r="CF21" i="4"/>
  <c r="CA22" i="4"/>
  <c r="BY21" i="4"/>
  <c r="BY22" i="4"/>
  <c r="CC6" i="4"/>
  <c r="CF17" i="4"/>
  <c r="CC21" i="4"/>
  <c r="CJ21" i="4" s="1"/>
  <c r="CD22" i="4"/>
  <c r="CA23" i="4"/>
  <c r="CD5" i="4"/>
  <c r="CE17" i="4"/>
  <c r="CL17" i="4" s="1"/>
  <c r="CG17" i="4"/>
  <c r="CE22" i="4"/>
  <c r="CE23" i="4"/>
  <c r="CG3" i="4"/>
  <c r="CF22" i="4"/>
  <c r="BY13" i="4"/>
  <c r="CG22" i="4"/>
  <c r="CC13" i="4"/>
  <c r="BX5" i="4"/>
  <c r="CE13" i="4"/>
  <c r="CF13" i="4"/>
  <c r="CG7" i="4"/>
  <c r="CD15" i="4"/>
  <c r="CG13" i="4"/>
  <c r="CD11" i="4"/>
  <c r="CK11" i="4" s="1"/>
  <c r="CD23" i="4"/>
  <c r="CK23" i="4" s="1"/>
  <c r="CA7" i="4"/>
  <c r="BY12" i="4"/>
  <c r="CE11" i="4"/>
  <c r="CF23" i="4"/>
  <c r="CF11" i="4"/>
  <c r="CG23" i="4"/>
  <c r="CE7" i="4"/>
  <c r="CD7" i="4"/>
  <c r="CG11" i="4"/>
  <c r="BX23" i="4"/>
  <c r="BX15" i="4"/>
  <c r="CF7" i="4"/>
  <c r="CA19" i="4"/>
  <c r="BV15" i="3"/>
  <c r="BW7" i="3"/>
  <c r="CE5" i="3"/>
  <c r="CD19" i="3"/>
  <c r="CB19" i="3"/>
  <c r="CI19" i="3" s="1"/>
  <c r="BV4" i="3"/>
  <c r="BY19" i="3"/>
  <c r="BW18" i="3"/>
  <c r="BZ6" i="3"/>
  <c r="CG6" i="3" s="1"/>
  <c r="CD18" i="3"/>
  <c r="BW13" i="3"/>
  <c r="CE15" i="3"/>
  <c r="CA12" i="3"/>
  <c r="CH12" i="3" s="1"/>
  <c r="BZ16" i="3"/>
  <c r="CG16" i="3" s="1"/>
  <c r="BW21" i="3"/>
  <c r="BY16" i="3"/>
  <c r="BZ13" i="3"/>
  <c r="CG13" i="3" s="1"/>
  <c r="BV18" i="3"/>
  <c r="CC21" i="3"/>
  <c r="CJ21" i="3" s="1"/>
  <c r="CE21" i="3"/>
  <c r="CC5" i="3"/>
  <c r="CJ5" i="3" s="1"/>
  <c r="BY18" i="3"/>
  <c r="CE18" i="3"/>
  <c r="BV21" i="3"/>
  <c r="BV5" i="3"/>
  <c r="CB16" i="3"/>
  <c r="CI16" i="3" s="1"/>
  <c r="CB18" i="3"/>
  <c r="CI18" i="3" s="1"/>
  <c r="BY5" i="3"/>
  <c r="CC19" i="3"/>
  <c r="CJ19" i="3" s="1"/>
  <c r="CE6" i="3"/>
  <c r="CC3" i="3"/>
  <c r="CJ3" i="3" s="1"/>
  <c r="CE16" i="3"/>
  <c r="BY21" i="3"/>
  <c r="CB13" i="3"/>
  <c r="CI13" i="3" s="1"/>
  <c r="BZ21" i="3"/>
  <c r="CG21" i="3" s="1"/>
  <c r="CE13" i="3"/>
  <c r="CC4" i="3"/>
  <c r="CJ4" i="3" s="1"/>
  <c r="CD13" i="3"/>
  <c r="CB21" i="3"/>
  <c r="CI21" i="3" s="1"/>
  <c r="CC16" i="3"/>
  <c r="CJ16" i="3" s="1"/>
  <c r="CC15" i="3"/>
  <c r="CJ15" i="3" s="1"/>
  <c r="CD16" i="3"/>
  <c r="CB6" i="3"/>
  <c r="CI6" i="3" s="1"/>
  <c r="CC13" i="3"/>
  <c r="CJ13" i="3" s="1"/>
  <c r="BY15" i="3"/>
  <c r="CD15" i="3"/>
  <c r="CB15" i="3"/>
  <c r="CI15" i="3" s="1"/>
  <c r="CD21" i="3"/>
  <c r="BY13" i="3"/>
  <c r="CB5" i="3"/>
  <c r="CI5" i="3" s="1"/>
  <c r="CC18" i="3"/>
  <c r="CJ18" i="3" s="1"/>
  <c r="CF4" i="2"/>
  <c r="CF20" i="2"/>
  <c r="BZ4" i="2"/>
  <c r="BW4" i="2"/>
  <c r="CA4" i="2"/>
  <c r="CC4" i="2"/>
  <c r="CE4" i="2"/>
  <c r="CD4" i="2"/>
  <c r="CK4" i="2" s="1"/>
  <c r="CA16" i="2"/>
  <c r="CH16" i="2" s="1"/>
  <c r="CF16" i="2"/>
  <c r="CC20" i="2"/>
  <c r="CE16" i="2"/>
  <c r="BZ20" i="2"/>
  <c r="CE20" i="2"/>
  <c r="BW20" i="2"/>
  <c r="CC16" i="2"/>
  <c r="BZ16" i="2"/>
  <c r="CD20" i="2"/>
  <c r="CD16" i="2"/>
  <c r="CK16" i="2" s="1"/>
  <c r="BX5" i="1"/>
  <c r="CE5" i="1"/>
  <c r="CA11" i="1"/>
  <c r="CH11" i="1" s="1"/>
  <c r="CA9" i="1"/>
  <c r="CH9" i="1" s="1"/>
  <c r="BY5" i="1"/>
  <c r="CB5" i="1"/>
  <c r="CI5" i="1" s="1"/>
  <c r="BZ5" i="1"/>
  <c r="CG5" i="1" s="1"/>
  <c r="CD5" i="1"/>
  <c r="BV5" i="1"/>
  <c r="CC5" i="1"/>
  <c r="BZ18" i="1"/>
  <c r="CG18" i="1" s="1"/>
  <c r="BX2" i="1"/>
  <c r="CD23" i="1"/>
  <c r="CC11" i="1"/>
  <c r="BY11" i="1"/>
  <c r="BV4" i="1"/>
  <c r="CB11" i="1"/>
  <c r="CI11" i="1" s="1"/>
  <c r="CE11" i="1"/>
  <c r="BZ11" i="1"/>
  <c r="CG11" i="1" s="1"/>
  <c r="CD11" i="1"/>
  <c r="BY23" i="1"/>
  <c r="BV23" i="1"/>
  <c r="BX13" i="1"/>
  <c r="CC2" i="1"/>
  <c r="CB2" i="1"/>
  <c r="CI2" i="1" s="1"/>
  <c r="BV10" i="1"/>
  <c r="BX7" i="1"/>
  <c r="CA12" i="1"/>
  <c r="CH12" i="1" s="1"/>
  <c r="BX14" i="1"/>
  <c r="CA21" i="1"/>
  <c r="CH21" i="1" s="1"/>
  <c r="BY10" i="1"/>
  <c r="BY18" i="1"/>
  <c r="CD14" i="1"/>
  <c r="CE14" i="1"/>
  <c r="CC10" i="1"/>
  <c r="BZ2" i="1"/>
  <c r="CG2" i="1" s="1"/>
  <c r="CA19" i="1"/>
  <c r="CH19" i="1" s="1"/>
  <c r="CE18" i="1"/>
  <c r="CA18" i="1"/>
  <c r="CH18" i="1" s="1"/>
  <c r="CE16" i="1"/>
  <c r="CC14" i="1"/>
  <c r="CC18" i="1"/>
  <c r="CD18" i="1"/>
  <c r="BY16" i="1"/>
  <c r="CB18" i="1"/>
  <c r="CI18" i="1" s="1"/>
  <c r="BV9" i="1"/>
  <c r="BX4" i="1"/>
  <c r="BV16" i="1"/>
  <c r="CB14" i="1"/>
  <c r="CI14" i="1" s="1"/>
  <c r="BX23" i="1"/>
  <c r="CA22" i="1"/>
  <c r="CH22" i="1" s="1"/>
  <c r="CA16" i="1"/>
  <c r="CH16" i="1" s="1"/>
  <c r="CA17" i="1"/>
  <c r="CH17" i="1" s="1"/>
  <c r="BX16" i="1"/>
  <c r="CB23" i="1"/>
  <c r="CI23" i="1" s="1"/>
  <c r="CB16" i="1"/>
  <c r="CI16" i="1" s="1"/>
  <c r="CE20" i="1"/>
  <c r="BY9" i="1"/>
  <c r="CC16" i="1"/>
  <c r="CB9" i="1"/>
  <c r="CI9" i="1" s="1"/>
  <c r="BZ21" i="1"/>
  <c r="CG21" i="1" s="1"/>
  <c r="CD9" i="1"/>
  <c r="BY21" i="1"/>
  <c r="CD12" i="1"/>
  <c r="CC23" i="1"/>
  <c r="CD16" i="1"/>
  <c r="CE9" i="1"/>
  <c r="CE2" i="1"/>
  <c r="CC21" i="1"/>
  <c r="CE23" i="1"/>
  <c r="CA23" i="1"/>
  <c r="CH23" i="1" s="1"/>
  <c r="BY14" i="1"/>
  <c r="CD2" i="1"/>
  <c r="BV14" i="1"/>
  <c r="BX20" i="1"/>
  <c r="CC12" i="1"/>
  <c r="CD20" i="1"/>
  <c r="BY2" i="1"/>
  <c r="CE21" i="1"/>
  <c r="BZ12" i="1"/>
  <c r="CG12" i="1" s="1"/>
  <c r="CC9" i="1"/>
  <c r="BV12" i="1"/>
  <c r="BY4" i="1"/>
  <c r="CC4" i="1"/>
  <c r="CE4" i="1"/>
  <c r="CB4" i="1"/>
  <c r="CI4" i="1" s="1"/>
  <c r="CD4" i="1"/>
  <c r="BY20" i="1"/>
  <c r="BG34" i="1"/>
  <c r="CE10" i="1"/>
  <c r="CB20" i="1"/>
  <c r="CI20" i="1" s="1"/>
  <c r="CD21" i="1"/>
  <c r="BZ20" i="1"/>
  <c r="CG20" i="1" s="1"/>
  <c r="CC20" i="1"/>
  <c r="CB21" i="1"/>
  <c r="CI21" i="1" s="1"/>
  <c r="O13" i="6"/>
  <c r="J40" i="6"/>
  <c r="Q40" i="6" s="1"/>
  <c r="O40" i="6"/>
  <c r="S13" i="6" s="1"/>
  <c r="P40" i="6"/>
  <c r="S17" i="3"/>
  <c r="AB17" i="3"/>
  <c r="AA17" i="3"/>
  <c r="Y17" i="3"/>
  <c r="Z17" i="3"/>
  <c r="W17" i="3"/>
  <c r="S6" i="1"/>
  <c r="Z6" i="1"/>
  <c r="W6" i="1"/>
  <c r="AB6" i="1"/>
  <c r="Y6" i="1"/>
  <c r="AA6" i="1"/>
  <c r="U6" i="1"/>
  <c r="O6" i="6"/>
  <c r="J33" i="6"/>
  <c r="Q33" i="6" s="1"/>
  <c r="AA15" i="3"/>
  <c r="S15" i="3"/>
  <c r="AB15" i="3"/>
  <c r="Z15" i="3"/>
  <c r="Y15" i="3"/>
  <c r="W15" i="3"/>
  <c r="S9" i="3"/>
  <c r="AA9" i="3"/>
  <c r="Z9" i="3"/>
  <c r="AB9" i="3"/>
  <c r="Y9" i="3"/>
  <c r="W9" i="3"/>
  <c r="O20" i="6"/>
  <c r="O47" i="6"/>
  <c r="J47" i="6"/>
  <c r="Q47" i="6" s="1"/>
  <c r="M46" i="2"/>
  <c r="AE17" i="4"/>
  <c r="AD17" i="4"/>
  <c r="R17" i="4"/>
  <c r="T17" i="4" s="1"/>
  <c r="U17" i="4" s="1"/>
  <c r="AC17" i="4"/>
  <c r="V17" i="4"/>
  <c r="W17" i="4" s="1"/>
  <c r="AN17" i="4"/>
  <c r="O32" i="3"/>
  <c r="M32" i="3"/>
  <c r="N32" i="3"/>
  <c r="N21" i="6"/>
  <c r="AH23" i="3"/>
  <c r="AG23" i="3"/>
  <c r="AF23" i="3"/>
  <c r="X23" i="3"/>
  <c r="AA3" i="3"/>
  <c r="Z3" i="3"/>
  <c r="S3" i="3"/>
  <c r="AB3" i="3"/>
  <c r="Y3" i="3"/>
  <c r="W3" i="3"/>
  <c r="M31" i="4"/>
  <c r="U9" i="3"/>
  <c r="CA11" i="3"/>
  <c r="CH11" i="3" s="1"/>
  <c r="BW11" i="3"/>
  <c r="N50" i="3"/>
  <c r="CG14" i="4"/>
  <c r="CF14" i="4"/>
  <c r="CE14" i="4"/>
  <c r="CL14" i="4" s="1"/>
  <c r="CD14" i="4"/>
  <c r="CB14" i="4"/>
  <c r="CA14" i="4"/>
  <c r="BX14" i="4"/>
  <c r="CG15" i="4"/>
  <c r="V12" i="2"/>
  <c r="AD12" i="2"/>
  <c r="R12" i="2"/>
  <c r="T12" i="2" s="1"/>
  <c r="AL12" i="2"/>
  <c r="AE12" i="2"/>
  <c r="CI12" i="2" s="1"/>
  <c r="AC12" i="2"/>
  <c r="AO16" i="3"/>
  <c r="AM16" i="3"/>
  <c r="AN16" i="3" s="1"/>
  <c r="AQ16" i="3" s="1"/>
  <c r="AA18" i="3"/>
  <c r="Z18" i="3"/>
  <c r="S18" i="3"/>
  <c r="AB18" i="3"/>
  <c r="Y18" i="3"/>
  <c r="W18" i="3"/>
  <c r="CB3" i="3"/>
  <c r="CI3" i="3" s="1"/>
  <c r="BW10" i="3"/>
  <c r="CA10" i="3"/>
  <c r="CH10" i="3" s="1"/>
  <c r="N4" i="6"/>
  <c r="N17" i="6"/>
  <c r="AO23" i="3"/>
  <c r="AM23" i="3"/>
  <c r="AN23" i="3" s="1"/>
  <c r="AQ23" i="3" s="1"/>
  <c r="M49" i="1"/>
  <c r="Q22" i="1" s="1"/>
  <c r="CB10" i="1"/>
  <c r="CI10" i="1" s="1"/>
  <c r="N48" i="4"/>
  <c r="X16" i="1"/>
  <c r="AH16" i="1"/>
  <c r="AG16" i="1"/>
  <c r="AF16" i="1"/>
  <c r="CE17" i="3"/>
  <c r="CC17" i="3"/>
  <c r="CJ17" i="3" s="1"/>
  <c r="CB17" i="3"/>
  <c r="CI17" i="3" s="1"/>
  <c r="BZ17" i="3"/>
  <c r="CG17" i="3" s="1"/>
  <c r="BY17" i="3"/>
  <c r="CD17" i="3"/>
  <c r="BV17" i="3"/>
  <c r="X8" i="1"/>
  <c r="AH8" i="1"/>
  <c r="AF8" i="1"/>
  <c r="AG8" i="1"/>
  <c r="CB15" i="2"/>
  <c r="N33" i="2"/>
  <c r="M34" i="2"/>
  <c r="AM22" i="3"/>
  <c r="AN22" i="3" s="1"/>
  <c r="AQ22" i="3" s="1"/>
  <c r="AO22" i="3"/>
  <c r="V4" i="4"/>
  <c r="AN4" i="4"/>
  <c r="AE4" i="4"/>
  <c r="AD4" i="4"/>
  <c r="AC4" i="4"/>
  <c r="R4" i="4"/>
  <c r="T4" i="4" s="1"/>
  <c r="BW4" i="3"/>
  <c r="CA4" i="3"/>
  <c r="CH4" i="3" s="1"/>
  <c r="M31" i="3"/>
  <c r="O31" i="3"/>
  <c r="CE19" i="3"/>
  <c r="AF6" i="3"/>
  <c r="AH6" i="3"/>
  <c r="AG6" i="3"/>
  <c r="AI6" i="3" s="1"/>
  <c r="X6" i="3"/>
  <c r="M40" i="2"/>
  <c r="V18" i="2"/>
  <c r="AL18" i="2"/>
  <c r="AD18" i="2"/>
  <c r="R18" i="2"/>
  <c r="T18" i="2" s="1"/>
  <c r="AC18" i="2"/>
  <c r="AE18" i="2"/>
  <c r="BY4" i="3"/>
  <c r="CB15" i="1"/>
  <c r="CI15" i="1" s="1"/>
  <c r="BZ15" i="1"/>
  <c r="CG15" i="1" s="1"/>
  <c r="BY15" i="1"/>
  <c r="BV15" i="1"/>
  <c r="CE15" i="1"/>
  <c r="CC15" i="1"/>
  <c r="CD15" i="1"/>
  <c r="N39" i="4"/>
  <c r="AH20" i="3"/>
  <c r="AG20" i="3"/>
  <c r="AF20" i="3"/>
  <c r="X20" i="3"/>
  <c r="BZ17" i="1"/>
  <c r="CG17" i="1" s="1"/>
  <c r="CC17" i="1"/>
  <c r="CB17" i="1"/>
  <c r="CI17" i="1" s="1"/>
  <c r="BY17" i="1"/>
  <c r="BV17" i="1"/>
  <c r="CE17" i="1"/>
  <c r="CD17" i="1"/>
  <c r="AN20" i="1"/>
  <c r="AL20" i="1"/>
  <c r="AM20" i="1" s="1"/>
  <c r="AP20" i="1" s="1"/>
  <c r="N36" i="4"/>
  <c r="AH15" i="1"/>
  <c r="AF15" i="1"/>
  <c r="X15" i="1"/>
  <c r="AG15" i="1"/>
  <c r="BY16" i="4"/>
  <c r="CC16" i="4"/>
  <c r="AB10" i="3"/>
  <c r="AA10" i="3"/>
  <c r="Z10" i="3"/>
  <c r="Y10" i="3"/>
  <c r="S10" i="3"/>
  <c r="W10" i="3"/>
  <c r="N37" i="4"/>
  <c r="CI11" i="2"/>
  <c r="M47" i="4"/>
  <c r="Q20" i="4" s="1"/>
  <c r="AN14" i="1"/>
  <c r="AL14" i="1"/>
  <c r="AM14" i="1" s="1"/>
  <c r="AP14" i="1" s="1"/>
  <c r="O18" i="6"/>
  <c r="P45" i="6"/>
  <c r="O45" i="6"/>
  <c r="S18" i="6" s="1"/>
  <c r="J45" i="6"/>
  <c r="Q45" i="6" s="1"/>
  <c r="X5" i="3"/>
  <c r="AH5" i="3"/>
  <c r="AG5" i="3"/>
  <c r="AF5" i="3"/>
  <c r="AF3" i="3"/>
  <c r="AH3" i="3"/>
  <c r="AG3" i="3"/>
  <c r="X3" i="3"/>
  <c r="M50" i="3"/>
  <c r="Q23" i="3" s="1"/>
  <c r="AH7" i="3"/>
  <c r="X7" i="3"/>
  <c r="AG7" i="3"/>
  <c r="AF7" i="3"/>
  <c r="M33" i="2"/>
  <c r="Q6" i="2" s="1"/>
  <c r="CB12" i="3"/>
  <c r="CI12" i="3" s="1"/>
  <c r="BY12" i="3"/>
  <c r="BV12" i="3"/>
  <c r="BZ12" i="3"/>
  <c r="CG12" i="3" s="1"/>
  <c r="CE12" i="3"/>
  <c r="CD12" i="3"/>
  <c r="CC12" i="3"/>
  <c r="CJ12" i="3" s="1"/>
  <c r="BV6" i="1"/>
  <c r="CD6" i="1"/>
  <c r="CB6" i="1"/>
  <c r="CI6" i="1" s="1"/>
  <c r="BY6" i="1"/>
  <c r="BZ6" i="1"/>
  <c r="CG6" i="1" s="1"/>
  <c r="CE6" i="1"/>
  <c r="CC6" i="1"/>
  <c r="N42" i="4"/>
  <c r="N10" i="6"/>
  <c r="CF9" i="4"/>
  <c r="CE9" i="4"/>
  <c r="CD9" i="4"/>
  <c r="CB9" i="4"/>
  <c r="CA9" i="4"/>
  <c r="CG9" i="4"/>
  <c r="BX9" i="4"/>
  <c r="AH19" i="3"/>
  <c r="AG19" i="3"/>
  <c r="AF19" i="3"/>
  <c r="X19" i="3"/>
  <c r="CC18" i="4"/>
  <c r="BY18" i="4"/>
  <c r="AN16" i="1"/>
  <c r="AL16" i="1"/>
  <c r="AM16" i="1" s="1"/>
  <c r="AP16" i="1" s="1"/>
  <c r="BZ7" i="1"/>
  <c r="CG7" i="1" s="1"/>
  <c r="CD7" i="1"/>
  <c r="CB7" i="1"/>
  <c r="CI7" i="1" s="1"/>
  <c r="CE7" i="1"/>
  <c r="CC7" i="1"/>
  <c r="BV7" i="1"/>
  <c r="BY7" i="1"/>
  <c r="V6" i="2"/>
  <c r="AL6" i="2"/>
  <c r="AC6" i="2"/>
  <c r="AE6" i="2"/>
  <c r="CI6" i="2" s="1"/>
  <c r="AD6" i="2"/>
  <c r="R6" i="2"/>
  <c r="T6" i="2" s="1"/>
  <c r="U6" i="2" s="1"/>
  <c r="AE7" i="2"/>
  <c r="CI7" i="2" s="1"/>
  <c r="AD7" i="2"/>
  <c r="V7" i="2"/>
  <c r="AL7" i="2"/>
  <c r="AC7" i="2"/>
  <c r="R7" i="2"/>
  <c r="T7" i="2" s="1"/>
  <c r="Q6" i="3"/>
  <c r="U6" i="3" s="1"/>
  <c r="AM6" i="3"/>
  <c r="AN6" i="3" s="1"/>
  <c r="AQ6" i="3" s="1"/>
  <c r="AO6" i="3"/>
  <c r="AE13" i="2"/>
  <c r="AD13" i="2"/>
  <c r="R13" i="2"/>
  <c r="T13" i="2" s="1"/>
  <c r="AC13" i="2"/>
  <c r="V13" i="2"/>
  <c r="AL13" i="2"/>
  <c r="Q11" i="4"/>
  <c r="CB4" i="3"/>
  <c r="CI4" i="3" s="1"/>
  <c r="CA3" i="1"/>
  <c r="CH3" i="1" s="1"/>
  <c r="BX3" i="1"/>
  <c r="M39" i="4"/>
  <c r="Q12" i="4" s="1"/>
  <c r="N47" i="2"/>
  <c r="AO20" i="3"/>
  <c r="AM20" i="3"/>
  <c r="AN20" i="3" s="1"/>
  <c r="AQ20" i="3" s="1"/>
  <c r="AA21" i="3"/>
  <c r="Z21" i="3"/>
  <c r="Y21" i="3"/>
  <c r="AB21" i="3"/>
  <c r="S21" i="3"/>
  <c r="W21" i="3"/>
  <c r="N49" i="2"/>
  <c r="AF20" i="1"/>
  <c r="AH20" i="1"/>
  <c r="AG20" i="1"/>
  <c r="X20" i="1"/>
  <c r="AE9" i="4"/>
  <c r="AD9" i="4"/>
  <c r="R9" i="4"/>
  <c r="T9" i="4" s="1"/>
  <c r="U9" i="4" s="1"/>
  <c r="AC9" i="4"/>
  <c r="AN9" i="4"/>
  <c r="V9" i="4"/>
  <c r="V10" i="4"/>
  <c r="AN10" i="4"/>
  <c r="AE10" i="4"/>
  <c r="AD10" i="4"/>
  <c r="AC10" i="4"/>
  <c r="R10" i="4"/>
  <c r="T10" i="4" s="1"/>
  <c r="N38" i="1"/>
  <c r="S22" i="3"/>
  <c r="AB22" i="3"/>
  <c r="AA22" i="3"/>
  <c r="Z22" i="3"/>
  <c r="Y22" i="3"/>
  <c r="W22" i="3"/>
  <c r="N47" i="4"/>
  <c r="M48" i="1"/>
  <c r="O48" i="1"/>
  <c r="X23" i="1"/>
  <c r="AF23" i="1"/>
  <c r="AI23" i="1" s="1"/>
  <c r="AH23" i="1"/>
  <c r="AG23" i="1"/>
  <c r="CA3" i="3"/>
  <c r="CH3" i="3" s="1"/>
  <c r="BW3" i="3"/>
  <c r="CF18" i="4"/>
  <c r="CB18" i="4"/>
  <c r="CA18" i="4"/>
  <c r="BX18" i="4"/>
  <c r="CE18" i="4"/>
  <c r="CG18" i="4"/>
  <c r="CD18" i="4"/>
  <c r="CK18" i="4" s="1"/>
  <c r="CD3" i="3"/>
  <c r="AC13" i="4"/>
  <c r="AN13" i="4"/>
  <c r="R13" i="4"/>
  <c r="T13" i="4" s="1"/>
  <c r="AE13" i="4"/>
  <c r="AD13" i="4"/>
  <c r="V13" i="4"/>
  <c r="Q21" i="4"/>
  <c r="CC7" i="3"/>
  <c r="CJ7" i="3" s="1"/>
  <c r="CB7" i="3"/>
  <c r="CI7" i="3" s="1"/>
  <c r="CE7" i="3"/>
  <c r="BZ7" i="3"/>
  <c r="CG7" i="3" s="1"/>
  <c r="BY7" i="3"/>
  <c r="BV7" i="3"/>
  <c r="CD7" i="3"/>
  <c r="U11" i="3"/>
  <c r="CG16" i="1"/>
  <c r="AC19" i="2"/>
  <c r="V19" i="2"/>
  <c r="AL19" i="2"/>
  <c r="AD19" i="2"/>
  <c r="AE19" i="2"/>
  <c r="R19" i="2"/>
  <c r="T19" i="2" s="1"/>
  <c r="CF15" i="2"/>
  <c r="CE15" i="2"/>
  <c r="CD15" i="2"/>
  <c r="CC15" i="2"/>
  <c r="CA15" i="2"/>
  <c r="BW15" i="2"/>
  <c r="BZ15" i="2"/>
  <c r="CD10" i="3"/>
  <c r="BV10" i="3"/>
  <c r="CE10" i="3"/>
  <c r="CC10" i="3"/>
  <c r="CJ10" i="3" s="1"/>
  <c r="BZ10" i="3"/>
  <c r="CG10" i="3" s="1"/>
  <c r="BY10" i="3"/>
  <c r="CB10" i="3"/>
  <c r="CI10" i="3" s="1"/>
  <c r="M36" i="4"/>
  <c r="Q9" i="4" s="1"/>
  <c r="N46" i="4"/>
  <c r="CA2" i="3"/>
  <c r="CH2" i="3" s="1"/>
  <c r="BW2" i="3"/>
  <c r="AF16" i="3"/>
  <c r="X16" i="3"/>
  <c r="AH16" i="3"/>
  <c r="AG16" i="3"/>
  <c r="AI16" i="3" s="1"/>
  <c r="N44" i="2"/>
  <c r="N16" i="6"/>
  <c r="U23" i="3"/>
  <c r="AO6" i="1"/>
  <c r="AW6" i="1" s="1"/>
  <c r="CJ22" i="4"/>
  <c r="V21" i="4"/>
  <c r="AD21" i="4"/>
  <c r="R21" i="4"/>
  <c r="T21" i="4" s="1"/>
  <c r="AN21" i="4"/>
  <c r="AE21" i="4"/>
  <c r="AC21" i="4"/>
  <c r="AN23" i="1"/>
  <c r="AL23" i="1"/>
  <c r="AM23" i="1" s="1"/>
  <c r="AP23" i="1" s="1"/>
  <c r="AN17" i="1"/>
  <c r="AL17" i="1"/>
  <c r="AM17" i="1" s="1"/>
  <c r="AP17" i="1" s="1"/>
  <c r="U8" i="1"/>
  <c r="N43" i="4"/>
  <c r="Q16" i="4" s="1"/>
  <c r="N34" i="2"/>
  <c r="AO18" i="1"/>
  <c r="AW18" i="1" s="1"/>
  <c r="CA23" i="3"/>
  <c r="CH23" i="3" s="1"/>
  <c r="BW23" i="3"/>
  <c r="AO11" i="3"/>
  <c r="AM11" i="3"/>
  <c r="AN11" i="3" s="1"/>
  <c r="AQ11" i="3" s="1"/>
  <c r="S16" i="3"/>
  <c r="AB16" i="3"/>
  <c r="AA16" i="3"/>
  <c r="Z16" i="3"/>
  <c r="Y16" i="3"/>
  <c r="W16" i="3"/>
  <c r="CC9" i="3"/>
  <c r="CJ9" i="3" s="1"/>
  <c r="S19" i="3"/>
  <c r="AB19" i="3"/>
  <c r="AA19" i="3"/>
  <c r="Z19" i="3"/>
  <c r="Y19" i="3"/>
  <c r="W19" i="3"/>
  <c r="AE11" i="4"/>
  <c r="AD11" i="4"/>
  <c r="R11" i="4"/>
  <c r="T11" i="4" s="1"/>
  <c r="U11" i="4" s="1"/>
  <c r="AC11" i="4"/>
  <c r="AN11" i="4"/>
  <c r="V11" i="4"/>
  <c r="AB9" i="2"/>
  <c r="AA9" i="2"/>
  <c r="Z9" i="2"/>
  <c r="Y9" i="2"/>
  <c r="CD4" i="3"/>
  <c r="U3" i="3"/>
  <c r="X22" i="1"/>
  <c r="AG22" i="1"/>
  <c r="AH22" i="1"/>
  <c r="AF22" i="1"/>
  <c r="BV3" i="1"/>
  <c r="CC3" i="1"/>
  <c r="CB3" i="1"/>
  <c r="CI3" i="1" s="1"/>
  <c r="BZ3" i="1"/>
  <c r="CG3" i="1" s="1"/>
  <c r="BY3" i="1"/>
  <c r="CE3" i="1"/>
  <c r="CD3" i="1"/>
  <c r="Q8" i="3"/>
  <c r="AA5" i="2"/>
  <c r="S5" i="2"/>
  <c r="U17" i="3"/>
  <c r="AO4" i="1"/>
  <c r="AW4" i="1" s="1"/>
  <c r="CG18" i="3"/>
  <c r="AO4" i="3"/>
  <c r="AM4" i="3"/>
  <c r="AN4" i="3" s="1"/>
  <c r="AQ4" i="3" s="1"/>
  <c r="BF34" i="3"/>
  <c r="AO10" i="3"/>
  <c r="AM10" i="3"/>
  <c r="AN10" i="3" s="1"/>
  <c r="AQ10" i="3" s="1"/>
  <c r="CA6" i="1"/>
  <c r="CH6" i="1" s="1"/>
  <c r="BX6" i="1"/>
  <c r="AB3" i="2"/>
  <c r="AA3" i="2"/>
  <c r="Y3" i="2"/>
  <c r="S3" i="2"/>
  <c r="Z3" i="2"/>
  <c r="W3" i="2"/>
  <c r="O7" i="6"/>
  <c r="J34" i="6"/>
  <c r="Q34" i="6" s="1"/>
  <c r="CD13" i="1"/>
  <c r="CB13" i="1"/>
  <c r="CI13" i="1" s="1"/>
  <c r="BY13" i="1"/>
  <c r="BV13" i="1"/>
  <c r="CC13" i="1"/>
  <c r="CE13" i="1"/>
  <c r="BZ13" i="1"/>
  <c r="CG13" i="1" s="1"/>
  <c r="S17" i="4"/>
  <c r="AB17" i="4"/>
  <c r="Z17" i="4"/>
  <c r="Y17" i="4"/>
  <c r="O14" i="6"/>
  <c r="J41" i="6"/>
  <c r="Q41" i="6" s="1"/>
  <c r="AO3" i="2"/>
  <c r="AM3" i="2"/>
  <c r="AN3" i="2" s="1"/>
  <c r="AQ3" i="2" s="1"/>
  <c r="AE18" i="4"/>
  <c r="AN18" i="4"/>
  <c r="AC18" i="4"/>
  <c r="R18" i="4"/>
  <c r="T18" i="4" s="1"/>
  <c r="AD18" i="4"/>
  <c r="V18" i="4"/>
  <c r="AM13" i="3"/>
  <c r="AN13" i="3" s="1"/>
  <c r="AQ13" i="3" s="1"/>
  <c r="AO13" i="3"/>
  <c r="AF9" i="3"/>
  <c r="X9" i="3"/>
  <c r="AH9" i="3"/>
  <c r="AG9" i="3"/>
  <c r="AI9" i="3" s="1"/>
  <c r="CC9" i="4"/>
  <c r="CJ9" i="4" s="1"/>
  <c r="BY9" i="4"/>
  <c r="O5" i="6"/>
  <c r="O32" i="6"/>
  <c r="S5" i="6" s="1"/>
  <c r="P32" i="6"/>
  <c r="J32" i="6"/>
  <c r="Q32" i="6" s="1"/>
  <c r="CC15" i="4"/>
  <c r="BY15" i="4"/>
  <c r="AL8" i="1"/>
  <c r="AM8" i="1" s="1"/>
  <c r="AP8" i="1" s="1"/>
  <c r="AN8" i="1"/>
  <c r="N40" i="2"/>
  <c r="Y13" i="1"/>
  <c r="AB13" i="1"/>
  <c r="Z13" i="1"/>
  <c r="W13" i="1"/>
  <c r="AA13" i="1"/>
  <c r="S13" i="1"/>
  <c r="AI19" i="1"/>
  <c r="AO12" i="3"/>
  <c r="AM12" i="3"/>
  <c r="AN12" i="3" s="1"/>
  <c r="AQ12" i="3" s="1"/>
  <c r="AF13" i="3"/>
  <c r="X13" i="3"/>
  <c r="AH13" i="3"/>
  <c r="AG13" i="3"/>
  <c r="AI13" i="3" s="1"/>
  <c r="M46" i="4"/>
  <c r="Q19" i="4" s="1"/>
  <c r="CI13" i="2"/>
  <c r="BX10" i="1"/>
  <c r="CA10" i="1"/>
  <c r="CH10" i="1" s="1"/>
  <c r="M44" i="2"/>
  <c r="CH14" i="1"/>
  <c r="Q15" i="4"/>
  <c r="N22" i="6"/>
  <c r="AL12" i="1"/>
  <c r="AM12" i="1" s="1"/>
  <c r="AP12" i="1" s="1"/>
  <c r="AN12" i="1"/>
  <c r="CG12" i="4"/>
  <c r="CF12" i="4"/>
  <c r="CE12" i="4"/>
  <c r="CB12" i="4"/>
  <c r="CA12" i="4"/>
  <c r="BX12" i="4"/>
  <c r="CD12" i="4"/>
  <c r="CD10" i="1"/>
  <c r="N32" i="4"/>
  <c r="AB10" i="1"/>
  <c r="AA10" i="1"/>
  <c r="W10" i="1"/>
  <c r="S10" i="1"/>
  <c r="Z10" i="1"/>
  <c r="Y10" i="1"/>
  <c r="X21" i="3"/>
  <c r="AG21" i="3"/>
  <c r="AH21" i="3"/>
  <c r="AF21" i="3"/>
  <c r="AG17" i="1"/>
  <c r="AF17" i="1"/>
  <c r="AH17" i="1"/>
  <c r="X17" i="1"/>
  <c r="Y22" i="4"/>
  <c r="AH22" i="3"/>
  <c r="AG22" i="3"/>
  <c r="AI22" i="3" s="1"/>
  <c r="AF22" i="3"/>
  <c r="X22" i="3"/>
  <c r="CE12" i="1"/>
  <c r="AO19" i="1"/>
  <c r="AW19" i="1" s="1"/>
  <c r="CB8" i="2"/>
  <c r="CI9" i="2"/>
  <c r="M31" i="2"/>
  <c r="Q4" i="2" s="1"/>
  <c r="CE4" i="3"/>
  <c r="AO15" i="3"/>
  <c r="AM15" i="3"/>
  <c r="AN15" i="3" s="1"/>
  <c r="AQ15" i="3" s="1"/>
  <c r="V12" i="4"/>
  <c r="AE12" i="4"/>
  <c r="AD12" i="4"/>
  <c r="R12" i="4"/>
  <c r="T12" i="4" s="1"/>
  <c r="U12" i="4" s="1"/>
  <c r="AN12" i="4"/>
  <c r="AC12" i="4"/>
  <c r="M47" i="2"/>
  <c r="Q20" i="2" s="1"/>
  <c r="BY17" i="4"/>
  <c r="CC17" i="4"/>
  <c r="CJ17" i="4" s="1"/>
  <c r="M49" i="2"/>
  <c r="Q22" i="2" s="1"/>
  <c r="BY14" i="4"/>
  <c r="CC14" i="4"/>
  <c r="U20" i="1"/>
  <c r="X17" i="3"/>
  <c r="AH17" i="3"/>
  <c r="AG17" i="3"/>
  <c r="AF17" i="3"/>
  <c r="S20" i="3"/>
  <c r="AB20" i="3"/>
  <c r="AA20" i="3"/>
  <c r="Y20" i="3"/>
  <c r="Z20" i="3"/>
  <c r="W20" i="3"/>
  <c r="AH4" i="3"/>
  <c r="AF4" i="3"/>
  <c r="AG4" i="3"/>
  <c r="AI4" i="3" s="1"/>
  <c r="X4" i="3"/>
  <c r="CG5" i="4"/>
  <c r="BY8" i="4"/>
  <c r="CC8" i="4"/>
  <c r="X10" i="1"/>
  <c r="AG10" i="1"/>
  <c r="AF10" i="1"/>
  <c r="AI10" i="1" s="1"/>
  <c r="AH10" i="1"/>
  <c r="Q5" i="1"/>
  <c r="U10" i="3"/>
  <c r="AD20" i="4"/>
  <c r="R20" i="4"/>
  <c r="T20" i="4" s="1"/>
  <c r="AC20" i="4"/>
  <c r="AN20" i="4"/>
  <c r="AE20" i="4"/>
  <c r="V20" i="4"/>
  <c r="CE15" i="4"/>
  <c r="CE22" i="1"/>
  <c r="CD22" i="1"/>
  <c r="CB22" i="1"/>
  <c r="CI22" i="1" s="1"/>
  <c r="BY22" i="1"/>
  <c r="BV22" i="1"/>
  <c r="CC22" i="1"/>
  <c r="BZ22" i="1"/>
  <c r="CG22" i="1" s="1"/>
  <c r="X18" i="3"/>
  <c r="AG18" i="3"/>
  <c r="AI18" i="3" s="1"/>
  <c r="AF18" i="3"/>
  <c r="AH18" i="3"/>
  <c r="AN22" i="1"/>
  <c r="AL22" i="1"/>
  <c r="AM22" i="1" s="1"/>
  <c r="AP22" i="1" s="1"/>
  <c r="AD20" i="2"/>
  <c r="CH20" i="2" s="1"/>
  <c r="R20" i="2"/>
  <c r="T20" i="2" s="1"/>
  <c r="AL20" i="2"/>
  <c r="AE20" i="2"/>
  <c r="CI20" i="2" s="1"/>
  <c r="AC20" i="2"/>
  <c r="V20" i="2"/>
  <c r="AC22" i="2"/>
  <c r="V22" i="2"/>
  <c r="AL22" i="2"/>
  <c r="R22" i="2"/>
  <c r="T22" i="2" s="1"/>
  <c r="U22" i="2" s="1"/>
  <c r="AE22" i="2"/>
  <c r="AD22" i="2"/>
  <c r="AD5" i="2"/>
  <c r="CH5" i="2" s="1"/>
  <c r="R5" i="2"/>
  <c r="T5" i="2" s="1"/>
  <c r="U5" i="2" s="1"/>
  <c r="AE5" i="2"/>
  <c r="CI5" i="2" s="1"/>
  <c r="AL5" i="2"/>
  <c r="AC5" i="2"/>
  <c r="V5" i="2"/>
  <c r="Q10" i="2"/>
  <c r="W7" i="3"/>
  <c r="CH6" i="2"/>
  <c r="CD16" i="4"/>
  <c r="CA16" i="4"/>
  <c r="BX16" i="4"/>
  <c r="CF16" i="4"/>
  <c r="CE16" i="4"/>
  <c r="CB16" i="4"/>
  <c r="CG16" i="4"/>
  <c r="Y4" i="1"/>
  <c r="S4" i="1"/>
  <c r="Z4" i="1"/>
  <c r="AB4" i="1"/>
  <c r="AA4" i="1"/>
  <c r="W4" i="1"/>
  <c r="CF15" i="4"/>
  <c r="AO7" i="3"/>
  <c r="AM7" i="3"/>
  <c r="AN7" i="3" s="1"/>
  <c r="AQ7" i="3" s="1"/>
  <c r="X8" i="3"/>
  <c r="AH8" i="3"/>
  <c r="AG8" i="3"/>
  <c r="AF8" i="3"/>
  <c r="X11" i="3"/>
  <c r="AH11" i="3"/>
  <c r="AG11" i="3"/>
  <c r="AF11" i="3"/>
  <c r="BH34" i="4"/>
  <c r="N11" i="6"/>
  <c r="S14" i="2"/>
  <c r="AB14" i="2"/>
  <c r="AA14" i="2"/>
  <c r="AH12" i="1"/>
  <c r="AF12" i="1"/>
  <c r="X12" i="1"/>
  <c r="AG12" i="1"/>
  <c r="CA8" i="1"/>
  <c r="CH8" i="1" s="1"/>
  <c r="BX8" i="1"/>
  <c r="M39" i="1"/>
  <c r="Q12" i="1" s="1"/>
  <c r="U12" i="1" s="1"/>
  <c r="AM21" i="3"/>
  <c r="AN21" i="3" s="1"/>
  <c r="AQ21" i="3" s="1"/>
  <c r="AO21" i="3"/>
  <c r="CG6" i="4"/>
  <c r="CF6" i="4"/>
  <c r="CD6" i="4"/>
  <c r="CE6" i="4"/>
  <c r="CB6" i="4"/>
  <c r="CA6" i="4"/>
  <c r="BX6" i="4"/>
  <c r="AN9" i="1"/>
  <c r="AL9" i="1"/>
  <c r="AM9" i="1" s="1"/>
  <c r="AP9" i="1" s="1"/>
  <c r="V16" i="4"/>
  <c r="AE16" i="4"/>
  <c r="AC16" i="4"/>
  <c r="R16" i="4"/>
  <c r="T16" i="4" s="1"/>
  <c r="AN16" i="4"/>
  <c r="AD16" i="4"/>
  <c r="Q9" i="1"/>
  <c r="U14" i="3"/>
  <c r="BW22" i="3"/>
  <c r="CA22" i="3"/>
  <c r="CH22" i="3" s="1"/>
  <c r="Q23" i="4"/>
  <c r="AO5" i="1"/>
  <c r="AW5" i="1" s="1"/>
  <c r="AM18" i="3"/>
  <c r="AN18" i="3" s="1"/>
  <c r="AQ18" i="3" s="1"/>
  <c r="AO18" i="3"/>
  <c r="CD19" i="4"/>
  <c r="CF8" i="2"/>
  <c r="CE8" i="2"/>
  <c r="CA8" i="2"/>
  <c r="CH8" i="2" s="1"/>
  <c r="BZ8" i="2"/>
  <c r="BW8" i="2"/>
  <c r="CD8" i="2"/>
  <c r="CC8" i="2"/>
  <c r="X15" i="3"/>
  <c r="AG15" i="3"/>
  <c r="AI15" i="3" s="1"/>
  <c r="AF15" i="3"/>
  <c r="AH15" i="3"/>
  <c r="BW16" i="3"/>
  <c r="CA16" i="3"/>
  <c r="CH16" i="3" s="1"/>
  <c r="BX2" i="4"/>
  <c r="CG2" i="4"/>
  <c r="CF2" i="4"/>
  <c r="CE2" i="4"/>
  <c r="CL2" i="4" s="1"/>
  <c r="CB2" i="4"/>
  <c r="CA2" i="4"/>
  <c r="CD2" i="4"/>
  <c r="CK2" i="4" s="1"/>
  <c r="AF7" i="1"/>
  <c r="AI7" i="1" s="1"/>
  <c r="AH7" i="1"/>
  <c r="AG7" i="1"/>
  <c r="X7" i="1"/>
  <c r="CA9" i="3"/>
  <c r="CH9" i="3" s="1"/>
  <c r="BW9" i="3"/>
  <c r="AO17" i="3"/>
  <c r="AM17" i="3"/>
  <c r="AN17" i="3" s="1"/>
  <c r="AQ17" i="3" s="1"/>
  <c r="S7" i="3"/>
  <c r="CA5" i="4"/>
  <c r="BV22" i="3"/>
  <c r="CD22" i="3"/>
  <c r="CE22" i="3"/>
  <c r="CC22" i="3"/>
  <c r="CJ22" i="3" s="1"/>
  <c r="CB22" i="3"/>
  <c r="CI22" i="3" s="1"/>
  <c r="BZ22" i="3"/>
  <c r="CG22" i="3" s="1"/>
  <c r="BY22" i="3"/>
  <c r="CC11" i="3"/>
  <c r="CJ11" i="3" s="1"/>
  <c r="CB11" i="3"/>
  <c r="CI11" i="3" s="1"/>
  <c r="BZ11" i="3"/>
  <c r="CG11" i="3" s="1"/>
  <c r="CE11" i="3"/>
  <c r="CD11" i="3"/>
  <c r="BV11" i="3"/>
  <c r="BY11" i="3"/>
  <c r="AH10" i="3"/>
  <c r="X10" i="3"/>
  <c r="AF10" i="3"/>
  <c r="AG10" i="3"/>
  <c r="CJ3" i="4"/>
  <c r="CC6" i="3"/>
  <c r="CJ6" i="3" s="1"/>
  <c r="V8" i="4"/>
  <c r="AE8" i="4"/>
  <c r="AD8" i="4"/>
  <c r="R8" i="4"/>
  <c r="T8" i="4" s="1"/>
  <c r="AN8" i="4"/>
  <c r="AC8" i="4"/>
  <c r="V6" i="4"/>
  <c r="AE6" i="4"/>
  <c r="AC6" i="4"/>
  <c r="AN6" i="4"/>
  <c r="R6" i="4"/>
  <c r="T6" i="4" s="1"/>
  <c r="AD6" i="4"/>
  <c r="N31" i="4"/>
  <c r="AE15" i="4"/>
  <c r="AC15" i="4"/>
  <c r="AN15" i="4"/>
  <c r="V15" i="4"/>
  <c r="R15" i="4"/>
  <c r="T15" i="4" s="1"/>
  <c r="U15" i="4" s="1"/>
  <c r="AD15" i="4"/>
  <c r="CH14" i="2"/>
  <c r="CA20" i="3"/>
  <c r="CH20" i="3" s="1"/>
  <c r="BW20" i="3"/>
  <c r="M41" i="1"/>
  <c r="Q14" i="1" s="1"/>
  <c r="O41" i="1"/>
  <c r="AG9" i="1"/>
  <c r="AF9" i="1"/>
  <c r="AI9" i="1" s="1"/>
  <c r="X9" i="1"/>
  <c r="AH9" i="1"/>
  <c r="V9" i="2"/>
  <c r="AE9" i="2"/>
  <c r="AC9" i="2"/>
  <c r="AL9" i="2"/>
  <c r="AD9" i="2"/>
  <c r="R9" i="2"/>
  <c r="T9" i="2" s="1"/>
  <c r="U9" i="2" s="1"/>
  <c r="O8" i="6"/>
  <c r="J35" i="6"/>
  <c r="Q35" i="6" s="1"/>
  <c r="CH18" i="2"/>
  <c r="M41" i="4"/>
  <c r="Q14" i="4" s="1"/>
  <c r="AA11" i="2"/>
  <c r="Z11" i="2"/>
  <c r="Y11" i="2"/>
  <c r="AB11" i="2"/>
  <c r="S11" i="2"/>
  <c r="W11" i="2"/>
  <c r="M35" i="2"/>
  <c r="Y15" i="1"/>
  <c r="S15" i="1"/>
  <c r="AB15" i="1"/>
  <c r="AA15" i="1"/>
  <c r="Z15" i="1"/>
  <c r="W15" i="1"/>
  <c r="BY8" i="3"/>
  <c r="CE8" i="3"/>
  <c r="CC8" i="3"/>
  <c r="CJ8" i="3" s="1"/>
  <c r="CB8" i="3"/>
  <c r="CI8" i="3" s="1"/>
  <c r="BZ8" i="3"/>
  <c r="CG8" i="3" s="1"/>
  <c r="BV8" i="3"/>
  <c r="CD8" i="3"/>
  <c r="CE3" i="3"/>
  <c r="N15" i="6"/>
  <c r="N19" i="6"/>
  <c r="V14" i="4"/>
  <c r="AE14" i="4"/>
  <c r="AN14" i="4"/>
  <c r="R14" i="4"/>
  <c r="T14" i="4" s="1"/>
  <c r="AD14" i="4"/>
  <c r="AC14" i="4"/>
  <c r="AH11" i="1"/>
  <c r="AG11" i="1"/>
  <c r="AF11" i="1"/>
  <c r="AI11" i="1" s="1"/>
  <c r="X11" i="1"/>
  <c r="Q8" i="4"/>
  <c r="AM8" i="3"/>
  <c r="AN8" i="3" s="1"/>
  <c r="AQ8" i="3" s="1"/>
  <c r="AO8" i="3"/>
  <c r="AC5" i="4"/>
  <c r="AN5" i="4"/>
  <c r="R5" i="4"/>
  <c r="T5" i="4" s="1"/>
  <c r="AE5" i="4"/>
  <c r="AD5" i="4"/>
  <c r="V5" i="4"/>
  <c r="BW19" i="3"/>
  <c r="CA19" i="3"/>
  <c r="CH19" i="3" s="1"/>
  <c r="Q7" i="4"/>
  <c r="N35" i="1"/>
  <c r="X14" i="3"/>
  <c r="AF14" i="3"/>
  <c r="AH14" i="3"/>
  <c r="AG14" i="3"/>
  <c r="Q23" i="2"/>
  <c r="S16" i="1"/>
  <c r="AA16" i="1"/>
  <c r="Z16" i="1"/>
  <c r="W16" i="1"/>
  <c r="Y16" i="1"/>
  <c r="AB16" i="1"/>
  <c r="U18" i="3"/>
  <c r="CE19" i="4"/>
  <c r="CL19" i="4" s="1"/>
  <c r="CD9" i="3"/>
  <c r="AL4" i="2"/>
  <c r="V4" i="2"/>
  <c r="R4" i="2"/>
  <c r="T4" i="2" s="1"/>
  <c r="U4" i="2" s="1"/>
  <c r="AD4" i="2"/>
  <c r="AC4" i="2"/>
  <c r="AE4" i="2"/>
  <c r="CI4" i="2" s="1"/>
  <c r="AO21" i="2"/>
  <c r="AM21" i="2"/>
  <c r="AN21" i="2" s="1"/>
  <c r="AQ21" i="2" s="1"/>
  <c r="CE20" i="4"/>
  <c r="CL20" i="4" s="1"/>
  <c r="CD20" i="4"/>
  <c r="CB20" i="4"/>
  <c r="CA20" i="4"/>
  <c r="BX20" i="4"/>
  <c r="CG20" i="4"/>
  <c r="CF20" i="4"/>
  <c r="U22" i="1"/>
  <c r="N30" i="4"/>
  <c r="Q3" i="4" s="1"/>
  <c r="CE23" i="3"/>
  <c r="CD23" i="3"/>
  <c r="CC23" i="3"/>
  <c r="CJ23" i="3" s="1"/>
  <c r="CB23" i="3"/>
  <c r="CI23" i="3" s="1"/>
  <c r="BZ23" i="3"/>
  <c r="CG23" i="3" s="1"/>
  <c r="BY23" i="3"/>
  <c r="BV23" i="3"/>
  <c r="CI18" i="2"/>
  <c r="AM11" i="2"/>
  <c r="AN11" i="2" s="1"/>
  <c r="AQ11" i="2" s="1"/>
  <c r="AO11" i="2"/>
  <c r="AO13" i="1"/>
  <c r="AW13" i="1" s="1"/>
  <c r="AL10" i="2"/>
  <c r="V10" i="2"/>
  <c r="AC10" i="2"/>
  <c r="R10" i="2"/>
  <c r="T10" i="2" s="1"/>
  <c r="U10" i="2" s="1"/>
  <c r="AE10" i="2"/>
  <c r="CI10" i="2" s="1"/>
  <c r="AD10" i="2"/>
  <c r="CE5" i="4"/>
  <c r="AN10" i="1"/>
  <c r="AL10" i="1"/>
  <c r="AM10" i="1" s="1"/>
  <c r="AP10" i="1" s="1"/>
  <c r="BY5" i="4"/>
  <c r="CC5" i="4"/>
  <c r="CJ12" i="4"/>
  <c r="X11" i="2"/>
  <c r="AI11" i="2"/>
  <c r="BY11" i="2" s="1"/>
  <c r="AH11" i="2"/>
  <c r="AJ11" i="2" s="1"/>
  <c r="BX11" i="2" s="1"/>
  <c r="AF11" i="2"/>
  <c r="AG11" i="2"/>
  <c r="BV19" i="1"/>
  <c r="CE19" i="1"/>
  <c r="CD19" i="1"/>
  <c r="BY19" i="1"/>
  <c r="CB19" i="1"/>
  <c r="CI19" i="1" s="1"/>
  <c r="BZ19" i="1"/>
  <c r="CG19" i="1" s="1"/>
  <c r="CC19" i="1"/>
  <c r="S20" i="1"/>
  <c r="AA20" i="1"/>
  <c r="Z20" i="1"/>
  <c r="AB20" i="1"/>
  <c r="Y20" i="1"/>
  <c r="W20" i="1"/>
  <c r="X14" i="1"/>
  <c r="AG14" i="1"/>
  <c r="AF14" i="1"/>
  <c r="AH14" i="1"/>
  <c r="M39" i="2"/>
  <c r="AC15" i="2"/>
  <c r="AL15" i="2"/>
  <c r="V15" i="2"/>
  <c r="AE15" i="2"/>
  <c r="AD15" i="2"/>
  <c r="R15" i="2"/>
  <c r="T15" i="2" s="1"/>
  <c r="U15" i="2" s="1"/>
  <c r="S11" i="3"/>
  <c r="AB11" i="3"/>
  <c r="AA11" i="3"/>
  <c r="Y11" i="3"/>
  <c r="Z11" i="3"/>
  <c r="W11" i="3"/>
  <c r="CD8" i="1"/>
  <c r="BY8" i="1"/>
  <c r="BV8" i="1"/>
  <c r="CE8" i="1"/>
  <c r="CC8" i="1"/>
  <c r="CB8" i="1"/>
  <c r="CI8" i="1" s="1"/>
  <c r="BZ8" i="1"/>
  <c r="CG8" i="1" s="1"/>
  <c r="S14" i="3"/>
  <c r="AB14" i="3"/>
  <c r="AA14" i="3"/>
  <c r="Y14" i="3"/>
  <c r="Z14" i="3"/>
  <c r="W14" i="3"/>
  <c r="Q10" i="4"/>
  <c r="N39" i="2"/>
  <c r="AE22" i="4"/>
  <c r="Z22" i="4" s="1"/>
  <c r="AD22" i="4"/>
  <c r="AB22" i="4" s="1"/>
  <c r="R22" i="4"/>
  <c r="T22" i="4" s="1"/>
  <c r="U22" i="4" s="1"/>
  <c r="AC22" i="4"/>
  <c r="AN22" i="4"/>
  <c r="V22" i="4"/>
  <c r="W22" i="4" s="1"/>
  <c r="BY9" i="3"/>
  <c r="U15" i="3"/>
  <c r="V19" i="4"/>
  <c r="AE19" i="4"/>
  <c r="AD19" i="4"/>
  <c r="R19" i="4"/>
  <c r="T19" i="4" s="1"/>
  <c r="AN19" i="4"/>
  <c r="AC19" i="4"/>
  <c r="CA17" i="3"/>
  <c r="CH17" i="3" s="1"/>
  <c r="BW17" i="3"/>
  <c r="N12" i="6"/>
  <c r="CA8" i="4"/>
  <c r="BX8" i="4"/>
  <c r="CF8" i="4"/>
  <c r="CE8" i="4"/>
  <c r="CL8" i="4" s="1"/>
  <c r="CG8" i="4"/>
  <c r="CD8" i="4"/>
  <c r="CK8" i="4" s="1"/>
  <c r="CB8" i="4"/>
  <c r="N39" i="1"/>
  <c r="CI14" i="2"/>
  <c r="AL21" i="1"/>
  <c r="AM21" i="1" s="1"/>
  <c r="AP21" i="1" s="1"/>
  <c r="AN21" i="1"/>
  <c r="N41" i="4"/>
  <c r="AE14" i="2"/>
  <c r="Z14" i="2" s="1"/>
  <c r="AD14" i="2"/>
  <c r="Y14" i="2" s="1"/>
  <c r="R14" i="2"/>
  <c r="T14" i="2" s="1"/>
  <c r="U14" i="2" s="1"/>
  <c r="AC14" i="2"/>
  <c r="V14" i="2"/>
  <c r="AL14" i="2"/>
  <c r="CC19" i="4"/>
  <c r="BY19" i="4"/>
  <c r="M35" i="1"/>
  <c r="Q8" i="1" s="1"/>
  <c r="BY12" i="1"/>
  <c r="N50" i="4"/>
  <c r="S19" i="1"/>
  <c r="AB19" i="1"/>
  <c r="AA19" i="1"/>
  <c r="Z19" i="1"/>
  <c r="Y19" i="1"/>
  <c r="W19" i="1"/>
  <c r="CF19" i="4"/>
  <c r="AB23" i="1"/>
  <c r="AA23" i="1"/>
  <c r="Z23" i="1"/>
  <c r="S23" i="1"/>
  <c r="Y23" i="1"/>
  <c r="W23" i="1"/>
  <c r="CB9" i="3"/>
  <c r="CI9" i="3" s="1"/>
  <c r="AE3" i="4"/>
  <c r="AD3" i="4"/>
  <c r="R3" i="4"/>
  <c r="T3" i="4" s="1"/>
  <c r="AC3" i="4"/>
  <c r="AN3" i="4"/>
  <c r="V3" i="4"/>
  <c r="X12" i="3"/>
  <c r="AG12" i="3"/>
  <c r="AI12" i="3" s="1"/>
  <c r="AH12" i="3"/>
  <c r="AF12" i="3"/>
  <c r="BW5" i="3"/>
  <c r="CA5" i="3"/>
  <c r="CH5" i="3" s="1"/>
  <c r="AO3" i="1"/>
  <c r="AW3" i="1" s="1"/>
  <c r="U11" i="2"/>
  <c r="N33" i="4"/>
  <c r="CH20" i="1"/>
  <c r="U15" i="1"/>
  <c r="AI4" i="1"/>
  <c r="CF5" i="4"/>
  <c r="M43" i="2"/>
  <c r="Q16" i="2" s="1"/>
  <c r="BW8" i="3"/>
  <c r="CA8" i="3"/>
  <c r="CH8" i="3" s="1"/>
  <c r="BY6" i="3"/>
  <c r="W17" i="1"/>
  <c r="AM19" i="3"/>
  <c r="AN19" i="3" s="1"/>
  <c r="AQ19" i="3" s="1"/>
  <c r="AO19" i="3"/>
  <c r="CC20" i="4"/>
  <c r="CJ20" i="4" s="1"/>
  <c r="BY20" i="4"/>
  <c r="CC10" i="2"/>
  <c r="CA10" i="2"/>
  <c r="BW10" i="2"/>
  <c r="CF10" i="2"/>
  <c r="CE10" i="2"/>
  <c r="BZ10" i="2"/>
  <c r="CD10" i="2"/>
  <c r="CK10" i="2" s="1"/>
  <c r="CE20" i="3"/>
  <c r="CD20" i="3"/>
  <c r="CC20" i="3"/>
  <c r="CJ20" i="3" s="1"/>
  <c r="CB20" i="3"/>
  <c r="CI20" i="3" s="1"/>
  <c r="BZ20" i="3"/>
  <c r="CG20" i="3" s="1"/>
  <c r="BY20" i="3"/>
  <c r="BV20" i="3"/>
  <c r="AM3" i="3"/>
  <c r="AN3" i="3" s="1"/>
  <c r="AQ3" i="3" s="1"/>
  <c r="AO3" i="3"/>
  <c r="AM9" i="3"/>
  <c r="AN9" i="3" s="1"/>
  <c r="AQ9" i="3" s="1"/>
  <c r="AO9" i="3"/>
  <c r="BX15" i="1"/>
  <c r="CA15" i="1"/>
  <c r="CH15" i="1" s="1"/>
  <c r="AN11" i="1"/>
  <c r="AL11" i="1"/>
  <c r="AM11" i="1" s="1"/>
  <c r="AP11" i="1" s="1"/>
  <c r="Q18" i="2"/>
  <c r="N48" i="1"/>
  <c r="AL15" i="1"/>
  <c r="AM15" i="1" s="1"/>
  <c r="AP15" i="1" s="1"/>
  <c r="AN15" i="1"/>
  <c r="CA6" i="3"/>
  <c r="CH6" i="3" s="1"/>
  <c r="BW6" i="3"/>
  <c r="AL17" i="2"/>
  <c r="V17" i="2"/>
  <c r="AD17" i="2"/>
  <c r="R17" i="2"/>
  <c r="T17" i="2" s="1"/>
  <c r="AE17" i="2"/>
  <c r="AC17" i="2"/>
  <c r="Q5" i="4"/>
  <c r="Q13" i="3"/>
  <c r="O34" i="1"/>
  <c r="N34" i="1"/>
  <c r="Q7" i="1" s="1"/>
  <c r="N35" i="2"/>
  <c r="O3" i="6"/>
  <c r="J30" i="6"/>
  <c r="Q30" i="6" s="1"/>
  <c r="N23" i="6"/>
  <c r="CH22" i="2"/>
  <c r="U8" i="3"/>
  <c r="AD8" i="2"/>
  <c r="R8" i="2"/>
  <c r="T8" i="2" s="1"/>
  <c r="AC8" i="2"/>
  <c r="AE8" i="2"/>
  <c r="AL8" i="2"/>
  <c r="V8" i="2"/>
  <c r="BY7" i="4"/>
  <c r="CC7" i="4"/>
  <c r="AH21" i="1"/>
  <c r="AG21" i="1"/>
  <c r="AF21" i="1"/>
  <c r="X21" i="1"/>
  <c r="BY3" i="3"/>
  <c r="N9" i="6"/>
  <c r="N40" i="4"/>
  <c r="Q13" i="4" s="1"/>
  <c r="CB16" i="2"/>
  <c r="CI16" i="2" s="1"/>
  <c r="BY2" i="3"/>
  <c r="CE2" i="3"/>
  <c r="CD2" i="3"/>
  <c r="CC2" i="3"/>
  <c r="CJ2" i="3" s="1"/>
  <c r="CB2" i="3"/>
  <c r="CI2" i="3" s="1"/>
  <c r="BZ2" i="3"/>
  <c r="CG2" i="3" s="1"/>
  <c r="BV2" i="3"/>
  <c r="M42" i="2"/>
  <c r="Q15" i="2" s="1"/>
  <c r="AA12" i="3"/>
  <c r="S12" i="3"/>
  <c r="AB12" i="3"/>
  <c r="Z12" i="3"/>
  <c r="Y12" i="3"/>
  <c r="W12" i="3"/>
  <c r="CA15" i="3"/>
  <c r="CH15" i="3" s="1"/>
  <c r="BW15" i="3"/>
  <c r="CI3" i="2"/>
  <c r="AE7" i="4"/>
  <c r="AC7" i="4"/>
  <c r="AN7" i="4"/>
  <c r="V7" i="4"/>
  <c r="R7" i="4"/>
  <c r="T7" i="4" s="1"/>
  <c r="AD7" i="4"/>
  <c r="X3" i="2"/>
  <c r="AG3" i="2"/>
  <c r="AI3" i="2"/>
  <c r="BY3" i="2" s="1"/>
  <c r="AH3" i="2"/>
  <c r="AF3" i="2"/>
  <c r="AO14" i="3"/>
  <c r="AM14" i="3"/>
  <c r="AN14" i="3" s="1"/>
  <c r="AQ14" i="3" s="1"/>
  <c r="CB12" i="1"/>
  <c r="CI12" i="1" s="1"/>
  <c r="AD23" i="4"/>
  <c r="R23" i="4"/>
  <c r="T23" i="4" s="1"/>
  <c r="AN23" i="4"/>
  <c r="V23" i="4"/>
  <c r="AC23" i="4"/>
  <c r="AE23" i="4"/>
  <c r="AE23" i="2"/>
  <c r="CI23" i="2" s="1"/>
  <c r="AD23" i="2"/>
  <c r="CH23" i="2" s="1"/>
  <c r="R23" i="2"/>
  <c r="T23" i="2" s="1"/>
  <c r="U23" i="2" s="1"/>
  <c r="V23" i="2"/>
  <c r="AL23" i="2"/>
  <c r="AC23" i="2"/>
  <c r="M38" i="1"/>
  <c r="CG23" i="1"/>
  <c r="CG19" i="4"/>
  <c r="CE9" i="3"/>
  <c r="M45" i="4"/>
  <c r="Q18" i="4" s="1"/>
  <c r="AH21" i="2"/>
  <c r="X21" i="2"/>
  <c r="AG21" i="2"/>
  <c r="AI21" i="2"/>
  <c r="BY21" i="2" s="1"/>
  <c r="AF21" i="2"/>
  <c r="CD5" i="3"/>
  <c r="N46" i="2"/>
  <c r="Q21" i="2"/>
  <c r="CI17" i="2"/>
  <c r="AN7" i="1"/>
  <c r="AL7" i="1"/>
  <c r="AM7" i="1" s="1"/>
  <c r="AP7" i="1" s="1"/>
  <c r="M33" i="4"/>
  <c r="Q6" i="4" s="1"/>
  <c r="U10" i="1"/>
  <c r="AO5" i="3"/>
  <c r="AM5" i="3"/>
  <c r="AN5" i="3" s="1"/>
  <c r="AQ5" i="3" s="1"/>
  <c r="AL16" i="2"/>
  <c r="V16" i="2"/>
  <c r="AC16" i="2"/>
  <c r="R16" i="2"/>
  <c r="T16" i="2" s="1"/>
  <c r="U16" i="2" s="1"/>
  <c r="AD16" i="2"/>
  <c r="AE16" i="2"/>
  <c r="CD6" i="3"/>
  <c r="U14" i="1"/>
  <c r="S17" i="1"/>
  <c r="CH7" i="2" l="1"/>
  <c r="CG12" i="2"/>
  <c r="CH9" i="2"/>
  <c r="CG18" i="2"/>
  <c r="CG13" i="2"/>
  <c r="CH4" i="2"/>
  <c r="CK10" i="4"/>
  <c r="CK9" i="2"/>
  <c r="CG9" i="2"/>
  <c r="CK13" i="2"/>
  <c r="CL10" i="4"/>
  <c r="CG7" i="2"/>
  <c r="CG6" i="2"/>
  <c r="CF14" i="3"/>
  <c r="CI22" i="2"/>
  <c r="CH10" i="4"/>
  <c r="CG22" i="2"/>
  <c r="CI19" i="2"/>
  <c r="CK12" i="2"/>
  <c r="CK5" i="2"/>
  <c r="CG14" i="2"/>
  <c r="CJ4" i="4"/>
  <c r="CG11" i="2"/>
  <c r="CH17" i="2"/>
  <c r="CG17" i="2"/>
  <c r="CG19" i="2"/>
  <c r="CK14" i="2"/>
  <c r="CL4" i="4"/>
  <c r="CG23" i="2"/>
  <c r="CG5" i="2"/>
  <c r="CH12" i="2"/>
  <c r="CG2" i="2"/>
  <c r="CG3" i="2"/>
  <c r="CK4" i="4"/>
  <c r="CG21" i="2"/>
  <c r="CK5" i="4"/>
  <c r="CH4" i="4"/>
  <c r="CK17" i="4"/>
  <c r="CH21" i="4"/>
  <c r="CF15" i="3"/>
  <c r="CJ13" i="4"/>
  <c r="CG10" i="2"/>
  <c r="CH15" i="4"/>
  <c r="CG4" i="2"/>
  <c r="CF17" i="3"/>
  <c r="CF19" i="3"/>
  <c r="CF18" i="3"/>
  <c r="CJ23" i="4"/>
  <c r="CL11" i="4"/>
  <c r="CH3" i="4"/>
  <c r="CH17" i="4"/>
  <c r="CL3" i="4"/>
  <c r="CK7" i="4"/>
  <c r="CK15" i="4"/>
  <c r="CH11" i="4"/>
  <c r="CH7" i="4"/>
  <c r="CK22" i="4"/>
  <c r="CJ6" i="4"/>
  <c r="CL13" i="4"/>
  <c r="CH22" i="4"/>
  <c r="CH14" i="4"/>
  <c r="CL23" i="4"/>
  <c r="CK3" i="4"/>
  <c r="CK21" i="4"/>
  <c r="CH13" i="4"/>
  <c r="CH2" i="4"/>
  <c r="CL21" i="4"/>
  <c r="CL7" i="4"/>
  <c r="CH6" i="4"/>
  <c r="CH23" i="4"/>
  <c r="BH35" i="4"/>
  <c r="CF5" i="3"/>
  <c r="CF6" i="3"/>
  <c r="CF21" i="3"/>
  <c r="CF22" i="3"/>
  <c r="CF2" i="3"/>
  <c r="CF20" i="3"/>
  <c r="CF16" i="3"/>
  <c r="CF13" i="3"/>
  <c r="CF9" i="3"/>
  <c r="BF33" i="3"/>
  <c r="CF23" i="3"/>
  <c r="CF11" i="3"/>
  <c r="CF3" i="3"/>
  <c r="CF12" i="3"/>
  <c r="CG20" i="2"/>
  <c r="CG16" i="2"/>
  <c r="CG15" i="2"/>
  <c r="CK20" i="2"/>
  <c r="BC33" i="2"/>
  <c r="CG8" i="2"/>
  <c r="AQ4" i="1"/>
  <c r="AT4" i="1" s="1"/>
  <c r="AR4" i="1"/>
  <c r="AU4" i="1" s="1"/>
  <c r="AS3" i="1"/>
  <c r="AV3" i="1" s="1"/>
  <c r="AS5" i="1"/>
  <c r="AV5" i="1" s="1"/>
  <c r="AR19" i="1"/>
  <c r="AU19" i="1" s="1"/>
  <c r="AQ6" i="1"/>
  <c r="AT6" i="1" s="1"/>
  <c r="AQ13" i="1"/>
  <c r="AT13" i="1" s="1"/>
  <c r="AQ18" i="1"/>
  <c r="AT18" i="1" s="1"/>
  <c r="AS18" i="1"/>
  <c r="AV18" i="1" s="1"/>
  <c r="AS13" i="1"/>
  <c r="AV13" i="1" s="1"/>
  <c r="AS6" i="1"/>
  <c r="AV6" i="1" s="1"/>
  <c r="AS4" i="1"/>
  <c r="AV4" i="1" s="1"/>
  <c r="AQ19" i="1"/>
  <c r="AT19" i="1" s="1"/>
  <c r="CF5" i="1"/>
  <c r="CF11" i="1"/>
  <c r="CF23" i="1"/>
  <c r="CF2" i="1"/>
  <c r="CF14" i="1"/>
  <c r="CF21" i="1"/>
  <c r="CF9" i="1"/>
  <c r="CF18" i="1"/>
  <c r="CF16" i="1"/>
  <c r="CF8" i="1"/>
  <c r="CF12" i="1"/>
  <c r="CF10" i="1"/>
  <c r="CF4" i="1"/>
  <c r="CF22" i="1"/>
  <c r="CF20" i="1"/>
  <c r="CF17" i="1"/>
  <c r="AA13" i="4"/>
  <c r="Z13" i="4"/>
  <c r="Y13" i="4"/>
  <c r="AB13" i="4"/>
  <c r="S13" i="4"/>
  <c r="W13" i="4"/>
  <c r="S7" i="1"/>
  <c r="AB7" i="1"/>
  <c r="Z7" i="1"/>
  <c r="Y7" i="1"/>
  <c r="W7" i="1"/>
  <c r="AA7" i="1"/>
  <c r="U7" i="1"/>
  <c r="S3" i="4"/>
  <c r="AB3" i="4"/>
  <c r="AA3" i="4"/>
  <c r="Z3" i="4"/>
  <c r="Y3" i="4"/>
  <c r="W3" i="4"/>
  <c r="Z16" i="4"/>
  <c r="Y16" i="4"/>
  <c r="AB16" i="4"/>
  <c r="AA16" i="4"/>
  <c r="S16" i="4"/>
  <c r="W16" i="4"/>
  <c r="X23" i="2"/>
  <c r="AG23" i="2"/>
  <c r="AI23" i="2"/>
  <c r="BY23" i="2" s="1"/>
  <c r="AF23" i="2"/>
  <c r="AH23" i="2"/>
  <c r="AJ23" i="2" s="1"/>
  <c r="BX23" i="2" s="1"/>
  <c r="X5" i="2"/>
  <c r="AI5" i="2"/>
  <c r="BY5" i="2" s="1"/>
  <c r="AH5" i="2"/>
  <c r="AG5" i="2"/>
  <c r="AF5" i="2"/>
  <c r="O19" i="6"/>
  <c r="P46" i="6"/>
  <c r="J46" i="6"/>
  <c r="Q46" i="6" s="1"/>
  <c r="O46" i="6"/>
  <c r="X20" i="2"/>
  <c r="AG20" i="2"/>
  <c r="AI20" i="2"/>
  <c r="BY20" i="2" s="1"/>
  <c r="AH20" i="2"/>
  <c r="AF20" i="2"/>
  <c r="AP10" i="3"/>
  <c r="AX10" i="3" s="1"/>
  <c r="AO17" i="1"/>
  <c r="AW17" i="1" s="1"/>
  <c r="AP3" i="2"/>
  <c r="AY3" i="2" s="1"/>
  <c r="AJ16" i="3"/>
  <c r="AM19" i="2"/>
  <c r="AN19" i="2" s="1"/>
  <c r="AQ19" i="2" s="1"/>
  <c r="AO19" i="2"/>
  <c r="U10" i="4"/>
  <c r="AP20" i="3"/>
  <c r="AX20" i="3" s="1"/>
  <c r="AJ6" i="3"/>
  <c r="S6" i="4"/>
  <c r="AB6" i="4"/>
  <c r="AA6" i="4"/>
  <c r="Z6" i="4"/>
  <c r="Y6" i="4"/>
  <c r="W6" i="4"/>
  <c r="AJ21" i="2"/>
  <c r="BX21" i="2" s="1"/>
  <c r="S13" i="3"/>
  <c r="AB13" i="3"/>
  <c r="AA13" i="3"/>
  <c r="Z13" i="3"/>
  <c r="Y13" i="3"/>
  <c r="W13" i="3"/>
  <c r="AQ3" i="1"/>
  <c r="AT3" i="1" s="1"/>
  <c r="CH19" i="4"/>
  <c r="AQ19" i="4"/>
  <c r="AO19" i="4"/>
  <c r="AP19" i="4" s="1"/>
  <c r="AS19" i="4" s="1"/>
  <c r="AP11" i="2"/>
  <c r="AY11" i="2" s="1"/>
  <c r="CH20" i="4"/>
  <c r="S23" i="2"/>
  <c r="AA23" i="2"/>
  <c r="Z23" i="2"/>
  <c r="AB23" i="2"/>
  <c r="Y23" i="2"/>
  <c r="W23" i="2"/>
  <c r="U5" i="4"/>
  <c r="P35" i="6"/>
  <c r="AJ15" i="4"/>
  <c r="AI15" i="4"/>
  <c r="AH15" i="4"/>
  <c r="AG15" i="4"/>
  <c r="AF15" i="4"/>
  <c r="X15" i="4"/>
  <c r="AJ6" i="4"/>
  <c r="X6" i="4"/>
  <c r="AH6" i="4"/>
  <c r="AF6" i="4"/>
  <c r="AI6" i="4"/>
  <c r="AG6" i="4"/>
  <c r="AI10" i="3"/>
  <c r="O11" i="6"/>
  <c r="J38" i="6"/>
  <c r="Q38" i="6" s="1"/>
  <c r="AP7" i="3"/>
  <c r="AX7" i="3" s="1"/>
  <c r="AJ17" i="3"/>
  <c r="AI21" i="3"/>
  <c r="AJ21" i="3" s="1"/>
  <c r="AJ13" i="3"/>
  <c r="AJ9" i="3"/>
  <c r="O34" i="6"/>
  <c r="Y5" i="2"/>
  <c r="AI22" i="1"/>
  <c r="AI11" i="4"/>
  <c r="AG11" i="4"/>
  <c r="AF11" i="4"/>
  <c r="X11" i="4"/>
  <c r="AJ11" i="4"/>
  <c r="AH11" i="4"/>
  <c r="AK11" i="4" s="1"/>
  <c r="AO23" i="1"/>
  <c r="AW23" i="1" s="1"/>
  <c r="CF10" i="3"/>
  <c r="AI19" i="2"/>
  <c r="BY19" i="2" s="1"/>
  <c r="AF19" i="2"/>
  <c r="X19" i="2"/>
  <c r="AH19" i="2"/>
  <c r="AJ19" i="2" s="1"/>
  <c r="BX19" i="2" s="1"/>
  <c r="AG19" i="2"/>
  <c r="CL18" i="4"/>
  <c r="AI5" i="3"/>
  <c r="AI15" i="1"/>
  <c r="AO12" i="2"/>
  <c r="AM12" i="2"/>
  <c r="AN12" i="2" s="1"/>
  <c r="AQ12" i="2" s="1"/>
  <c r="P33" i="6"/>
  <c r="O4" i="6"/>
  <c r="J31" i="6"/>
  <c r="Q31" i="6" s="1"/>
  <c r="O31" i="6"/>
  <c r="AQ3" i="4"/>
  <c r="AO3" i="4"/>
  <c r="AP3" i="4" s="1"/>
  <c r="AS3" i="4" s="1"/>
  <c r="O15" i="6"/>
  <c r="J42" i="6"/>
  <c r="Q42" i="6" s="1"/>
  <c r="O42" i="6"/>
  <c r="U20" i="4"/>
  <c r="CI8" i="2"/>
  <c r="AO7" i="1"/>
  <c r="AW7" i="1" s="1"/>
  <c r="S18" i="4"/>
  <c r="AB18" i="4"/>
  <c r="AA18" i="4"/>
  <c r="Z18" i="4"/>
  <c r="Y18" i="4"/>
  <c r="W18" i="4"/>
  <c r="CL22" i="4"/>
  <c r="AA5" i="4"/>
  <c r="Y5" i="4"/>
  <c r="S5" i="4"/>
  <c r="AB5" i="4"/>
  <c r="Z5" i="4"/>
  <c r="W5" i="4"/>
  <c r="AP3" i="3"/>
  <c r="AX3" i="3" s="1"/>
  <c r="AA16" i="2"/>
  <c r="Z16" i="2"/>
  <c r="Y16" i="2"/>
  <c r="S16" i="2"/>
  <c r="AB16" i="2"/>
  <c r="W16" i="2"/>
  <c r="AR3" i="1"/>
  <c r="AU3" i="1" s="1"/>
  <c r="U3" i="4"/>
  <c r="CJ19" i="4"/>
  <c r="U19" i="4"/>
  <c r="AF4" i="2"/>
  <c r="X4" i="2"/>
  <c r="AI4" i="2"/>
  <c r="BY4" i="2" s="1"/>
  <c r="AH4" i="2"/>
  <c r="AG4" i="2"/>
  <c r="AI14" i="3"/>
  <c r="AO5" i="4"/>
  <c r="AP5" i="4" s="1"/>
  <c r="AS5" i="4" s="1"/>
  <c r="AQ5" i="4"/>
  <c r="AQ15" i="4"/>
  <c r="AO15" i="4"/>
  <c r="AP15" i="4" s="1"/>
  <c r="AS15" i="4" s="1"/>
  <c r="BH33" i="4"/>
  <c r="CL16" i="4"/>
  <c r="AM20" i="2"/>
  <c r="AN20" i="2" s="1"/>
  <c r="AQ20" i="2" s="1"/>
  <c r="AO20" i="2"/>
  <c r="AJ4" i="3"/>
  <c r="CK12" i="4"/>
  <c r="O22" i="6"/>
  <c r="J49" i="6"/>
  <c r="Q49" i="6" s="1"/>
  <c r="O49" i="6"/>
  <c r="P41" i="6"/>
  <c r="X7" i="6"/>
  <c r="AE7" i="6"/>
  <c r="T7" i="6"/>
  <c r="V7" i="6" s="1"/>
  <c r="AG7" i="6"/>
  <c r="AF7" i="6"/>
  <c r="Z5" i="2"/>
  <c r="AQ11" i="4"/>
  <c r="AO11" i="4"/>
  <c r="AP11" i="4" s="1"/>
  <c r="AS11" i="4" s="1"/>
  <c r="AB21" i="4"/>
  <c r="Y21" i="4"/>
  <c r="AA21" i="4"/>
  <c r="Z21" i="4"/>
  <c r="S21" i="4"/>
  <c r="W21" i="4"/>
  <c r="Q21" i="1"/>
  <c r="AO16" i="1"/>
  <c r="AW16" i="1" s="1"/>
  <c r="AB6" i="2"/>
  <c r="Y6" i="2"/>
  <c r="S6" i="2"/>
  <c r="AA6" i="2"/>
  <c r="Z6" i="2"/>
  <c r="W6" i="2"/>
  <c r="AJ5" i="3"/>
  <c r="U12" i="2"/>
  <c r="AE6" i="6"/>
  <c r="X6" i="6"/>
  <c r="AF6" i="6"/>
  <c r="T6" i="6"/>
  <c r="V6" i="6" s="1"/>
  <c r="AG6" i="6"/>
  <c r="AH9" i="2"/>
  <c r="AJ9" i="2" s="1"/>
  <c r="BX9" i="2" s="1"/>
  <c r="AI9" i="2"/>
  <c r="BY9" i="2" s="1"/>
  <c r="AG9" i="2"/>
  <c r="AF9" i="2"/>
  <c r="X9" i="2"/>
  <c r="AO6" i="4"/>
  <c r="AP6" i="4" s="1"/>
  <c r="AS6" i="4" s="1"/>
  <c r="AQ6" i="4"/>
  <c r="AQ20" i="4"/>
  <c r="AO20" i="4"/>
  <c r="AP20" i="4" s="1"/>
  <c r="AS20" i="4" s="1"/>
  <c r="AP11" i="3"/>
  <c r="AX11" i="3" s="1"/>
  <c r="AQ4" i="4"/>
  <c r="AO4" i="4"/>
  <c r="AP4" i="4" s="1"/>
  <c r="AS4" i="4" s="1"/>
  <c r="S8" i="1"/>
  <c r="AB8" i="1"/>
  <c r="Z8" i="1"/>
  <c r="AA8" i="1"/>
  <c r="Y8" i="1"/>
  <c r="W8" i="1"/>
  <c r="AO5" i="2"/>
  <c r="AM5" i="2"/>
  <c r="AN5" i="2" s="1"/>
  <c r="AQ5" i="2" s="1"/>
  <c r="AI17" i="3"/>
  <c r="AQ12" i="4"/>
  <c r="AO12" i="4"/>
  <c r="AP12" i="4" s="1"/>
  <c r="AS12" i="4" s="1"/>
  <c r="P34" i="6"/>
  <c r="CF7" i="1"/>
  <c r="AJ4" i="4"/>
  <c r="X4" i="4"/>
  <c r="AI4" i="4"/>
  <c r="AH4" i="4"/>
  <c r="AG4" i="4"/>
  <c r="AF4" i="4"/>
  <c r="O33" i="6"/>
  <c r="S6" i="6" s="1"/>
  <c r="AI21" i="1"/>
  <c r="AO15" i="1"/>
  <c r="AW15" i="1" s="1"/>
  <c r="CH10" i="2"/>
  <c r="AO14" i="2"/>
  <c r="AM14" i="2"/>
  <c r="AN14" i="2" s="1"/>
  <c r="AQ14" i="2" s="1"/>
  <c r="X15" i="2"/>
  <c r="AH15" i="2"/>
  <c r="AI15" i="2"/>
  <c r="BY15" i="2" s="1"/>
  <c r="AG15" i="2"/>
  <c r="AF15" i="2"/>
  <c r="AM4" i="2"/>
  <c r="AN4" i="2" s="1"/>
  <c r="AQ4" i="2" s="1"/>
  <c r="AO4" i="2"/>
  <c r="AJ14" i="3"/>
  <c r="CF8" i="3"/>
  <c r="O35" i="6"/>
  <c r="S8" i="6" s="1"/>
  <c r="AJ15" i="3"/>
  <c r="CK19" i="4"/>
  <c r="CH16" i="4"/>
  <c r="U20" i="2"/>
  <c r="S5" i="1"/>
  <c r="AB5" i="1"/>
  <c r="Z5" i="1"/>
  <c r="Y5" i="1"/>
  <c r="W5" i="1"/>
  <c r="AA5" i="1"/>
  <c r="U5" i="1"/>
  <c r="S15" i="4"/>
  <c r="AB15" i="4"/>
  <c r="AA15" i="4"/>
  <c r="Z15" i="4"/>
  <c r="Y15" i="4"/>
  <c r="W15" i="4"/>
  <c r="AO8" i="1"/>
  <c r="AW8" i="1" s="1"/>
  <c r="O41" i="6"/>
  <c r="S14" i="6" s="1"/>
  <c r="AP4" i="3"/>
  <c r="AX4" i="3" s="1"/>
  <c r="AB5" i="2"/>
  <c r="AJ13" i="4"/>
  <c r="AH13" i="4"/>
  <c r="AG13" i="4"/>
  <c r="AF13" i="4"/>
  <c r="X13" i="4"/>
  <c r="AI13" i="4"/>
  <c r="S12" i="4"/>
  <c r="AB12" i="4"/>
  <c r="Z12" i="4"/>
  <c r="Y12" i="4"/>
  <c r="AA12" i="4"/>
  <c r="W12" i="4"/>
  <c r="CK9" i="4"/>
  <c r="CF6" i="1"/>
  <c r="AJ14" i="4"/>
  <c r="X14" i="4"/>
  <c r="AH14" i="4"/>
  <c r="AG14" i="4"/>
  <c r="AF14" i="4"/>
  <c r="AI14" i="4"/>
  <c r="X3" i="4"/>
  <c r="AJ3" i="4"/>
  <c r="AI3" i="4"/>
  <c r="AG3" i="4"/>
  <c r="AF3" i="4"/>
  <c r="AH3" i="4"/>
  <c r="AK3" i="4" s="1"/>
  <c r="Z14" i="4"/>
  <c r="S14" i="4"/>
  <c r="AB14" i="4"/>
  <c r="AA14" i="4"/>
  <c r="Y14" i="4"/>
  <c r="W14" i="4"/>
  <c r="AJ3" i="2"/>
  <c r="BX3" i="2" s="1"/>
  <c r="AO9" i="1"/>
  <c r="AW9" i="1" s="1"/>
  <c r="AJ23" i="4"/>
  <c r="X23" i="4"/>
  <c r="AI23" i="4"/>
  <c r="AH23" i="4"/>
  <c r="AK23" i="4" s="1"/>
  <c r="AF23" i="4"/>
  <c r="AG23" i="4"/>
  <c r="CH5" i="4"/>
  <c r="AQ8" i="4"/>
  <c r="AO8" i="4"/>
  <c r="AP8" i="4" s="1"/>
  <c r="AS8" i="4" s="1"/>
  <c r="AJ10" i="3"/>
  <c r="AI12" i="1"/>
  <c r="AI11" i="3"/>
  <c r="CJ14" i="4"/>
  <c r="AH12" i="4"/>
  <c r="AF12" i="4"/>
  <c r="X12" i="4"/>
  <c r="AJ12" i="4"/>
  <c r="AI12" i="4"/>
  <c r="AG12" i="4"/>
  <c r="AA22" i="4"/>
  <c r="AP12" i="3"/>
  <c r="AX12" i="3" s="1"/>
  <c r="AR18" i="1"/>
  <c r="AU18" i="1" s="1"/>
  <c r="AR6" i="1"/>
  <c r="AU6" i="1" s="1"/>
  <c r="CH15" i="2"/>
  <c r="AO10" i="4"/>
  <c r="AP10" i="4" s="1"/>
  <c r="AS10" i="4" s="1"/>
  <c r="AQ10" i="4"/>
  <c r="AI20" i="1"/>
  <c r="AP6" i="3"/>
  <c r="AX6" i="3" s="1"/>
  <c r="AO6" i="2"/>
  <c r="AM6" i="2"/>
  <c r="AN6" i="2" s="1"/>
  <c r="AQ6" i="2" s="1"/>
  <c r="CL9" i="4"/>
  <c r="BG33" i="1"/>
  <c r="AI7" i="3"/>
  <c r="AJ7" i="3" s="1"/>
  <c r="AI20" i="3"/>
  <c r="AJ20" i="3" s="1"/>
  <c r="Q4" i="3"/>
  <c r="AP22" i="3"/>
  <c r="AX22" i="3" s="1"/>
  <c r="AI12" i="2"/>
  <c r="BY12" i="2" s="1"/>
  <c r="AH12" i="2"/>
  <c r="AG12" i="2"/>
  <c r="AF12" i="2"/>
  <c r="X12" i="2"/>
  <c r="AI23" i="3"/>
  <c r="AJ23" i="3" s="1"/>
  <c r="AJ5" i="4"/>
  <c r="X5" i="4"/>
  <c r="AI5" i="4"/>
  <c r="AH5" i="4"/>
  <c r="AG5" i="4"/>
  <c r="AF5" i="4"/>
  <c r="AO15" i="2"/>
  <c r="AM15" i="2"/>
  <c r="AN15" i="2" s="1"/>
  <c r="AQ15" i="2" s="1"/>
  <c r="AQ23" i="4"/>
  <c r="AO23" i="4"/>
  <c r="AP23" i="4" s="1"/>
  <c r="AS23" i="4" s="1"/>
  <c r="U7" i="4"/>
  <c r="O23" i="6"/>
  <c r="J50" i="6"/>
  <c r="Q50" i="6" s="1"/>
  <c r="AI19" i="4"/>
  <c r="AH19" i="4"/>
  <c r="AG19" i="4"/>
  <c r="AF19" i="4"/>
  <c r="AJ19" i="4"/>
  <c r="X19" i="4"/>
  <c r="U8" i="4"/>
  <c r="AB9" i="1"/>
  <c r="Y9" i="1"/>
  <c r="W9" i="1"/>
  <c r="AA9" i="1"/>
  <c r="Z9" i="1"/>
  <c r="S9" i="1"/>
  <c r="CL6" i="4"/>
  <c r="AJ11" i="3"/>
  <c r="AP15" i="3"/>
  <c r="AX15" i="3" s="1"/>
  <c r="CJ15" i="4"/>
  <c r="AP13" i="3"/>
  <c r="AX13" i="3" s="1"/>
  <c r="X14" i="6"/>
  <c r="T14" i="6"/>
  <c r="V14" i="6" s="1"/>
  <c r="AG14" i="6"/>
  <c r="AF14" i="6"/>
  <c r="AE14" i="6"/>
  <c r="S8" i="3"/>
  <c r="Z8" i="3"/>
  <c r="Y8" i="3"/>
  <c r="AB8" i="3"/>
  <c r="AA8" i="3"/>
  <c r="W8" i="3"/>
  <c r="AO21" i="4"/>
  <c r="AP21" i="4" s="1"/>
  <c r="AS21" i="4" s="1"/>
  <c r="AQ21" i="4"/>
  <c r="CH18" i="4"/>
  <c r="AJ10" i="4"/>
  <c r="X10" i="4"/>
  <c r="AI10" i="4"/>
  <c r="AH10" i="4"/>
  <c r="AG10" i="4"/>
  <c r="AF10" i="4"/>
  <c r="AA6" i="3"/>
  <c r="Z6" i="3"/>
  <c r="Y6" i="3"/>
  <c r="AB6" i="3"/>
  <c r="S6" i="3"/>
  <c r="W6" i="3"/>
  <c r="AH6" i="2"/>
  <c r="AG6" i="2"/>
  <c r="X6" i="2"/>
  <c r="AI6" i="2"/>
  <c r="BY6" i="2" s="1"/>
  <c r="AF6" i="2"/>
  <c r="CH9" i="4"/>
  <c r="AB18" i="6"/>
  <c r="AD18" i="6"/>
  <c r="AO20" i="1"/>
  <c r="AW20" i="1" s="1"/>
  <c r="U18" i="2"/>
  <c r="Q7" i="2"/>
  <c r="U7" i="2" s="1"/>
  <c r="AB22" i="1"/>
  <c r="AA22" i="1"/>
  <c r="Y22" i="1"/>
  <c r="S22" i="1"/>
  <c r="Z22" i="1"/>
  <c r="W22" i="1"/>
  <c r="Q19" i="2"/>
  <c r="AG13" i="2"/>
  <c r="AF13" i="2"/>
  <c r="AI13" i="2"/>
  <c r="BY13" i="2" s="1"/>
  <c r="X13" i="2"/>
  <c r="AH13" i="2"/>
  <c r="AJ13" i="2" s="1"/>
  <c r="BX13" i="2" s="1"/>
  <c r="O9" i="6"/>
  <c r="O36" i="6"/>
  <c r="J36" i="6"/>
  <c r="Q36" i="6" s="1"/>
  <c r="AO21" i="1"/>
  <c r="AW21" i="1" s="1"/>
  <c r="Z12" i="1"/>
  <c r="Y12" i="1"/>
  <c r="S12" i="1"/>
  <c r="AB12" i="1"/>
  <c r="AA12" i="1"/>
  <c r="W12" i="1"/>
  <c r="AB20" i="4"/>
  <c r="AA20" i="4"/>
  <c r="Z20" i="4"/>
  <c r="Y20" i="4"/>
  <c r="S20" i="4"/>
  <c r="W20" i="4"/>
  <c r="AI8" i="1"/>
  <c r="X14" i="2"/>
  <c r="AG14" i="2"/>
  <c r="AH14" i="2"/>
  <c r="AF14" i="2"/>
  <c r="AI14" i="2"/>
  <c r="BY14" i="2" s="1"/>
  <c r="AB10" i="4"/>
  <c r="Z10" i="4"/>
  <c r="Y10" i="4"/>
  <c r="AA10" i="4"/>
  <c r="S10" i="4"/>
  <c r="W10" i="4"/>
  <c r="Q8" i="2"/>
  <c r="U8" i="2" s="1"/>
  <c r="X8" i="6"/>
  <c r="T8" i="6"/>
  <c r="V8" i="6" s="1"/>
  <c r="AG8" i="6"/>
  <c r="AF8" i="6"/>
  <c r="AE8" i="6"/>
  <c r="X16" i="2"/>
  <c r="AI16" i="2"/>
  <c r="BY16" i="2" s="1"/>
  <c r="AH16" i="2"/>
  <c r="AF16" i="2"/>
  <c r="AG16" i="2"/>
  <c r="S21" i="2"/>
  <c r="AB21" i="2"/>
  <c r="Y21" i="2"/>
  <c r="AA21" i="2"/>
  <c r="Z21" i="2"/>
  <c r="W21" i="2"/>
  <c r="U23" i="4"/>
  <c r="AJ7" i="4"/>
  <c r="X7" i="4"/>
  <c r="AI7" i="4"/>
  <c r="AH7" i="4"/>
  <c r="AK7" i="4" s="1"/>
  <c r="AG7" i="4"/>
  <c r="AF7" i="4"/>
  <c r="CJ7" i="4"/>
  <c r="P30" i="6"/>
  <c r="AB18" i="2"/>
  <c r="AA18" i="2"/>
  <c r="Z18" i="2"/>
  <c r="Y18" i="2"/>
  <c r="S18" i="2"/>
  <c r="W18" i="2"/>
  <c r="AJ12" i="3"/>
  <c r="CH8" i="4"/>
  <c r="Q12" i="2"/>
  <c r="X10" i="2"/>
  <c r="AH10" i="2"/>
  <c r="AF10" i="2"/>
  <c r="AG10" i="2"/>
  <c r="AI10" i="2"/>
  <c r="BY10" i="2" s="1"/>
  <c r="CK20" i="4"/>
  <c r="AP8" i="3"/>
  <c r="AX8" i="3" s="1"/>
  <c r="AP18" i="3"/>
  <c r="AX18" i="3" s="1"/>
  <c r="CK6" i="4"/>
  <c r="W14" i="2"/>
  <c r="CK16" i="4"/>
  <c r="AO22" i="1"/>
  <c r="AW22" i="1" s="1"/>
  <c r="Z22" i="2"/>
  <c r="S22" i="2"/>
  <c r="AA22" i="2"/>
  <c r="AB22" i="2"/>
  <c r="Y22" i="2"/>
  <c r="W22" i="2"/>
  <c r="AS19" i="1"/>
  <c r="AV19" i="1" s="1"/>
  <c r="S22" i="4"/>
  <c r="CL12" i="4"/>
  <c r="AJ18" i="4"/>
  <c r="X18" i="4"/>
  <c r="AI18" i="4"/>
  <c r="AH18" i="4"/>
  <c r="AG18" i="4"/>
  <c r="AF18" i="4"/>
  <c r="CF13" i="1"/>
  <c r="CF3" i="1"/>
  <c r="CF4" i="3"/>
  <c r="U21" i="4"/>
  <c r="S9" i="4"/>
  <c r="AB9" i="4"/>
  <c r="AA9" i="4"/>
  <c r="Z9" i="4"/>
  <c r="Y9" i="4"/>
  <c r="W9" i="4"/>
  <c r="CK15" i="2"/>
  <c r="U13" i="4"/>
  <c r="CJ18" i="4"/>
  <c r="O10" i="6"/>
  <c r="J37" i="6"/>
  <c r="Q37" i="6" s="1"/>
  <c r="O21" i="6"/>
  <c r="J48" i="6"/>
  <c r="Q48" i="6" s="1"/>
  <c r="AJ16" i="4"/>
  <c r="X16" i="4"/>
  <c r="AI16" i="4"/>
  <c r="AH16" i="4"/>
  <c r="AG16" i="4"/>
  <c r="AF16" i="4"/>
  <c r="Z19" i="4"/>
  <c r="S19" i="4"/>
  <c r="AB19" i="4"/>
  <c r="AA19" i="4"/>
  <c r="Y19" i="4"/>
  <c r="W19" i="4"/>
  <c r="CL5" i="4"/>
  <c r="AB15" i="2"/>
  <c r="AA15" i="2"/>
  <c r="Z15" i="2"/>
  <c r="Y15" i="2"/>
  <c r="S15" i="2"/>
  <c r="W15" i="2"/>
  <c r="AO11" i="1"/>
  <c r="AW11" i="1" s="1"/>
  <c r="S7" i="4"/>
  <c r="AA7" i="4"/>
  <c r="Z7" i="4"/>
  <c r="AB7" i="4"/>
  <c r="Y7" i="4"/>
  <c r="W7" i="4"/>
  <c r="U14" i="4"/>
  <c r="AO9" i="2"/>
  <c r="AM9" i="2"/>
  <c r="AN9" i="2" s="1"/>
  <c r="AQ9" i="2" s="1"/>
  <c r="Z14" i="1"/>
  <c r="AB14" i="1"/>
  <c r="AA14" i="1"/>
  <c r="Y14" i="1"/>
  <c r="S14" i="1"/>
  <c r="W14" i="1"/>
  <c r="AQ16" i="4"/>
  <c r="AO16" i="4"/>
  <c r="AP16" i="4" s="1"/>
  <c r="AS16" i="4" s="1"/>
  <c r="AM22" i="2"/>
  <c r="AN22" i="2" s="1"/>
  <c r="AQ22" i="2" s="1"/>
  <c r="AO22" i="2"/>
  <c r="CL15" i="4"/>
  <c r="CH12" i="4"/>
  <c r="Q17" i="2"/>
  <c r="AA17" i="4"/>
  <c r="W9" i="2"/>
  <c r="CF7" i="3"/>
  <c r="AQ13" i="4"/>
  <c r="AO13" i="4"/>
  <c r="AP13" i="4" s="1"/>
  <c r="AS13" i="4" s="1"/>
  <c r="AG9" i="4"/>
  <c r="AJ9" i="4"/>
  <c r="AI9" i="4"/>
  <c r="AH9" i="4"/>
  <c r="AK9" i="4" s="1"/>
  <c r="AF9" i="4"/>
  <c r="X9" i="4"/>
  <c r="S23" i="3"/>
  <c r="AB23" i="3"/>
  <c r="AA23" i="3"/>
  <c r="Y23" i="3"/>
  <c r="Z23" i="3"/>
  <c r="W23" i="3"/>
  <c r="AE18" i="6"/>
  <c r="AC18" i="6" s="1"/>
  <c r="AG18" i="6"/>
  <c r="X18" i="6"/>
  <c r="AF18" i="6"/>
  <c r="AA18" i="6" s="1"/>
  <c r="T18" i="6"/>
  <c r="V18" i="6" s="1"/>
  <c r="W18" i="6" s="1"/>
  <c r="CF15" i="1"/>
  <c r="AO18" i="2"/>
  <c r="AM18" i="2"/>
  <c r="AN18" i="2" s="1"/>
  <c r="AQ18" i="2" s="1"/>
  <c r="U4" i="4"/>
  <c r="AP23" i="3"/>
  <c r="AX23" i="3" s="1"/>
  <c r="Q4" i="4"/>
  <c r="S20" i="6"/>
  <c r="AD13" i="6"/>
  <c r="AC13" i="6"/>
  <c r="AP21" i="3"/>
  <c r="AX21" i="3" s="1"/>
  <c r="AA20" i="2"/>
  <c r="S20" i="2"/>
  <c r="AB20" i="2"/>
  <c r="Z20" i="2"/>
  <c r="Y20" i="2"/>
  <c r="W20" i="2"/>
  <c r="AO18" i="4"/>
  <c r="AP18" i="4" s="1"/>
  <c r="AS18" i="4" s="1"/>
  <c r="AQ18" i="4"/>
  <c r="AJ17" i="4"/>
  <c r="X17" i="4"/>
  <c r="AG17" i="4"/>
  <c r="AF17" i="4"/>
  <c r="AH17" i="4"/>
  <c r="AI17" i="4"/>
  <c r="AP9" i="3"/>
  <c r="AX9" i="3" s="1"/>
  <c r="AA23" i="4"/>
  <c r="Z23" i="4"/>
  <c r="Y23" i="4"/>
  <c r="AB23" i="4"/>
  <c r="S23" i="4"/>
  <c r="W23" i="4"/>
  <c r="Q11" i="1"/>
  <c r="O30" i="6"/>
  <c r="S3" i="6" s="1"/>
  <c r="AP19" i="3"/>
  <c r="AX19" i="3" s="1"/>
  <c r="AI22" i="4"/>
  <c r="AF22" i="4"/>
  <c r="AJ22" i="4"/>
  <c r="AH22" i="4"/>
  <c r="AK22" i="4" s="1"/>
  <c r="AG22" i="4"/>
  <c r="X22" i="4"/>
  <c r="AI14" i="1"/>
  <c r="CJ5" i="4"/>
  <c r="AP21" i="2"/>
  <c r="AY21" i="2" s="1"/>
  <c r="Z8" i="4"/>
  <c r="S8" i="4"/>
  <c r="AB8" i="4"/>
  <c r="AA8" i="4"/>
  <c r="Y8" i="4"/>
  <c r="W8" i="4"/>
  <c r="AO14" i="4"/>
  <c r="AP14" i="4" s="1"/>
  <c r="AS14" i="4" s="1"/>
  <c r="AQ14" i="4"/>
  <c r="AJ8" i="4"/>
  <c r="X8" i="4"/>
  <c r="AH8" i="4"/>
  <c r="AG8" i="4"/>
  <c r="AI8" i="4"/>
  <c r="AF8" i="4"/>
  <c r="CK8" i="2"/>
  <c r="AQ5" i="1"/>
  <c r="AT5" i="1" s="1"/>
  <c r="U16" i="4"/>
  <c r="AI8" i="3"/>
  <c r="AJ8" i="3" s="1"/>
  <c r="AF22" i="2"/>
  <c r="AI22" i="2"/>
  <c r="BY22" i="2" s="1"/>
  <c r="X22" i="2"/>
  <c r="AH22" i="2"/>
  <c r="AJ22" i="2" s="1"/>
  <c r="BX22" i="2" s="1"/>
  <c r="AG22" i="2"/>
  <c r="AJ18" i="3"/>
  <c r="AG20" i="4"/>
  <c r="AI20" i="4"/>
  <c r="X20" i="4"/>
  <c r="AJ20" i="4"/>
  <c r="AH20" i="4"/>
  <c r="AF20" i="4"/>
  <c r="CJ8" i="4"/>
  <c r="U21" i="2"/>
  <c r="AD5" i="6"/>
  <c r="U18" i="4"/>
  <c r="U13" i="3"/>
  <c r="AJ21" i="4"/>
  <c r="X21" i="4"/>
  <c r="AI21" i="4"/>
  <c r="AH21" i="4"/>
  <c r="AK21" i="4" s="1"/>
  <c r="AG21" i="4"/>
  <c r="AF21" i="4"/>
  <c r="O16" i="6"/>
  <c r="J43" i="6"/>
  <c r="Q43" i="6" s="1"/>
  <c r="P43" i="6"/>
  <c r="AQ9" i="4"/>
  <c r="AO9" i="4"/>
  <c r="AP9" i="4" s="1"/>
  <c r="AS9" i="4" s="1"/>
  <c r="S11" i="4"/>
  <c r="AB11" i="4"/>
  <c r="AA11" i="4"/>
  <c r="Y11" i="4"/>
  <c r="Z11" i="4"/>
  <c r="W11" i="4"/>
  <c r="AM7" i="2"/>
  <c r="AN7" i="2" s="1"/>
  <c r="AQ7" i="2" s="1"/>
  <c r="AO7" i="2"/>
  <c r="AO14" i="1"/>
  <c r="AW14" i="1" s="1"/>
  <c r="CJ16" i="4"/>
  <c r="AH18" i="2"/>
  <c r="X18" i="2"/>
  <c r="AG18" i="2"/>
  <c r="AI18" i="2"/>
  <c r="BY18" i="2" s="1"/>
  <c r="AF18" i="2"/>
  <c r="Q5" i="3"/>
  <c r="P47" i="6"/>
  <c r="AM17" i="2"/>
  <c r="AN17" i="2" s="1"/>
  <c r="AQ17" i="2" s="1"/>
  <c r="AO17" i="2"/>
  <c r="AO10" i="1"/>
  <c r="AW10" i="1" s="1"/>
  <c r="AP17" i="3"/>
  <c r="AX17" i="3" s="1"/>
  <c r="AO12" i="1"/>
  <c r="AW12" i="1" s="1"/>
  <c r="AQ17" i="4"/>
  <c r="AO17" i="4"/>
  <c r="AP17" i="4" s="1"/>
  <c r="AS17" i="4" s="1"/>
  <c r="BF35" i="3"/>
  <c r="AJ22" i="3"/>
  <c r="W5" i="2"/>
  <c r="AM16" i="2"/>
  <c r="AN16" i="2" s="1"/>
  <c r="AQ16" i="2" s="1"/>
  <c r="AO16" i="2"/>
  <c r="AQ7" i="4"/>
  <c r="AO7" i="4"/>
  <c r="AP7" i="4" s="1"/>
  <c r="AS7" i="4" s="1"/>
  <c r="U17" i="2"/>
  <c r="AM10" i="2"/>
  <c r="AN10" i="2" s="1"/>
  <c r="AQ10" i="2" s="1"/>
  <c r="AO10" i="2"/>
  <c r="AP5" i="3"/>
  <c r="AX5" i="3" s="1"/>
  <c r="X8" i="2"/>
  <c r="AG8" i="2"/>
  <c r="AI8" i="2"/>
  <c r="BY8" i="2" s="1"/>
  <c r="AH8" i="2"/>
  <c r="AJ8" i="2" s="1"/>
  <c r="BX8" i="2" s="1"/>
  <c r="AF8" i="2"/>
  <c r="AO23" i="2"/>
  <c r="AM23" i="2"/>
  <c r="AN23" i="2" s="1"/>
  <c r="AQ23" i="2" s="1"/>
  <c r="AP14" i="3"/>
  <c r="AX14" i="3" s="1"/>
  <c r="AO8" i="2"/>
  <c r="AM8" i="2"/>
  <c r="AN8" i="2" s="1"/>
  <c r="AQ8" i="2" s="1"/>
  <c r="T3" i="6"/>
  <c r="V3" i="6" s="1"/>
  <c r="W3" i="6" s="1"/>
  <c r="AG3" i="6"/>
  <c r="X3" i="6"/>
  <c r="AF3" i="6"/>
  <c r="AE3" i="6"/>
  <c r="X17" i="2"/>
  <c r="AI17" i="2"/>
  <c r="BY17" i="2" s="1"/>
  <c r="AH17" i="2"/>
  <c r="AJ17" i="2" s="1"/>
  <c r="BX17" i="2" s="1"/>
  <c r="AG17" i="2"/>
  <c r="AF17" i="2"/>
  <c r="O12" i="6"/>
  <c r="J39" i="6"/>
  <c r="Q39" i="6" s="1"/>
  <c r="O39" i="6"/>
  <c r="P39" i="6"/>
  <c r="AQ22" i="4"/>
  <c r="AO22" i="4"/>
  <c r="AP22" i="4" s="1"/>
  <c r="AS22" i="4" s="1"/>
  <c r="CF19" i="1"/>
  <c r="AR13" i="1"/>
  <c r="AU13" i="1" s="1"/>
  <c r="U6" i="4"/>
  <c r="AR5" i="1"/>
  <c r="AU5" i="1" s="1"/>
  <c r="Z10" i="2"/>
  <c r="Y10" i="2"/>
  <c r="S10" i="2"/>
  <c r="AA10" i="2"/>
  <c r="AB10" i="2"/>
  <c r="W10" i="2"/>
  <c r="Z4" i="2"/>
  <c r="Y4" i="2"/>
  <c r="AA4" i="2"/>
  <c r="S4" i="2"/>
  <c r="AB4" i="2"/>
  <c r="W4" i="2"/>
  <c r="AI17" i="1"/>
  <c r="AG5" i="6"/>
  <c r="AB5" i="6" s="1"/>
  <c r="AF5" i="6"/>
  <c r="AA5" i="6" s="1"/>
  <c r="X5" i="6"/>
  <c r="T5" i="6"/>
  <c r="V5" i="6" s="1"/>
  <c r="W5" i="6" s="1"/>
  <c r="AE5" i="6"/>
  <c r="AC5" i="6" s="1"/>
  <c r="BG35" i="1"/>
  <c r="S9" i="2"/>
  <c r="U9" i="1"/>
  <c r="U19" i="2"/>
  <c r="AO13" i="2"/>
  <c r="AM13" i="2"/>
  <c r="AN13" i="2" s="1"/>
  <c r="AQ13" i="2" s="1"/>
  <c r="AF7" i="2"/>
  <c r="AI7" i="2"/>
  <c r="BY7" i="2" s="1"/>
  <c r="AH7" i="2"/>
  <c r="AJ7" i="2" s="1"/>
  <c r="BX7" i="2" s="1"/>
  <c r="AG7" i="2"/>
  <c r="X7" i="2"/>
  <c r="AI19" i="3"/>
  <c r="AJ19" i="3" s="1"/>
  <c r="AI3" i="3"/>
  <c r="AJ3" i="3" s="1"/>
  <c r="Q13" i="2"/>
  <c r="U13" i="2" s="1"/>
  <c r="CI15" i="2"/>
  <c r="AI16" i="1"/>
  <c r="O17" i="6"/>
  <c r="J44" i="6"/>
  <c r="Q44" i="6" s="1"/>
  <c r="AP16" i="3"/>
  <c r="AX16" i="3" s="1"/>
  <c r="CK14" i="4"/>
  <c r="X20" i="6"/>
  <c r="AE20" i="6"/>
  <c r="AG20" i="6"/>
  <c r="AF20" i="6"/>
  <c r="T20" i="6"/>
  <c r="V20" i="6" s="1"/>
  <c r="X13" i="6"/>
  <c r="AG13" i="6"/>
  <c r="AB13" i="6" s="1"/>
  <c r="T13" i="6"/>
  <c r="V13" i="6" s="1"/>
  <c r="W13" i="6" s="1"/>
  <c r="AE13" i="6"/>
  <c r="AF13" i="6"/>
  <c r="AA13" i="6" s="1"/>
  <c r="BF31" i="3" l="1"/>
  <c r="B22" i="7" s="1"/>
  <c r="BH31" i="4"/>
  <c r="B23" i="7" s="1"/>
  <c r="AR14" i="1"/>
  <c r="AU14" i="1" s="1"/>
  <c r="AR20" i="1"/>
  <c r="AU20" i="1" s="1"/>
  <c r="AR12" i="1"/>
  <c r="AU12" i="1" s="1"/>
  <c r="AS22" i="1"/>
  <c r="AV22" i="1" s="1"/>
  <c r="AQ22" i="1"/>
  <c r="AT22" i="1" s="1"/>
  <c r="AS20" i="1"/>
  <c r="AV20" i="1" s="1"/>
  <c r="AS17" i="1"/>
  <c r="AV17" i="1" s="1"/>
  <c r="AR22" i="1"/>
  <c r="AU22" i="1" s="1"/>
  <c r="AQ16" i="1"/>
  <c r="AT16" i="1" s="1"/>
  <c r="AV31" i="1"/>
  <c r="AR23" i="1"/>
  <c r="AU23" i="1" s="1"/>
  <c r="AS23" i="1"/>
  <c r="AV23" i="1" s="1"/>
  <c r="AQ20" i="1"/>
  <c r="AT20" i="1" s="1"/>
  <c r="AR21" i="1"/>
  <c r="AU21" i="1" s="1"/>
  <c r="AQ9" i="1"/>
  <c r="AT9" i="1" s="1"/>
  <c r="AS21" i="1"/>
  <c r="AV21" i="1" s="1"/>
  <c r="AR9" i="1"/>
  <c r="AU9" i="1" s="1"/>
  <c r="AQ21" i="1"/>
  <c r="AT21" i="1" s="1"/>
  <c r="AS9" i="1"/>
  <c r="AV9" i="1" s="1"/>
  <c r="AS11" i="1"/>
  <c r="AV11" i="1" s="1"/>
  <c r="AT17" i="3"/>
  <c r="AW17" i="3" s="1"/>
  <c r="AR10" i="3"/>
  <c r="AU10" i="3" s="1"/>
  <c r="AT14" i="3"/>
  <c r="AW14" i="3" s="1"/>
  <c r="AR14" i="3"/>
  <c r="AU14" i="3" s="1"/>
  <c r="AS11" i="2"/>
  <c r="AW11" i="2" s="1"/>
  <c r="AS14" i="3"/>
  <c r="AV14" i="3" s="1"/>
  <c r="AS23" i="3"/>
  <c r="AV23" i="3" s="1"/>
  <c r="AR7" i="3"/>
  <c r="AU7" i="3" s="1"/>
  <c r="AR8" i="3"/>
  <c r="AU8" i="3" s="1"/>
  <c r="AS7" i="3"/>
  <c r="AV7" i="3" s="1"/>
  <c r="AR3" i="3"/>
  <c r="AU3" i="3" s="1"/>
  <c r="AS3" i="3"/>
  <c r="AV3" i="3" s="1"/>
  <c r="AS10" i="3"/>
  <c r="AV10" i="3" s="1"/>
  <c r="AT3" i="3"/>
  <c r="AW3" i="3" s="1"/>
  <c r="AS4" i="3"/>
  <c r="AV4" i="3" s="1"/>
  <c r="AR19" i="3"/>
  <c r="AU19" i="3" s="1"/>
  <c r="AT9" i="3"/>
  <c r="AW9" i="3" s="1"/>
  <c r="AT4" i="3"/>
  <c r="AW4" i="3" s="1"/>
  <c r="AS19" i="3"/>
  <c r="AV19" i="3" s="1"/>
  <c r="AR9" i="3"/>
  <c r="AU9" i="3" s="1"/>
  <c r="AT19" i="3"/>
  <c r="AW19" i="3" s="1"/>
  <c r="AS9" i="3"/>
  <c r="AV9" i="3" s="1"/>
  <c r="AT20" i="3"/>
  <c r="AW20" i="3" s="1"/>
  <c r="AS20" i="3"/>
  <c r="AV20" i="3" s="1"/>
  <c r="AR20" i="3"/>
  <c r="AU20" i="3" s="1"/>
  <c r="AS3" i="2"/>
  <c r="AW3" i="2" s="1"/>
  <c r="AT3" i="2"/>
  <c r="AX3" i="2" s="1"/>
  <c r="AS21" i="2"/>
  <c r="AW21" i="2" s="1"/>
  <c r="AR3" i="2"/>
  <c r="AV3" i="2" s="1"/>
  <c r="AR21" i="2"/>
  <c r="AV21" i="2" s="1"/>
  <c r="AT21" i="2"/>
  <c r="AX21" i="2" s="1"/>
  <c r="AT11" i="2"/>
  <c r="AX11" i="2" s="1"/>
  <c r="BG31" i="1"/>
  <c r="B20" i="7" s="1"/>
  <c r="AR13" i="3"/>
  <c r="AU13" i="3" s="1"/>
  <c r="AR6" i="4"/>
  <c r="AZ6" i="4" s="1"/>
  <c r="AP16" i="2"/>
  <c r="AY16" i="2" s="1"/>
  <c r="Z18" i="6"/>
  <c r="AK18" i="6"/>
  <c r="AJ18" i="6"/>
  <c r="AI18" i="6"/>
  <c r="AH18" i="6"/>
  <c r="AP22" i="2"/>
  <c r="AY22" i="2" s="1"/>
  <c r="W8" i="6"/>
  <c r="AF23" i="6"/>
  <c r="T23" i="6"/>
  <c r="V23" i="6" s="1"/>
  <c r="X23" i="6"/>
  <c r="AG23" i="6"/>
  <c r="AE23" i="6"/>
  <c r="AL23" i="4"/>
  <c r="AD14" i="6"/>
  <c r="AB14" i="6"/>
  <c r="AA14" i="6"/>
  <c r="U14" i="6"/>
  <c r="AC14" i="6"/>
  <c r="Y14" i="6"/>
  <c r="AQ15" i="1"/>
  <c r="AT15" i="1" s="1"/>
  <c r="T15" i="6"/>
  <c r="V15" i="6" s="1"/>
  <c r="AG15" i="6"/>
  <c r="AF15" i="6"/>
  <c r="X15" i="6"/>
  <c r="AE15" i="6"/>
  <c r="AJ5" i="2"/>
  <c r="BX5" i="2" s="1"/>
  <c r="P44" i="6"/>
  <c r="AP8" i="2"/>
  <c r="AY8" i="2" s="1"/>
  <c r="AR17" i="3"/>
  <c r="AU17" i="3" s="1"/>
  <c r="AL21" i="4"/>
  <c r="AR14" i="4"/>
  <c r="AZ14" i="4" s="1"/>
  <c r="AA11" i="1"/>
  <c r="Z11" i="1"/>
  <c r="S11" i="1"/>
  <c r="Y11" i="1"/>
  <c r="AB11" i="1"/>
  <c r="W11" i="1"/>
  <c r="U11" i="1"/>
  <c r="AK17" i="4"/>
  <c r="AL17" i="4" s="1"/>
  <c r="Z4" i="4"/>
  <c r="Y4" i="4"/>
  <c r="AB4" i="4"/>
  <c r="S4" i="4"/>
  <c r="AA4" i="4"/>
  <c r="W4" i="4"/>
  <c r="AR16" i="4"/>
  <c r="AZ16" i="4" s="1"/>
  <c r="AK16" i="4"/>
  <c r="AL16" i="4" s="1"/>
  <c r="AF10" i="6"/>
  <c r="AE10" i="6"/>
  <c r="X10" i="6"/>
  <c r="T10" i="6"/>
  <c r="V10" i="6" s="1"/>
  <c r="AG10" i="6"/>
  <c r="AJ8" i="6"/>
  <c r="AK8" i="6"/>
  <c r="AI8" i="6"/>
  <c r="AH8" i="6"/>
  <c r="Z8" i="6"/>
  <c r="AK12" i="4"/>
  <c r="AK14" i="4"/>
  <c r="AR8" i="1"/>
  <c r="AU8" i="1" s="1"/>
  <c r="AR15" i="1"/>
  <c r="AU15" i="1" s="1"/>
  <c r="AJ7" i="6"/>
  <c r="AK7" i="6"/>
  <c r="AI7" i="6"/>
  <c r="AH7" i="6"/>
  <c r="Z7" i="6"/>
  <c r="AR15" i="4"/>
  <c r="AZ15" i="4" s="1"/>
  <c r="AR3" i="4"/>
  <c r="AZ3" i="4" s="1"/>
  <c r="AK6" i="4"/>
  <c r="T9" i="6"/>
  <c r="V9" i="6" s="1"/>
  <c r="AG9" i="6"/>
  <c r="AF9" i="6"/>
  <c r="X9" i="6"/>
  <c r="AE9" i="6"/>
  <c r="AL6" i="4"/>
  <c r="AC20" i="6"/>
  <c r="AD20" i="6"/>
  <c r="AB20" i="6"/>
  <c r="AA20" i="6"/>
  <c r="U20" i="6"/>
  <c r="Y20" i="6"/>
  <c r="AR23" i="4"/>
  <c r="AZ23" i="4" s="1"/>
  <c r="AS15" i="1"/>
  <c r="AV15" i="1" s="1"/>
  <c r="AR4" i="4"/>
  <c r="AZ4" i="4" s="1"/>
  <c r="AJ20" i="2"/>
  <c r="BX20" i="2" s="1"/>
  <c r="AB4" i="3"/>
  <c r="S4" i="3"/>
  <c r="Y4" i="3"/>
  <c r="AA4" i="3"/>
  <c r="Z4" i="3"/>
  <c r="W4" i="3"/>
  <c r="U4" i="3"/>
  <c r="P50" i="6"/>
  <c r="W7" i="6"/>
  <c r="AS17" i="3"/>
  <c r="AV17" i="3" s="1"/>
  <c r="AL9" i="4"/>
  <c r="O37" i="6"/>
  <c r="AS13" i="3"/>
  <c r="AV13" i="3" s="1"/>
  <c r="AK13" i="6"/>
  <c r="Z13" i="6"/>
  <c r="AJ13" i="6"/>
  <c r="AI13" i="6"/>
  <c r="AH13" i="6"/>
  <c r="AJ10" i="2"/>
  <c r="BX10" i="2" s="1"/>
  <c r="AB8" i="2"/>
  <c r="Z8" i="2"/>
  <c r="Y8" i="2"/>
  <c r="S8" i="2"/>
  <c r="AA8" i="2"/>
  <c r="W8" i="2"/>
  <c r="AP4" i="2"/>
  <c r="AY4" i="2" s="1"/>
  <c r="AR12" i="4"/>
  <c r="AZ12" i="4" s="1"/>
  <c r="W20" i="6"/>
  <c r="O44" i="6"/>
  <c r="S17" i="6" s="1"/>
  <c r="AP13" i="2"/>
  <c r="AY13" i="2" s="1"/>
  <c r="AT5" i="3"/>
  <c r="AW5" i="3" s="1"/>
  <c r="AR10" i="1"/>
  <c r="AU10" i="1" s="1"/>
  <c r="AK20" i="4"/>
  <c r="AL20" i="4" s="1"/>
  <c r="AR21" i="3"/>
  <c r="AU21" i="3" s="1"/>
  <c r="AT23" i="3"/>
  <c r="AW23" i="3" s="1"/>
  <c r="AR13" i="4"/>
  <c r="AZ13" i="4" s="1"/>
  <c r="AR18" i="3"/>
  <c r="AU18" i="3" s="1"/>
  <c r="BC34" i="2"/>
  <c r="AK10" i="4"/>
  <c r="AR15" i="3"/>
  <c r="AU15" i="3" s="1"/>
  <c r="AP6" i="2"/>
  <c r="AY6" i="2" s="1"/>
  <c r="AR12" i="3"/>
  <c r="AU12" i="3" s="1"/>
  <c r="AQ8" i="1"/>
  <c r="AT8" i="1" s="1"/>
  <c r="P49" i="6"/>
  <c r="AR7" i="1"/>
  <c r="AU7" i="1" s="1"/>
  <c r="S4" i="6"/>
  <c r="AC8" i="6"/>
  <c r="U8" i="6"/>
  <c r="AA8" i="6"/>
  <c r="AD8" i="6"/>
  <c r="AB8" i="6"/>
  <c r="Y8" i="6"/>
  <c r="S21" i="1"/>
  <c r="AB21" i="1"/>
  <c r="Z21" i="1"/>
  <c r="Y21" i="1"/>
  <c r="AA21" i="1"/>
  <c r="W21" i="1"/>
  <c r="U21" i="1"/>
  <c r="AP19" i="2"/>
  <c r="AY19" i="2" s="1"/>
  <c r="AS16" i="3"/>
  <c r="AV16" i="3" s="1"/>
  <c r="AB3" i="6"/>
  <c r="AD3" i="6"/>
  <c r="AC3" i="6"/>
  <c r="AA3" i="6"/>
  <c r="U3" i="6"/>
  <c r="Y3" i="6"/>
  <c r="AS5" i="3"/>
  <c r="AV5" i="3" s="1"/>
  <c r="AB12" i="2"/>
  <c r="Y12" i="2"/>
  <c r="S12" i="2"/>
  <c r="AA12" i="2"/>
  <c r="Z12" i="2"/>
  <c r="W12" i="2"/>
  <c r="Z19" i="2"/>
  <c r="AA19" i="2"/>
  <c r="Y19" i="2"/>
  <c r="S19" i="2"/>
  <c r="AB19" i="2"/>
  <c r="W19" i="2"/>
  <c r="AL10" i="4"/>
  <c r="AS15" i="3"/>
  <c r="AV15" i="3" s="1"/>
  <c r="AP15" i="2"/>
  <c r="AY15" i="2" s="1"/>
  <c r="AJ12" i="2"/>
  <c r="BX12" i="2" s="1"/>
  <c r="AK13" i="4"/>
  <c r="AL13" i="4" s="1"/>
  <c r="AS8" i="1"/>
  <c r="AV8" i="1" s="1"/>
  <c r="AA6" i="6"/>
  <c r="AD6" i="6"/>
  <c r="U6" i="6"/>
  <c r="AC6" i="6"/>
  <c r="AB6" i="6"/>
  <c r="Y6" i="6"/>
  <c r="S22" i="6"/>
  <c r="AR5" i="4"/>
  <c r="AZ5" i="4" s="1"/>
  <c r="AS7" i="1"/>
  <c r="AV7" i="1" s="1"/>
  <c r="P31" i="6"/>
  <c r="AT7" i="3"/>
  <c r="AW7" i="3" s="1"/>
  <c r="AS10" i="1"/>
  <c r="AV10" i="1" s="1"/>
  <c r="AR23" i="3"/>
  <c r="AU23" i="3" s="1"/>
  <c r="AT18" i="3"/>
  <c r="AW18" i="3" s="1"/>
  <c r="AT15" i="3"/>
  <c r="AW15" i="3" s="1"/>
  <c r="AQ33" i="3"/>
  <c r="AS12" i="3"/>
  <c r="AV12" i="3" s="1"/>
  <c r="AL3" i="4"/>
  <c r="AP5" i="2"/>
  <c r="AY5" i="2" s="1"/>
  <c r="AS11" i="3"/>
  <c r="AV11" i="3" s="1"/>
  <c r="AQ7" i="1"/>
  <c r="AT7" i="1" s="1"/>
  <c r="AL11" i="4"/>
  <c r="AI3" i="6"/>
  <c r="AL3" i="6" s="1"/>
  <c r="AH3" i="6"/>
  <c r="Z3" i="6"/>
  <c r="AK3" i="6"/>
  <c r="AJ3" i="6"/>
  <c r="U18" i="6"/>
  <c r="AR19" i="4"/>
  <c r="AZ19" i="4" s="1"/>
  <c r="S7" i="2"/>
  <c r="Z7" i="2"/>
  <c r="AB7" i="2"/>
  <c r="AA7" i="2"/>
  <c r="Y7" i="2"/>
  <c r="W7" i="2"/>
  <c r="AR9" i="4"/>
  <c r="AZ9" i="4" s="1"/>
  <c r="AK18" i="4"/>
  <c r="AL18" i="4" s="1"/>
  <c r="AL7" i="4"/>
  <c r="AJ16" i="2"/>
  <c r="BX16" i="2" s="1"/>
  <c r="AJ6" i="2"/>
  <c r="BX6" i="2" s="1"/>
  <c r="AT6" i="3"/>
  <c r="AW6" i="3" s="1"/>
  <c r="AT12" i="3"/>
  <c r="AW12" i="3" s="1"/>
  <c r="AR8" i="4"/>
  <c r="AZ8" i="4" s="1"/>
  <c r="AJ15" i="2"/>
  <c r="BX15" i="2" s="1"/>
  <c r="AT11" i="3"/>
  <c r="AW11" i="3" s="1"/>
  <c r="W6" i="6"/>
  <c r="AR11" i="4"/>
  <c r="AZ11" i="4" s="1"/>
  <c r="X22" i="6"/>
  <c r="AG22" i="6"/>
  <c r="AF22" i="6"/>
  <c r="AE22" i="6"/>
  <c r="T22" i="6"/>
  <c r="V22" i="6" s="1"/>
  <c r="AG4" i="6"/>
  <c r="AE4" i="6"/>
  <c r="X4" i="6"/>
  <c r="T4" i="6"/>
  <c r="V4" i="6" s="1"/>
  <c r="W4" i="6" s="1"/>
  <c r="AF4" i="6"/>
  <c r="P38" i="6"/>
  <c r="AR17" i="1"/>
  <c r="AU17" i="1" s="1"/>
  <c r="S19" i="6"/>
  <c r="AP20" i="2"/>
  <c r="AY20" i="2" s="1"/>
  <c r="U5" i="6"/>
  <c r="AR10" i="4"/>
  <c r="AZ10" i="4" s="1"/>
  <c r="Z5" i="6"/>
  <c r="AH5" i="6"/>
  <c r="AK5" i="6"/>
  <c r="AJ5" i="6"/>
  <c r="AI5" i="6"/>
  <c r="AJ18" i="2"/>
  <c r="BX18" i="2" s="1"/>
  <c r="AR17" i="4"/>
  <c r="AZ17" i="4" s="1"/>
  <c r="AS18" i="3"/>
  <c r="AV18" i="3" s="1"/>
  <c r="AR5" i="3"/>
  <c r="AU5" i="3" s="1"/>
  <c r="AT21" i="3"/>
  <c r="AW21" i="3" s="1"/>
  <c r="AQ14" i="1"/>
  <c r="AT14" i="1" s="1"/>
  <c r="Y5" i="6"/>
  <c r="Y13" i="6"/>
  <c r="P48" i="6"/>
  <c r="Z20" i="6"/>
  <c r="AJ20" i="6"/>
  <c r="AI20" i="6"/>
  <c r="AK20" i="6"/>
  <c r="AH20" i="6"/>
  <c r="S13" i="2"/>
  <c r="AB13" i="2"/>
  <c r="Z13" i="2"/>
  <c r="Y13" i="2"/>
  <c r="AA13" i="2"/>
  <c r="W13" i="2"/>
  <c r="AP23" i="2"/>
  <c r="AY23" i="2" s="1"/>
  <c r="AP10" i="2"/>
  <c r="AY10" i="2" s="1"/>
  <c r="AS12" i="1"/>
  <c r="AV12" i="1" s="1"/>
  <c r="AP17" i="2"/>
  <c r="AY17" i="2" s="1"/>
  <c r="AS14" i="1"/>
  <c r="AV14" i="1" s="1"/>
  <c r="O43" i="6"/>
  <c r="S16" i="6" s="1"/>
  <c r="AL22" i="4"/>
  <c r="AR18" i="4"/>
  <c r="AZ18" i="4" s="1"/>
  <c r="AP18" i="2"/>
  <c r="AY18" i="2" s="1"/>
  <c r="AR11" i="1"/>
  <c r="AU11" i="1" s="1"/>
  <c r="O48" i="6"/>
  <c r="S21" i="6" s="1"/>
  <c r="AS8" i="3"/>
  <c r="AV8" i="3" s="1"/>
  <c r="P36" i="6"/>
  <c r="S9" i="6" s="1"/>
  <c r="Y18" i="6"/>
  <c r="W14" i="6"/>
  <c r="AK19" i="4"/>
  <c r="AL19" i="4" s="1"/>
  <c r="AR22" i="3"/>
  <c r="AU22" i="3" s="1"/>
  <c r="AR6" i="3"/>
  <c r="AU6" i="3" s="1"/>
  <c r="AK4" i="4"/>
  <c r="AR11" i="3"/>
  <c r="AU11" i="3" s="1"/>
  <c r="AS16" i="1"/>
  <c r="AV16" i="1" s="1"/>
  <c r="AJ4" i="2"/>
  <c r="BX4" i="2" s="1"/>
  <c r="O38" i="6"/>
  <c r="S11" i="6" s="1"/>
  <c r="AK15" i="4"/>
  <c r="AR11" i="2"/>
  <c r="AV11" i="2" s="1"/>
  <c r="AQ17" i="1"/>
  <c r="AT17" i="1" s="1"/>
  <c r="AL14" i="4"/>
  <c r="AR16" i="3"/>
  <c r="AU16" i="3" s="1"/>
  <c r="S12" i="6"/>
  <c r="AG17" i="6"/>
  <c r="T17" i="6"/>
  <c r="V17" i="6" s="1"/>
  <c r="AF17" i="6"/>
  <c r="AE17" i="6"/>
  <c r="X17" i="6"/>
  <c r="AQ10" i="1"/>
  <c r="AT10" i="1" s="1"/>
  <c r="AS21" i="3"/>
  <c r="AV21" i="3" s="1"/>
  <c r="AQ12" i="1"/>
  <c r="AT12" i="1" s="1"/>
  <c r="Y17" i="2"/>
  <c r="AA17" i="2"/>
  <c r="AB17" i="2"/>
  <c r="Z17" i="2"/>
  <c r="S17" i="2"/>
  <c r="W17" i="2"/>
  <c r="AQ11" i="1"/>
  <c r="AT11" i="1" s="1"/>
  <c r="AE21" i="6"/>
  <c r="X21" i="6"/>
  <c r="AG21" i="6"/>
  <c r="AF21" i="6"/>
  <c r="T21" i="6"/>
  <c r="V21" i="6" s="1"/>
  <c r="W21" i="6" s="1"/>
  <c r="AT8" i="3"/>
  <c r="AW8" i="3" s="1"/>
  <c r="AI14" i="6"/>
  <c r="AL14" i="6" s="1"/>
  <c r="AK14" i="6"/>
  <c r="AJ14" i="6"/>
  <c r="AH14" i="6"/>
  <c r="Z14" i="6"/>
  <c r="AK5" i="4"/>
  <c r="AS22" i="3"/>
  <c r="AV22" i="3" s="1"/>
  <c r="AS6" i="3"/>
  <c r="AV6" i="3" s="1"/>
  <c r="AR4" i="3"/>
  <c r="AU4" i="3" s="1"/>
  <c r="AP14" i="2"/>
  <c r="AY14" i="2" s="1"/>
  <c r="AL4" i="4"/>
  <c r="AR20" i="4"/>
  <c r="AZ20" i="4" s="1"/>
  <c r="Z6" i="6"/>
  <c r="AK6" i="6"/>
  <c r="AJ6" i="6"/>
  <c r="AI6" i="6"/>
  <c r="AL6" i="6" s="1"/>
  <c r="AH6" i="6"/>
  <c r="AP12" i="2"/>
  <c r="AY12" i="2" s="1"/>
  <c r="S7" i="6"/>
  <c r="AF11" i="6"/>
  <c r="T11" i="6"/>
  <c r="V11" i="6" s="1"/>
  <c r="W11" i="6" s="1"/>
  <c r="X11" i="6"/>
  <c r="AG11" i="6"/>
  <c r="AE11" i="6"/>
  <c r="AL15" i="4"/>
  <c r="P37" i="6"/>
  <c r="AJ14" i="2"/>
  <c r="BX14" i="2" s="1"/>
  <c r="AF12" i="6"/>
  <c r="T12" i="6"/>
  <c r="V12" i="6" s="1"/>
  <c r="W12" i="6" s="1"/>
  <c r="X12" i="6"/>
  <c r="AG12" i="6"/>
  <c r="AE12" i="6"/>
  <c r="AT16" i="3"/>
  <c r="AW16" i="3" s="1"/>
  <c r="AR22" i="4"/>
  <c r="AZ22" i="4" s="1"/>
  <c r="AR7" i="4"/>
  <c r="AZ7" i="4" s="1"/>
  <c r="S5" i="3"/>
  <c r="Y5" i="3"/>
  <c r="AA5" i="3"/>
  <c r="AB5" i="3"/>
  <c r="Z5" i="3"/>
  <c r="W5" i="3"/>
  <c r="U5" i="3"/>
  <c r="AP7" i="2"/>
  <c r="AY7" i="2" s="1"/>
  <c r="AG16" i="6"/>
  <c r="AE16" i="6"/>
  <c r="X16" i="6"/>
  <c r="AF16" i="6"/>
  <c r="T16" i="6"/>
  <c r="V16" i="6" s="1"/>
  <c r="W16" i="6" s="1"/>
  <c r="AK8" i="4"/>
  <c r="AL8" i="4" s="1"/>
  <c r="U13" i="6"/>
  <c r="AP9" i="2"/>
  <c r="AY9" i="2" s="1"/>
  <c r="AR21" i="4"/>
  <c r="AZ21" i="4" s="1"/>
  <c r="AT13" i="3"/>
  <c r="AW13" i="3" s="1"/>
  <c r="O50" i="6"/>
  <c r="S23" i="6" s="1"/>
  <c r="AL5" i="4"/>
  <c r="AT22" i="3"/>
  <c r="AW22" i="3" s="1"/>
  <c r="AL12" i="4"/>
  <c r="AR16" i="1"/>
  <c r="AU16" i="1" s="1"/>
  <c r="P42" i="6"/>
  <c r="S15" i="6" s="1"/>
  <c r="AQ23" i="1"/>
  <c r="AT23" i="1" s="1"/>
  <c r="AT10" i="3"/>
  <c r="AW10" i="3" s="1"/>
  <c r="X19" i="6"/>
  <c r="AG19" i="6"/>
  <c r="AE19" i="6"/>
  <c r="T19" i="6"/>
  <c r="V19" i="6" s="1"/>
  <c r="AF19" i="6"/>
  <c r="AV34" i="1" l="1"/>
  <c r="AT8" i="2"/>
  <c r="AX8" i="2" s="1"/>
  <c r="AV9" i="4"/>
  <c r="AY9" i="4" s="1"/>
  <c r="AU17" i="4"/>
  <c r="AX17" i="4" s="1"/>
  <c r="AR10" i="2"/>
  <c r="AV10" i="2" s="1"/>
  <c r="AU14" i="4"/>
  <c r="AX14" i="4" s="1"/>
  <c r="AR4" i="2"/>
  <c r="AV4" i="2" s="1"/>
  <c r="AR19" i="2"/>
  <c r="AV19" i="2" s="1"/>
  <c r="AT19" i="2"/>
  <c r="AX19" i="2" s="1"/>
  <c r="AR17" i="2"/>
  <c r="AV17" i="2" s="1"/>
  <c r="AS20" i="2"/>
  <c r="AW20" i="2" s="1"/>
  <c r="AT13" i="4"/>
  <c r="AW13" i="4" s="1"/>
  <c r="AT4" i="2"/>
  <c r="AX4" i="2" s="1"/>
  <c r="AV15" i="4"/>
  <c r="AY15" i="4" s="1"/>
  <c r="AS19" i="2"/>
  <c r="AW19" i="2" s="1"/>
  <c r="AV13" i="4"/>
  <c r="AY13" i="4" s="1"/>
  <c r="AV11" i="4"/>
  <c r="AY11" i="4" s="1"/>
  <c r="AT4" i="4"/>
  <c r="AW4" i="4" s="1"/>
  <c r="AS10" i="2"/>
  <c r="AW10" i="2" s="1"/>
  <c r="AV8" i="4"/>
  <c r="AY8" i="4" s="1"/>
  <c r="AU11" i="4"/>
  <c r="AX11" i="4" s="1"/>
  <c r="AU3" i="4"/>
  <c r="AX3" i="4" s="1"/>
  <c r="AU16" i="4"/>
  <c r="AX16" i="4" s="1"/>
  <c r="AU5" i="4"/>
  <c r="AX5" i="4" s="1"/>
  <c r="AT11" i="4"/>
  <c r="AW11" i="4" s="1"/>
  <c r="AU13" i="4"/>
  <c r="AX13" i="4" s="1"/>
  <c r="AV14" i="4"/>
  <c r="AY14" i="4" s="1"/>
  <c r="AT21" i="4"/>
  <c r="AW21" i="4" s="1"/>
  <c r="AT14" i="4"/>
  <c r="AW14" i="4" s="1"/>
  <c r="AU22" i="4"/>
  <c r="AX22" i="4" s="1"/>
  <c r="AU10" i="4"/>
  <c r="AX10" i="4" s="1"/>
  <c r="AV3" i="4"/>
  <c r="AY3" i="4" s="1"/>
  <c r="AV22" i="4"/>
  <c r="AY22" i="4" s="1"/>
  <c r="AV10" i="4"/>
  <c r="AY10" i="4" s="1"/>
  <c r="AV21" i="4"/>
  <c r="AY21" i="4" s="1"/>
  <c r="AU20" i="4"/>
  <c r="AX20" i="4" s="1"/>
  <c r="AU8" i="4"/>
  <c r="AX8" i="4" s="1"/>
  <c r="AV4" i="4"/>
  <c r="AY4" i="4" s="1"/>
  <c r="AT15" i="4"/>
  <c r="AW15" i="4" s="1"/>
  <c r="AT10" i="4"/>
  <c r="AW10" i="4" s="1"/>
  <c r="AU4" i="4"/>
  <c r="AX4" i="4" s="1"/>
  <c r="AU15" i="4"/>
  <c r="AX15" i="4" s="1"/>
  <c r="AT22" i="4"/>
  <c r="AW22" i="4" s="1"/>
  <c r="AT19" i="4"/>
  <c r="AW19" i="4" s="1"/>
  <c r="AT7" i="4"/>
  <c r="AW7" i="4" s="1"/>
  <c r="AV7" i="4"/>
  <c r="AY7" i="4" s="1"/>
  <c r="AU23" i="4"/>
  <c r="AX23" i="4" s="1"/>
  <c r="AT20" i="2"/>
  <c r="AX20" i="2" s="1"/>
  <c r="AT7" i="2"/>
  <c r="AX7" i="2" s="1"/>
  <c r="AS7" i="2"/>
  <c r="AW7" i="2" s="1"/>
  <c r="AR20" i="2"/>
  <c r="AV20" i="2" s="1"/>
  <c r="AS23" i="2"/>
  <c r="AW23" i="2" s="1"/>
  <c r="AS9" i="2"/>
  <c r="AW9" i="2" s="1"/>
  <c r="AS13" i="2"/>
  <c r="AW13" i="2" s="1"/>
  <c r="AT9" i="2"/>
  <c r="AX9" i="2" s="1"/>
  <c r="AR7" i="2"/>
  <c r="AV7" i="2" s="1"/>
  <c r="AR9" i="2"/>
  <c r="AV9" i="2" s="1"/>
  <c r="AR5" i="2"/>
  <c r="AV5" i="2" s="1"/>
  <c r="AT15" i="2"/>
  <c r="AX15" i="2" s="1"/>
  <c r="AT17" i="2"/>
  <c r="AX17" i="2" s="1"/>
  <c r="AS5" i="2"/>
  <c r="AW5" i="2" s="1"/>
  <c r="AR15" i="2"/>
  <c r="AV15" i="2" s="1"/>
  <c r="AR6" i="2"/>
  <c r="AV6" i="2" s="1"/>
  <c r="AS4" i="2"/>
  <c r="AW4" i="2" s="1"/>
  <c r="AR8" i="2"/>
  <c r="AV8" i="2" s="1"/>
  <c r="AT10" i="2"/>
  <c r="AX10" i="2" s="1"/>
  <c r="AS8" i="2"/>
  <c r="AW8" i="2" s="1"/>
  <c r="AR22" i="2"/>
  <c r="AV22" i="2" s="1"/>
  <c r="AT12" i="2"/>
  <c r="AX12" i="2" s="1"/>
  <c r="AR13" i="2"/>
  <c r="AV13" i="2" s="1"/>
  <c r="AS22" i="2"/>
  <c r="AW22" i="2" s="1"/>
  <c r="AB15" i="6"/>
  <c r="AD15" i="6"/>
  <c r="AC15" i="6"/>
  <c r="AA15" i="6"/>
  <c r="U15" i="6"/>
  <c r="Y15" i="6"/>
  <c r="AC9" i="6"/>
  <c r="AD9" i="6"/>
  <c r="AB9" i="6"/>
  <c r="AA9" i="6"/>
  <c r="U9" i="6"/>
  <c r="Y9" i="6"/>
  <c r="AJ22" i="6"/>
  <c r="AH22" i="6"/>
  <c r="AK22" i="6"/>
  <c r="AI22" i="6"/>
  <c r="AL22" i="6" s="1"/>
  <c r="Z22" i="6"/>
  <c r="W15" i="6"/>
  <c r="Z23" i="6"/>
  <c r="AH23" i="6"/>
  <c r="AK23" i="6"/>
  <c r="AJ23" i="6"/>
  <c r="AI23" i="6"/>
  <c r="AQ36" i="3"/>
  <c r="AV18" i="4"/>
  <c r="AY18" i="4" s="1"/>
  <c r="BC35" i="2"/>
  <c r="BC31" i="2" s="1"/>
  <c r="B21" i="7" s="1"/>
  <c r="B24" i="7" s="1"/>
  <c r="AS6" i="2"/>
  <c r="AW6" i="2" s="1"/>
  <c r="AT12" i="4"/>
  <c r="AW12" i="4" s="1"/>
  <c r="W23" i="6"/>
  <c r="AR16" i="2"/>
  <c r="AV16" i="2" s="1"/>
  <c r="AH10" i="6"/>
  <c r="AK10" i="6"/>
  <c r="AJ10" i="6"/>
  <c r="Z10" i="6"/>
  <c r="AI10" i="6"/>
  <c r="AJ16" i="6"/>
  <c r="AI16" i="6"/>
  <c r="Z16" i="6"/>
  <c r="AK16" i="6"/>
  <c r="AH16" i="6"/>
  <c r="Z11" i="6"/>
  <c r="AI11" i="6"/>
  <c r="AH11" i="6"/>
  <c r="AK11" i="6"/>
  <c r="AJ11" i="6"/>
  <c r="Z17" i="6"/>
  <c r="AK17" i="6"/>
  <c r="AJ17" i="6"/>
  <c r="AI17" i="6"/>
  <c r="AH17" i="6"/>
  <c r="AQ35" i="2"/>
  <c r="AU12" i="4"/>
  <c r="AX12" i="4" s="1"/>
  <c r="AT16" i="2"/>
  <c r="AX16" i="2" s="1"/>
  <c r="AR14" i="2"/>
  <c r="AV14" i="2" s="1"/>
  <c r="AQ35" i="3"/>
  <c r="AH21" i="6"/>
  <c r="AJ21" i="6"/>
  <c r="Z21" i="6"/>
  <c r="AK21" i="6"/>
  <c r="AI21" i="6"/>
  <c r="AJ19" i="6"/>
  <c r="Z19" i="6"/>
  <c r="AI19" i="6"/>
  <c r="AH19" i="6"/>
  <c r="AK19" i="6"/>
  <c r="AU21" i="4"/>
  <c r="AX21" i="4" s="1"/>
  <c r="AA11" i="6"/>
  <c r="AD11" i="6"/>
  <c r="AC11" i="6"/>
  <c r="AB11" i="6"/>
  <c r="U11" i="6"/>
  <c r="Y11" i="6"/>
  <c r="AL20" i="6"/>
  <c r="AV32" i="1"/>
  <c r="AT6" i="2"/>
  <c r="AX6" i="2" s="1"/>
  <c r="AL13" i="6"/>
  <c r="AT23" i="4"/>
  <c r="AW23" i="4" s="1"/>
  <c r="AT16" i="4"/>
  <c r="AW16" i="4" s="1"/>
  <c r="U19" i="6"/>
  <c r="AD19" i="6"/>
  <c r="AB19" i="6"/>
  <c r="AA19" i="6"/>
  <c r="AC19" i="6"/>
  <c r="Y19" i="6"/>
  <c r="AV12" i="4"/>
  <c r="AY12" i="4" s="1"/>
  <c r="AS16" i="2"/>
  <c r="AW16" i="2" s="1"/>
  <c r="AH9" i="6"/>
  <c r="AI9" i="6"/>
  <c r="AL9" i="6" s="1"/>
  <c r="Z9" i="6"/>
  <c r="AK9" i="6"/>
  <c r="AJ9" i="6"/>
  <c r="AU7" i="4"/>
  <c r="AX7" i="4" s="1"/>
  <c r="AB7" i="6"/>
  <c r="U7" i="6"/>
  <c r="AC7" i="6"/>
  <c r="AD7" i="6"/>
  <c r="AA7" i="6"/>
  <c r="Y7" i="6"/>
  <c r="AV20" i="4"/>
  <c r="AY20" i="4" s="1"/>
  <c r="W17" i="6"/>
  <c r="AT23" i="2"/>
  <c r="AX23" i="2" s="1"/>
  <c r="AV17" i="4"/>
  <c r="AY17" i="4" s="1"/>
  <c r="AU9" i="4"/>
  <c r="AX9" i="4" s="1"/>
  <c r="AU19" i="4"/>
  <c r="AX19" i="4" s="1"/>
  <c r="AV23" i="4"/>
  <c r="AY23" i="4" s="1"/>
  <c r="AL8" i="6"/>
  <c r="AV16" i="4"/>
  <c r="AY16" i="4" s="1"/>
  <c r="AT22" i="2"/>
  <c r="AX22" i="2" s="1"/>
  <c r="AT6" i="4"/>
  <c r="AW6" i="4" s="1"/>
  <c r="AC23" i="6"/>
  <c r="AA23" i="6"/>
  <c r="U23" i="6"/>
  <c r="AD23" i="6"/>
  <c r="AB23" i="6"/>
  <c r="Y23" i="6"/>
  <c r="AT18" i="4"/>
  <c r="AW18" i="4" s="1"/>
  <c r="AA22" i="6"/>
  <c r="U22" i="6"/>
  <c r="AC22" i="6"/>
  <c r="AD22" i="6"/>
  <c r="AB22" i="6"/>
  <c r="Y22" i="6"/>
  <c r="AC21" i="6"/>
  <c r="AB21" i="6"/>
  <c r="U21" i="6"/>
  <c r="AD21" i="6"/>
  <c r="AA21" i="6"/>
  <c r="Y21" i="6"/>
  <c r="AR18" i="2"/>
  <c r="AV18" i="2" s="1"/>
  <c r="AR23" i="2"/>
  <c r="AV23" i="2" s="1"/>
  <c r="AT17" i="4"/>
  <c r="AW17" i="4" s="1"/>
  <c r="AV19" i="4"/>
  <c r="AY19" i="4" s="1"/>
  <c r="AV33" i="1"/>
  <c r="AV6" i="4"/>
  <c r="AY6" i="4" s="1"/>
  <c r="Z4" i="6"/>
  <c r="AJ4" i="6"/>
  <c r="AI4" i="6"/>
  <c r="AK4" i="6"/>
  <c r="AH4" i="6"/>
  <c r="AR12" i="2"/>
  <c r="AV12" i="2" s="1"/>
  <c r="AT18" i="2"/>
  <c r="AX18" i="2" s="1"/>
  <c r="W22" i="6"/>
  <c r="AT5" i="4"/>
  <c r="AW5" i="4" s="1"/>
  <c r="U4" i="6"/>
  <c r="AB4" i="6"/>
  <c r="AD4" i="6"/>
  <c r="AC4" i="6"/>
  <c r="AA4" i="6"/>
  <c r="Y4" i="6"/>
  <c r="W9" i="6"/>
  <c r="AL7" i="6"/>
  <c r="AS33" i="4"/>
  <c r="W19" i="6"/>
  <c r="AK12" i="6"/>
  <c r="Z12" i="6"/>
  <c r="AJ12" i="6"/>
  <c r="AI12" i="6"/>
  <c r="AL12" i="6" s="1"/>
  <c r="AH12" i="6"/>
  <c r="U16" i="6"/>
  <c r="AB16" i="6"/>
  <c r="AD16" i="6"/>
  <c r="AC16" i="6"/>
  <c r="AA16" i="6"/>
  <c r="Y16" i="6"/>
  <c r="AT20" i="4"/>
  <c r="AW20" i="4" s="1"/>
  <c r="AS12" i="2"/>
  <c r="AW12" i="2" s="1"/>
  <c r="AS14" i="2"/>
  <c r="AW14" i="2" s="1"/>
  <c r="AB12" i="6"/>
  <c r="AA12" i="6"/>
  <c r="U12" i="6"/>
  <c r="AD12" i="6"/>
  <c r="AC12" i="6"/>
  <c r="Y12" i="6"/>
  <c r="AQ34" i="3"/>
  <c r="AS18" i="2"/>
  <c r="AW18" i="2" s="1"/>
  <c r="AS17" i="2"/>
  <c r="AW17" i="2" s="1"/>
  <c r="AL5" i="6"/>
  <c r="AT8" i="4"/>
  <c r="AW8" i="4" s="1"/>
  <c r="AT9" i="4"/>
  <c r="AW9" i="4" s="1"/>
  <c r="AT5" i="2"/>
  <c r="AX5" i="2" s="1"/>
  <c r="AV5" i="4"/>
  <c r="AY5" i="4" s="1"/>
  <c r="AT13" i="2"/>
  <c r="AX13" i="2" s="1"/>
  <c r="S10" i="6"/>
  <c r="W10" i="6" s="1"/>
  <c r="AU6" i="4"/>
  <c r="AX6" i="4" s="1"/>
  <c r="AU18" i="4"/>
  <c r="AX18" i="4" s="1"/>
  <c r="AT14" i="2"/>
  <c r="AX14" i="2" s="1"/>
  <c r="AS15" i="2"/>
  <c r="AW15" i="2" s="1"/>
  <c r="U17" i="6"/>
  <c r="AB17" i="6"/>
  <c r="AD17" i="6"/>
  <c r="AC17" i="6"/>
  <c r="AA17" i="6"/>
  <c r="Y17" i="6"/>
  <c r="AT3" i="4"/>
  <c r="AW3" i="4" s="1"/>
  <c r="AI15" i="6"/>
  <c r="AH15" i="6"/>
  <c r="Z15" i="6"/>
  <c r="AK15" i="6"/>
  <c r="AJ15" i="6"/>
  <c r="AL18" i="6"/>
  <c r="AV30" i="1" l="1"/>
  <c r="C20" i="7" s="1"/>
  <c r="AS36" i="4"/>
  <c r="AQ36" i="2"/>
  <c r="AL4" i="6"/>
  <c r="AS35" i="4"/>
  <c r="AL11" i="6"/>
  <c r="AS34" i="4"/>
  <c r="AQ37" i="2"/>
  <c r="AL19" i="6"/>
  <c r="AA10" i="6"/>
  <c r="U10" i="6"/>
  <c r="AD10" i="6"/>
  <c r="AC10" i="6"/>
  <c r="AB10" i="6"/>
  <c r="Y10" i="6"/>
  <c r="AQ38" i="2"/>
  <c r="AL21" i="6"/>
  <c r="AL17" i="6"/>
  <c r="AL16" i="6"/>
  <c r="AQ32" i="3"/>
  <c r="C22" i="7" s="1"/>
  <c r="AL15" i="6"/>
  <c r="AL10" i="6"/>
  <c r="AL23" i="6"/>
  <c r="AS32" i="4" l="1"/>
  <c r="C23" i="7" s="1"/>
  <c r="AQ34" i="2"/>
  <c r="C21" i="7" s="1"/>
  <c r="C24" i="7" l="1"/>
  <c r="B25" i="7" s="1"/>
</calcChain>
</file>

<file path=xl/sharedStrings.xml><?xml version="1.0" encoding="utf-8"?>
<sst xmlns="http://schemas.openxmlformats.org/spreadsheetml/2006/main" count="998" uniqueCount="205">
  <si>
    <t>V100 Pressure</t>
  </si>
  <si>
    <t>Oil P</t>
  </si>
  <si>
    <t>2TP Au pressure corrected 111</t>
  </si>
  <si>
    <t>2TS Au pressure corrected 111</t>
  </si>
  <si>
    <t>2TP Au 100</t>
  </si>
  <si>
    <t>2TS Au 100 high C44</t>
  </si>
  <si>
    <t>L corrected v111 TP</t>
  </si>
  <si>
    <t>L correct v111 TS</t>
  </si>
  <si>
    <t>f(x) for cook</t>
  </si>
  <si>
    <t>rect+triang</t>
  </si>
  <si>
    <t>Sum Cook (I)</t>
  </si>
  <si>
    <t>Cook's Length</t>
  </si>
  <si>
    <t>integ unc</t>
  </si>
  <si>
    <t>trap uncert</t>
  </si>
  <si>
    <t>Trap add</t>
  </si>
  <si>
    <t>L uncert</t>
  </si>
  <si>
    <t>Volume</t>
  </si>
  <si>
    <t>V ncrt</t>
  </si>
  <si>
    <t>V/v0</t>
  </si>
  <si>
    <t>v/v0 ncrt</t>
  </si>
  <si>
    <t>New density</t>
  </si>
  <si>
    <t>rho ncrt</t>
  </si>
  <si>
    <t>Strain</t>
  </si>
  <si>
    <t>VP100 ncrt</t>
  </si>
  <si>
    <t>VS100 ncrt</t>
  </si>
  <si>
    <t>VP111 ncrt</t>
  </si>
  <si>
    <t>VS111 ncrt</t>
  </si>
  <si>
    <t>Vp 111</t>
  </si>
  <si>
    <t>Vs 111</t>
  </si>
  <si>
    <t>Vp100</t>
  </si>
  <si>
    <t>Vs100</t>
  </si>
  <si>
    <t>pvs111^^2</t>
  </si>
  <si>
    <t xml:space="preserve">pvp111^2 </t>
  </si>
  <si>
    <t>C11 exp</t>
  </si>
  <si>
    <t>C44 exp</t>
  </si>
  <si>
    <t>C12 vp</t>
  </si>
  <si>
    <t>Bulk mod</t>
  </si>
  <si>
    <t>L</t>
  </si>
  <si>
    <t>V</t>
  </si>
  <si>
    <t>V0/V calc</t>
  </si>
  <si>
    <t>density</t>
  </si>
  <si>
    <t>FS Pressure</t>
  </si>
  <si>
    <t>finite strain f</t>
  </si>
  <si>
    <t>delta P</t>
  </si>
  <si>
    <t>C11 fit</t>
  </si>
  <si>
    <t>C44 fit</t>
  </si>
  <si>
    <t>C12 fit</t>
  </si>
  <si>
    <t>C11 diff</t>
  </si>
  <si>
    <t>C12 vp diff</t>
  </si>
  <si>
    <t>C44 diff</t>
  </si>
  <si>
    <t>K</t>
  </si>
  <si>
    <t>Vp111</t>
  </si>
  <si>
    <t>Vs111</t>
  </si>
  <si>
    <t>GV</t>
  </si>
  <si>
    <t>GR</t>
  </si>
  <si>
    <t>GH</t>
  </si>
  <si>
    <t>VP100 diff</t>
  </si>
  <si>
    <t>VS100 diff</t>
  </si>
  <si>
    <t>VP111 diff</t>
  </si>
  <si>
    <t>VS 111 diff</t>
  </si>
  <si>
    <t>tttttttttttttttttttt</t>
  </si>
  <si>
    <t>o</t>
  </si>
  <si>
    <t>C11</t>
  </si>
  <si>
    <t>C11'</t>
  </si>
  <si>
    <t>C11a</t>
  </si>
  <si>
    <t>%uncert min</t>
  </si>
  <si>
    <t>C12</t>
  </si>
  <si>
    <t>C12'</t>
  </si>
  <si>
    <t>C12a</t>
  </si>
  <si>
    <t>v111</t>
  </si>
  <si>
    <t>%uncert max</t>
  </si>
  <si>
    <t>C44</t>
  </si>
  <si>
    <t>C44'</t>
  </si>
  <si>
    <t>C44a</t>
  </si>
  <si>
    <t>Width then radius</t>
  </si>
  <si>
    <t>D</t>
  </si>
  <si>
    <t>I</t>
  </si>
  <si>
    <t>L term</t>
  </si>
  <si>
    <t>rho term</t>
  </si>
  <si>
    <t>Int term</t>
  </si>
  <si>
    <t>Length initial</t>
  </si>
  <si>
    <t>sum cook</t>
  </si>
  <si>
    <t>All sumsq</t>
  </si>
  <si>
    <t>alpha thermal expansion</t>
  </si>
  <si>
    <t>Value</t>
  </si>
  <si>
    <t>VP100 or 110 or VS110</t>
  </si>
  <si>
    <t>bench</t>
  </si>
  <si>
    <t>KS0</t>
  </si>
  <si>
    <t>K'S0</t>
  </si>
  <si>
    <t>density OG</t>
  </si>
  <si>
    <t>Gamma gruneisen</t>
  </si>
  <si>
    <t>C12 VP</t>
  </si>
  <si>
    <t>FSP</t>
  </si>
  <si>
    <t>T temp K</t>
  </si>
  <si>
    <t>C12 VS</t>
  </si>
  <si>
    <t>&gt;scalar&gt;</t>
  </si>
  <si>
    <t>V100</t>
  </si>
  <si>
    <t>mm</t>
  </si>
  <si>
    <t>m/m C</t>
  </si>
  <si>
    <t>g/cm^3</t>
  </si>
  <si>
    <t>delta C11</t>
  </si>
  <si>
    <t>delta C12/C44</t>
  </si>
  <si>
    <t>K'</t>
  </si>
  <si>
    <t>Ratio 0.71/ 0.623</t>
  </si>
  <si>
    <t>Travel time</t>
  </si>
  <si>
    <t>correction</t>
  </si>
  <si>
    <t>Bench correct</t>
  </si>
  <si>
    <t>predited measured time</t>
  </si>
  <si>
    <t>Pressure (GPa)</t>
  </si>
  <si>
    <t>Density</t>
  </si>
  <si>
    <t>C11 pVP100^2</t>
  </si>
  <si>
    <t>C44 pVS100^2</t>
  </si>
  <si>
    <t>C12 vs calc</t>
  </si>
  <si>
    <t>scaler:</t>
  </si>
  <si>
    <t>L0</t>
  </si>
  <si>
    <t>pVP111^2</t>
  </si>
  <si>
    <t>pVS111^2</t>
  </si>
  <si>
    <t>C11 = pVP100^2</t>
  </si>
  <si>
    <t>C44 calc</t>
  </si>
  <si>
    <t>C12 calc</t>
  </si>
  <si>
    <t>C12 diff</t>
  </si>
  <si>
    <t>pvp111^2 = B</t>
  </si>
  <si>
    <t>pvs111^2 = A</t>
  </si>
  <si>
    <t>C44 pVs100^2</t>
  </si>
  <si>
    <t>C11 calc</t>
  </si>
  <si>
    <t>P smsq</t>
  </si>
  <si>
    <t>C11 smsq</t>
  </si>
  <si>
    <t>C12 smsq</t>
  </si>
  <si>
    <t>C44 smsq</t>
  </si>
  <si>
    <t>Katahara 1979</t>
  </si>
  <si>
    <t>Lenkkeri 1978</t>
  </si>
  <si>
    <t>Greiner 1979</t>
  </si>
  <si>
    <t>f(x) for cook Vp111-4/3C44</t>
  </si>
  <si>
    <t>f(x) for cook Vp111-4/3C46</t>
  </si>
  <si>
    <t>f(x) for cook C11+2/3C44-2pVs111</t>
  </si>
  <si>
    <t>0.704 and more</t>
  </si>
  <si>
    <t>0.712 and more</t>
  </si>
  <si>
    <t>0.712 and less</t>
  </si>
  <si>
    <t>0.704 and less</t>
  </si>
  <si>
    <t>rho vs111^2</t>
  </si>
  <si>
    <t>Vp 111 calc</t>
  </si>
  <si>
    <t>Vp100 calc</t>
  </si>
  <si>
    <t>Vs100 calc</t>
  </si>
  <si>
    <t>C11 FS calc</t>
  </si>
  <si>
    <t>C44 FS calc</t>
  </si>
  <si>
    <t>C12 FS calc</t>
  </si>
  <si>
    <t>FSP diff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</si>
  <si>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</si>
  <si>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</si>
  <si>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</si>
  <si>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</si>
  <si>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</si>
  <si>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</si>
  <si>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</si>
  <si>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</si>
  <si>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MINIMIZATION  (live consistency objective)</t>
  </si>
  <si>
    <t>Values pulled live from the 4 FS sheets. Point Solver at E13/E14/E15/E16. See notes col S.</t>
  </si>
  <si>
    <t>Quantity</t>
  </si>
  <si>
    <t>NoVs111 FS</t>
  </si>
  <si>
    <t>NoVp111 FS</t>
  </si>
  <si>
    <t>NoVs100 FS</t>
  </si>
  <si>
    <t>NoVp100 FS</t>
  </si>
  <si>
    <t>NoVs111 CK</t>
  </si>
  <si>
    <t>NoVp111 CK</t>
  </si>
  <si>
    <t>NoVs100 CK</t>
  </si>
  <si>
    <t>NoVp100 CK</t>
  </si>
  <si>
    <t>weight</t>
  </si>
  <si>
    <t>FS mean</t>
  </si>
  <si>
    <t>CK mean</t>
  </si>
  <si>
    <t>All mean</t>
  </si>
  <si>
    <t>within-FS SS</t>
  </si>
  <si>
    <t>within-CK SS</t>
  </si>
  <si>
    <t>CKvsFS</t>
  </si>
  <si>
    <t>ALL SS</t>
  </si>
  <si>
    <t>HOW TO USE:</t>
  </si>
  <si>
    <t>1) weights J4:J9 pick which constants count (default C11/C12/C44=1, derivs=0).</t>
  </si>
  <si>
    <t>2) D11=0 uses raw GPa^2; D11=1 normalizes each by mean^2 so all count equally.</t>
  </si>
  <si>
    <t>3) Data &gt; Solver: Set Objective = E13 (or E14/E15/E16), To: Min.</t>
  </si>
  <si>
    <t>4) By Changing Cells = your SHARED physical inputs (see guide): repoint them</t>
  </si>
  <si>
    <t xml:space="preserve">   to one master first, else Solver only affects one sheet.</t>
  </si>
  <si>
    <t>5) Re-run the per-combo Solvers after, then re-read these objectives.</t>
  </si>
  <si>
    <t>Normalize? 1=relative, 0=absolute (raw GPa^2)</t>
  </si>
  <si>
    <t>Between = ALL - (withinFS+withinCK); minimizing E16 drives full agreement.</t>
  </si>
  <si>
    <t>Objective: WITHIN-FS spread (make 4 FS agree)</t>
  </si>
  <si>
    <t>Objective: WITHIN-CK spread (make 4 Cook agree)</t>
  </si>
  <si>
    <t>JOINT FIT (rigorous): repoint all 4 FS param blocks to ONE shared 6-cell</t>
  </si>
  <si>
    <t>Objective: CK vs FS (between-method means)</t>
  </si>
  <si>
    <t xml:space="preserve">  set, then Solver: min B24 by changing those 6 shared Cij. Same for CK (C24).</t>
  </si>
  <si>
    <t>Objective: ALL 8 (total spread CK+FS)</t>
  </si>
  <si>
    <t xml:space="preserve">  Grand joint fit: min B25. Variables here are Cij (inherent to a joint fit).</t>
  </si>
  <si>
    <t>JOINT-FIT objective (Deliverable B) - per-combo data-misfit totals (live)</t>
  </si>
  <si>
    <t>combo</t>
  </si>
  <si>
    <t>FS misfit</t>
  </si>
  <si>
    <t>CK misfit</t>
  </si>
  <si>
    <t>NoVs111</t>
  </si>
  <si>
    <t>NoVp111</t>
  </si>
  <si>
    <t>NoVs100</t>
  </si>
  <si>
    <t>NoVp100</t>
  </si>
  <si>
    <t>SUM = joint objective</t>
  </si>
  <si>
    <t>Joint ALL (FS+CK)</t>
  </si>
  <si>
    <t>FS CK</t>
  </si>
  <si>
    <t>FS</t>
  </si>
  <si>
    <t>CK</t>
  </si>
  <si>
    <t>&lt;--- note: this is from the other document as it had to average everything out</t>
  </si>
  <si>
    <t>this may not be useful or physically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</si>
</sst>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0000"/>
    <numFmt numFmtId="168" formatCode="0.0000000"/>
    <numFmt numFmtId="169" formatCode="0.000000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8"/>
      <name val="Arial"/>
      <family val="2"/>
    </font>
    <font>
      <b/>
      <sz val="12"/>
      <color theme="6"/>
      <name val="Arial"/>
      <family val="2"/>
    </font>
    <font>
      <b/>
      <sz val="12"/>
      <color rgb="FF0070C0"/>
      <name val="Arial"/>
      <family val="2"/>
    </font>
    <font>
      <b/>
      <sz val="12"/>
      <color theme="5"/>
      <name val="Arial"/>
      <family val="2"/>
    </font>
    <font>
      <sz val="12"/>
      <color theme="6"/>
      <name val="Arial"/>
      <family val="2"/>
    </font>
    <font>
      <sz val="8"/>
      <name val="Aptos Narrow"/>
      <family val="2"/>
      <scheme val="minor"/>
    </font>
    <font>
      <b/>
      <sz val="12"/>
      <color theme="9"/>
      <name val="Arial"/>
      <family val="2"/>
    </font>
    <font>
      <sz val="12"/>
      <color theme="9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4" fillId="0" borderId="0" xfId="0" applyFont="1"/>
    <xf numFmtId="0" fontId="4" fillId="3" borderId="0" xfId="0" applyFont="1" applyFill="1"/>
    <xf numFmtId="0" fontId="6" fillId="0" borderId="0" xfId="0" applyFont="1"/>
    <xf numFmtId="0" fontId="6" fillId="2" borderId="0" xfId="0" applyFont="1" applyFill="1"/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6" borderId="0" xfId="0" applyFont="1" applyFill="1"/>
    <xf numFmtId="2" fontId="4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4" fillId="0" borderId="0" xfId="0" applyNumberFormat="1" applyFont="1"/>
    <xf numFmtId="2" fontId="4" fillId="0" borderId="0" xfId="0" quotePrefix="1" applyNumberFormat="1" applyFont="1"/>
    <xf numFmtId="164" fontId="4" fillId="5" borderId="0" xfId="0" applyNumberFormat="1" applyFont="1" applyFill="1"/>
    <xf numFmtId="166" fontId="4" fillId="0" borderId="0" xfId="0" applyNumberFormat="1" applyFont="1" applyAlignment="1">
      <alignment horizontal="left"/>
    </xf>
    <xf numFmtId="167" fontId="4" fillId="0" borderId="0" xfId="0" applyNumberFormat="1" applyFont="1"/>
    <xf numFmtId="2" fontId="4" fillId="7" borderId="0" xfId="0" applyNumberFormat="1" applyFont="1" applyFill="1"/>
    <xf numFmtId="0" fontId="6" fillId="7" borderId="0" xfId="0" applyFont="1" applyFill="1"/>
    <xf numFmtId="164" fontId="4" fillId="7" borderId="0" xfId="0" applyNumberFormat="1" applyFont="1" applyFill="1"/>
    <xf numFmtId="164" fontId="6" fillId="7" borderId="0" xfId="0" applyNumberFormat="1" applyFont="1" applyFill="1"/>
    <xf numFmtId="167" fontId="4" fillId="7" borderId="0" xfId="0" applyNumberFormat="1" applyFont="1" applyFill="1"/>
    <xf numFmtId="0" fontId="4" fillId="7" borderId="0" xfId="0" applyFont="1" applyFill="1"/>
    <xf numFmtId="165" fontId="4" fillId="7" borderId="0" xfId="0" applyNumberFormat="1" applyFont="1" applyFill="1"/>
    <xf numFmtId="165" fontId="4" fillId="7" borderId="0" xfId="0" applyNumberFormat="1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166" fontId="4" fillId="7" borderId="0" xfId="0" applyNumberFormat="1" applyFont="1" applyFill="1"/>
    <xf numFmtId="2" fontId="4" fillId="7" borderId="0" xfId="0" quotePrefix="1" applyNumberFormat="1" applyFont="1" applyFill="1"/>
    <xf numFmtId="166" fontId="4" fillId="7" borderId="0" xfId="0" applyNumberFormat="1" applyFont="1" applyFill="1" applyAlignment="1">
      <alignment horizontal="left"/>
    </xf>
    <xf numFmtId="2" fontId="4" fillId="8" borderId="0" xfId="0" applyNumberFormat="1" applyFont="1" applyFill="1"/>
    <xf numFmtId="0" fontId="6" fillId="8" borderId="0" xfId="0" applyFont="1" applyFill="1"/>
    <xf numFmtId="164" fontId="4" fillId="8" borderId="0" xfId="0" applyNumberFormat="1" applyFont="1" applyFill="1"/>
    <xf numFmtId="164" fontId="6" fillId="8" borderId="0" xfId="0" applyNumberFormat="1" applyFont="1" applyFill="1"/>
    <xf numFmtId="167" fontId="4" fillId="8" borderId="0" xfId="0" applyNumberFormat="1" applyFont="1" applyFill="1"/>
    <xf numFmtId="0" fontId="4" fillId="8" borderId="0" xfId="0" applyFont="1" applyFill="1"/>
    <xf numFmtId="165" fontId="4" fillId="8" borderId="0" xfId="0" applyNumberFormat="1" applyFont="1" applyFill="1"/>
    <xf numFmtId="165" fontId="4" fillId="8" borderId="0" xfId="0" applyNumberFormat="1" applyFont="1" applyFill="1" applyAlignment="1">
      <alignment horizontal="right"/>
    </xf>
    <xf numFmtId="165" fontId="6" fillId="8" borderId="0" xfId="0" applyNumberFormat="1" applyFont="1" applyFill="1" applyAlignment="1">
      <alignment horizontal="right"/>
    </xf>
    <xf numFmtId="166" fontId="4" fillId="8" borderId="0" xfId="0" applyNumberFormat="1" applyFont="1" applyFill="1"/>
    <xf numFmtId="2" fontId="4" fillId="8" borderId="0" xfId="0" quotePrefix="1" applyNumberFormat="1" applyFont="1" applyFill="1"/>
    <xf numFmtId="166" fontId="4" fillId="8" borderId="0" xfId="0" applyNumberFormat="1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8" fontId="4" fillId="0" borderId="0" xfId="0" applyNumberFormat="1" applyFont="1" applyAlignment="1">
      <alignment vertical="center"/>
    </xf>
    <xf numFmtId="169" fontId="4" fillId="0" borderId="0" xfId="0" applyNumberFormat="1" applyFont="1"/>
    <xf numFmtId="165" fontId="4" fillId="0" borderId="0" xfId="0" applyNumberFormat="1" applyFont="1" applyAlignment="1">
      <alignment vertical="center"/>
    </xf>
    <xf numFmtId="2" fontId="4" fillId="9" borderId="0" xfId="0" applyNumberFormat="1" applyFont="1" applyFill="1"/>
    <xf numFmtId="0" fontId="6" fillId="9" borderId="0" xfId="0" applyFont="1" applyFill="1"/>
    <xf numFmtId="164" fontId="4" fillId="9" borderId="0" xfId="0" applyNumberFormat="1" applyFont="1" applyFill="1"/>
    <xf numFmtId="164" fontId="6" fillId="9" borderId="0" xfId="0" applyNumberFormat="1" applyFont="1" applyFill="1"/>
    <xf numFmtId="167" fontId="4" fillId="9" borderId="0" xfId="0" applyNumberFormat="1" applyFont="1" applyFill="1"/>
    <xf numFmtId="0" fontId="4" fillId="9" borderId="0" xfId="0" applyFont="1" applyFill="1"/>
    <xf numFmtId="165" fontId="4" fillId="9" borderId="0" xfId="0" applyNumberFormat="1" applyFont="1" applyFill="1"/>
    <xf numFmtId="165" fontId="4" fillId="9" borderId="0" xfId="0" applyNumberFormat="1" applyFont="1" applyFill="1" applyAlignment="1">
      <alignment horizontal="right"/>
    </xf>
    <xf numFmtId="165" fontId="6" fillId="9" borderId="0" xfId="0" applyNumberFormat="1" applyFont="1" applyFill="1" applyAlignment="1">
      <alignment horizontal="right"/>
    </xf>
    <xf numFmtId="166" fontId="4" fillId="9" borderId="0" xfId="0" applyNumberFormat="1" applyFont="1" applyFill="1"/>
    <xf numFmtId="2" fontId="4" fillId="9" borderId="0" xfId="0" quotePrefix="1" applyNumberFormat="1" applyFont="1" applyFill="1"/>
    <xf numFmtId="166" fontId="4" fillId="9" borderId="0" xfId="0" applyNumberFormat="1" applyFont="1" applyFill="1" applyAlignment="1">
      <alignment horizontal="left"/>
    </xf>
    <xf numFmtId="0" fontId="6" fillId="3" borderId="0" xfId="0" applyFont="1" applyFill="1"/>
    <xf numFmtId="0" fontId="3" fillId="0" borderId="0" xfId="0" applyFont="1"/>
    <xf numFmtId="0" fontId="6" fillId="10" borderId="0" xfId="0" applyFont="1" applyFill="1"/>
    <xf numFmtId="164" fontId="4" fillId="10" borderId="0" xfId="0" applyNumberFormat="1" applyFont="1" applyFill="1"/>
    <xf numFmtId="164" fontId="6" fillId="10" borderId="0" xfId="0" applyNumberFormat="1" applyFont="1" applyFill="1"/>
    <xf numFmtId="0" fontId="6" fillId="11" borderId="0" xfId="0" applyFont="1" applyFill="1"/>
    <xf numFmtId="164" fontId="4" fillId="11" borderId="0" xfId="0" applyNumberFormat="1" applyFont="1" applyFill="1"/>
    <xf numFmtId="164" fontId="6" fillId="11" borderId="0" xfId="0" applyNumberFormat="1" applyFont="1" applyFill="1"/>
    <xf numFmtId="167" fontId="6" fillId="11" borderId="0" xfId="0" applyNumberFormat="1" applyFont="1" applyFill="1"/>
    <xf numFmtId="164" fontId="4" fillId="0" borderId="0" xfId="0" applyNumberFormat="1" applyFont="1" applyAlignment="1">
      <alignment vertical="center"/>
    </xf>
    <xf numFmtId="0" fontId="1" fillId="0" borderId="0" xfId="0" applyFont="1"/>
    <xf numFmtId="0" fontId="6" fillId="12" borderId="0" xfId="0" applyFont="1" applyFill="1"/>
    <xf numFmtId="0" fontId="4" fillId="12" borderId="0" xfId="0" applyFont="1" applyFill="1"/>
    <xf numFmtId="165" fontId="6" fillId="0" borderId="0" xfId="0" applyNumberFormat="1" applyFont="1"/>
    <xf numFmtId="0" fontId="1" fillId="3" borderId="0" xfId="0" applyFont="1" applyFill="1"/>
    <xf numFmtId="0" fontId="4" fillId="13" borderId="0" xfId="0" applyFont="1" applyFill="1"/>
    <xf numFmtId="0" fontId="6" fillId="13" borderId="0" xfId="0" applyFont="1" applyFill="1"/>
    <xf numFmtId="0" fontId="13" fillId="0" borderId="0" xfId="0" applyFont="1"/>
    <xf numFmtId="168" fontId="14" fillId="0" borderId="0" xfId="0" applyNumberFormat="1" applyFont="1" applyAlignment="1">
      <alignment vertical="center"/>
    </xf>
    <xf numFmtId="0" fontId="14" fillId="0" borderId="0" xfId="0" applyFont="1"/>
    <xf numFmtId="169" fontId="14" fillId="0" borderId="0" xfId="0" applyNumberFormat="1" applyFont="1"/>
    <xf numFmtId="165" fontId="14" fillId="0" borderId="0" xfId="0" applyNumberFormat="1" applyFont="1"/>
    <xf numFmtId="164" fontId="14" fillId="0" borderId="0" xfId="0" applyNumberFormat="1" applyFont="1"/>
    <xf numFmtId="167" fontId="4" fillId="0" borderId="0" xfId="0" applyNumberFormat="1" applyFont="1" applyAlignment="1">
      <alignment vertical="center"/>
    </xf>
    <xf numFmtId="165" fontId="4" fillId="0" borderId="0" xfId="0" quotePrefix="1" applyNumberFormat="1" applyFont="1"/>
    <xf numFmtId="0" fontId="1" fillId="0" borderId="0" xfId="0" applyFont="1" applyFill="1"/>
    <xf numFmtId="0" fontId="1" fillId="14" borderId="0" xfId="0" applyFont="1" applyFill="1"/>
    <xf numFmtId="165" fontId="11" fillId="0" borderId="0" xfId="0" applyNumberFormat="1" applyFont="1"/>
    <xf numFmtId="165" fontId="1" fillId="0" borderId="0" xfId="0" applyNumberFormat="1" applyFont="1"/>
    <xf numFmtId="165" fontId="1" fillId="14" borderId="0" xfId="0" applyNumberFormat="1" applyFont="1" applyFill="1"/>
    <xf numFmtId="165" fontId="15" fillId="0" borderId="0" xfId="0" applyNumberFormat="1" applyFont="1"/>
    <xf numFmtId="165" fontId="15" fillId="14" borderId="0" xfId="0" applyNumberFormat="1" applyFont="1" applyFill="1"/>
    <xf numFmtId="2" fontId="1" fillId="0" borderId="0" xfId="0" applyNumberFormat="1" applyFont="1"/>
    <xf numFmtId="0" fontId="15" fillId="0" borderId="0" xfId="0" applyFont="1"/>
    <xf numFmtId="165" fontId="1" fillId="0" borderId="0" xfId="0" applyNumberFormat="1" applyFont="1" applyFill="1"/>
    <xf numFmtId="165" fontId="1" fillId="1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0" fontId="15" fillId="0" borderId="0" xfId="0" applyFont="1" applyFill="1"/>
    <xf numFmtId="2" fontId="0" fillId="0" borderId="0" xfId="0" applyNumberFormat="1"/>
    <xf numFmtId="0" fontId="16" fillId="0" borderId="0" xfId="0" quotePrefix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>
              <a:noFill/>
            </a:ln>
          </c:spPr>
          <c:xVal>
            <c:numRef>
              <c:f>'FS No Vp 100'!$BJ$2:$BJ$23</c:f>
              <c:numCache>
                <c:formatCode>0.00</c:formatCode>
                <c:ptCount val="22"/>
                <c:pt idx="0">
                  <c:v>0</c:v>
                </c:pt>
                <c:pt idx="1">
                  <c:v>0.13876325914810042</c:v>
                </c:pt>
                <c:pt idx="2">
                  <c:v>1.701458006487701</c:v>
                </c:pt>
                <c:pt idx="3">
                  <c:v>2.5897041677909831</c:v>
                </c:pt>
                <c:pt idx="4">
                  <c:v>3.5410843743816169</c:v>
                </c:pt>
                <c:pt idx="5">
                  <c:v>4.5948402955368675</c:v>
                </c:pt>
                <c:pt idx="6">
                  <c:v>5.3135680355364032</c:v>
                </c:pt>
                <c:pt idx="7">
                  <c:v>5.9100115588519291</c:v>
                </c:pt>
                <c:pt idx="8">
                  <c:v>6.7406713694208928</c:v>
                </c:pt>
                <c:pt idx="9">
                  <c:v>7.4544208356231119</c:v>
                </c:pt>
                <c:pt idx="10">
                  <c:v>7.9430942240404345</c:v>
                </c:pt>
                <c:pt idx="11">
                  <c:v>8.6111657498525442</c:v>
                </c:pt>
                <c:pt idx="12">
                  <c:v>9.1968128246121008</c:v>
                </c:pt>
                <c:pt idx="13">
                  <c:v>9.5457237621291604</c:v>
                </c:pt>
                <c:pt idx="14">
                  <c:v>10.008379543941217</c:v>
                </c:pt>
                <c:pt idx="15">
                  <c:v>10.93849941600214</c:v>
                </c:pt>
                <c:pt idx="16">
                  <c:v>11.247284932135464</c:v>
                </c:pt>
                <c:pt idx="17">
                  <c:v>11.46767711725848</c:v>
                </c:pt>
                <c:pt idx="18">
                  <c:v>11.864304811277691</c:v>
                </c:pt>
                <c:pt idx="19">
                  <c:v>12.392652615851283</c:v>
                </c:pt>
                <c:pt idx="20">
                  <c:v>12.65621194687021</c:v>
                </c:pt>
                <c:pt idx="21">
                  <c:v>12.831620365266515</c:v>
                </c:pt>
              </c:numCache>
            </c:numRef>
          </c:xVal>
          <c:yVal>
            <c:numRef>
              <c:f>'FS No Vp 100'!$BV$2:$BV$23</c:f>
              <c:numCache>
                <c:formatCode>0.00</c:formatCode>
                <c:ptCount val="22"/>
                <c:pt idx="0">
                  <c:v>46.243127025353878</c:v>
                </c:pt>
                <c:pt idx="1">
                  <c:v>46.282906049340838</c:v>
                </c:pt>
                <c:pt idx="2">
                  <c:v>46.706479242958245</c:v>
                </c:pt>
                <c:pt idx="3">
                  <c:v>46.927851985394419</c:v>
                </c:pt>
                <c:pt idx="4">
                  <c:v>47.149957829728947</c:v>
                </c:pt>
                <c:pt idx="5">
                  <c:v>47.378410300137269</c:v>
                </c:pt>
                <c:pt idx="6">
                  <c:v>47.523943351883858</c:v>
                </c:pt>
                <c:pt idx="7">
                  <c:v>47.638532885720295</c:v>
                </c:pt>
                <c:pt idx="8">
                  <c:v>47.78897365446548</c:v>
                </c:pt>
                <c:pt idx="9">
                  <c:v>47.909909770255275</c:v>
                </c:pt>
                <c:pt idx="10">
                  <c:v>47.988353462596997</c:v>
                </c:pt>
                <c:pt idx="11">
                  <c:v>48.089964431295883</c:v>
                </c:pt>
                <c:pt idx="12">
                  <c:v>48.173773633304954</c:v>
                </c:pt>
                <c:pt idx="13">
                  <c:v>48.221399638688155</c:v>
                </c:pt>
                <c:pt idx="14">
                  <c:v>48.281930035315753</c:v>
                </c:pt>
                <c:pt idx="15">
                  <c:v>48.394710162991956</c:v>
                </c:pt>
                <c:pt idx="16">
                  <c:v>48.429558293031214</c:v>
                </c:pt>
                <c:pt idx="17">
                  <c:v>48.453649877408587</c:v>
                </c:pt>
                <c:pt idx="18">
                  <c:v>48.495380160030329</c:v>
                </c:pt>
                <c:pt idx="19">
                  <c:v>48.547752430862765</c:v>
                </c:pt>
                <c:pt idx="20">
                  <c:v>48.572517144410618</c:v>
                </c:pt>
                <c:pt idx="21">
                  <c:v>48.588500961849604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1-4218-9E77-C0FCD68B77C4}"/>
            </c:ext>
          </c:extLst>
        </c:ser>
        <c:ser>
          <c:idx val="0"/>
          <c:order val="1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'FS No Vp 100'!$A$2:$A$23</c:f>
              <c:numCache>
                <c:formatCode>0.00</c:formatCode>
                <c:ptCount val="22"/>
                <c:pt idx="0">
                  <c:v>0</c:v>
                </c:pt>
                <c:pt idx="1">
                  <c:v>0.12913290811927533</c:v>
                </c:pt>
                <c:pt idx="2">
                  <c:v>1.635683502844302</c:v>
                </c:pt>
                <c:pt idx="3">
                  <c:v>2.4965695569728967</c:v>
                </c:pt>
                <c:pt idx="4">
                  <c:v>3.4435442165143506</c:v>
                </c:pt>
                <c:pt idx="5">
                  <c:v>4.4335631787622765</c:v>
                </c:pt>
                <c:pt idx="6">
                  <c:v>5.1222720220651237</c:v>
                </c:pt>
                <c:pt idx="7">
                  <c:v>5.7679365626615837</c:v>
                </c:pt>
                <c:pt idx="8">
                  <c:v>6.5857783140837629</c:v>
                </c:pt>
                <c:pt idx="9">
                  <c:v>7.274487157386611</c:v>
                </c:pt>
                <c:pt idx="10">
                  <c:v>7.834063092570239</c:v>
                </c:pt>
                <c:pt idx="11">
                  <c:v>8.5227719358730862</c:v>
                </c:pt>
                <c:pt idx="12">
                  <c:v>9.1253921737631298</c:v>
                </c:pt>
                <c:pt idx="13">
                  <c:v>9.5558352008274561</c:v>
                </c:pt>
                <c:pt idx="14">
                  <c:v>10.115411136011028</c:v>
                </c:pt>
                <c:pt idx="15">
                  <c:v>10.631942768488157</c:v>
                </c:pt>
                <c:pt idx="16">
                  <c:v>10.933252887433179</c:v>
                </c:pt>
                <c:pt idx="17">
                  <c:v>11.148474400965315</c:v>
                </c:pt>
                <c:pt idx="18">
                  <c:v>11.535873125323196</c:v>
                </c:pt>
                <c:pt idx="19">
                  <c:v>12.052404757800351</c:v>
                </c:pt>
                <c:pt idx="20">
                  <c:v>12.31067057403893</c:v>
                </c:pt>
                <c:pt idx="21">
                  <c:v>12.482847784864649</c:v>
                </c:pt>
              </c:numCache>
            </c:numRef>
          </c:xVal>
          <c:yVal>
            <c:numRef>
              <c:f>'FS No Vp 100'!$AJ$2:$AJ$23</c:f>
              <c:numCache>
                <c:formatCode>0.000</c:formatCode>
                <c:ptCount val="22"/>
                <c:pt idx="0">
                  <c:v>47.306378750310031</c:v>
                </c:pt>
                <c:pt idx="1">
                  <c:v>46.938697104783998</c:v>
                </c:pt>
                <c:pt idx="2">
                  <c:v>47.348484440201588</c:v>
                </c:pt>
                <c:pt idx="3">
                  <c:v>47.431328912856969</c:v>
                </c:pt>
                <c:pt idx="4">
                  <c:v>47.633431035544241</c:v>
                </c:pt>
                <c:pt idx="5">
                  <c:v>47.724873943111589</c:v>
                </c:pt>
                <c:pt idx="6">
                  <c:v>47.78734283330661</c:v>
                </c:pt>
                <c:pt idx="7">
                  <c:v>48.0351058333938</c:v>
                </c:pt>
                <c:pt idx="8">
                  <c:v>48.107588511468961</c:v>
                </c:pt>
                <c:pt idx="9">
                  <c:v>48.091382041515033</c:v>
                </c:pt>
                <c:pt idx="10">
                  <c:v>48.292583822289842</c:v>
                </c:pt>
                <c:pt idx="11">
                  <c:v>48.313076582838384</c:v>
                </c:pt>
                <c:pt idx="12">
                  <c:v>48.287247074451592</c:v>
                </c:pt>
                <c:pt idx="13">
                  <c:v>48.43834477928926</c:v>
                </c:pt>
                <c:pt idx="14">
                  <c:v>48.600500634916159</c:v>
                </c:pt>
                <c:pt idx="15">
                  <c:v>48.411936428603283</c:v>
                </c:pt>
                <c:pt idx="16">
                  <c:v>48.283195112792512</c:v>
                </c:pt>
                <c:pt idx="17">
                  <c:v>48.224180646451998</c:v>
                </c:pt>
                <c:pt idx="18">
                  <c:v>48.331681332728877</c:v>
                </c:pt>
                <c:pt idx="19">
                  <c:v>48.258125469009116</c:v>
                </c:pt>
                <c:pt idx="20">
                  <c:v>48.050212882568793</c:v>
                </c:pt>
                <c:pt idx="21">
                  <c:v>48.101577807981357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1-4218-9E77-C0FCD68B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70736"/>
        <c:axId val="1508968816"/>
      </c:scatterChart>
      <c:valAx>
        <c:axId val="150897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68816"/>
        <c:crosses val="autoZero"/>
        <c:crossBetween val="midCat"/>
      </c:valAx>
      <c:valAx>
        <c:axId val="15089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7073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256443</xdr:colOff>
      <xdr:row>1</xdr:row>
      <xdr:rowOff>155198</xdr:rowOff>
    </xdr:from>
    <xdr:to>
      <xdr:col>17</xdr:col>
      <xdr:colOff>310759</xdr:colOff>
      <xdr:row>12</xdr:row>
      <xdr:rowOff>60293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21EA6-90C8-25B2-4BED-034B2D11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4856" y="356688"/>
          <a:ext cx="2508836" cy="2030205"/>
        </a:xfrm>
        <a:prstGeom prst="rect">
          <a:avLst/>
        </a:prstGeom>
      </xdr:spPr>
    </xdr:pic>
    <xdr:clientData/>
  </xdr:twoCellAnchor>
  <xdr:twoCellAnchor editAs="oneCell">
    <xdr:from>
      <xdr:col>13</xdr:col>
      <xdr:colOff>293077</xdr:colOff>
      <xdr:row>11</xdr:row>
      <xdr:rowOff>171117</xdr:rowOff>
    </xdr:from>
    <xdr:to>
      <xdr:col>21</xdr:col>
      <xdr:colOff>1015</xdr:colOff>
      <xdr:row>22</xdr:row>
      <xdr:rowOff>26380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A2C5B-DD21-402D-AC70-50F5F00B9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1490" y="2387511"/>
          <a:ext cx="4610809" cy="1971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25</xdr:row>
      <xdr:rowOff>171237</xdr:rowOff>
    </xdr:from>
    <xdr:to>
      <xdr:col>35</xdr:col>
      <xdr:colOff>388374</xdr:colOff>
      <xdr:row>34</xdr:row>
      <xdr:rowOff>77576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B242-DE67-48EC-9CD5-DA652D4E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42810</xdr:rowOff>
    </xdr:from>
    <xdr:to>
      <xdr:col>33</xdr:col>
      <xdr:colOff>408202</xdr:colOff>
      <xdr:row>39</xdr:row>
      <xdr:rowOff>136288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07775-A315-4E80-988C-5F4C12ABF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149833</xdr:colOff>
      <xdr:row>25</xdr:row>
      <xdr:rowOff>171237</xdr:rowOff>
    </xdr:from>
    <xdr:to>
      <xdr:col>36</xdr:col>
      <xdr:colOff>597599</xdr:colOff>
      <xdr:row>34</xdr:row>
      <xdr:rowOff>76470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B6558-C4F6-40C6-9161-4D191B06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30</xdr:col>
      <xdr:colOff>417388</xdr:colOff>
      <xdr:row>35</xdr:row>
      <xdr:rowOff>42810</xdr:rowOff>
    </xdr:from>
    <xdr:to>
      <xdr:col>35</xdr:col>
      <xdr:colOff>210387</xdr:colOff>
      <xdr:row>39</xdr:row>
      <xdr:rowOff>137142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2B50E-FF37-478B-8D0B-6ABAF4E7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  <xdr:twoCellAnchor>
    <xdr:from>
      <xdr:col>68</xdr:col>
      <xdr:colOff>298703</xdr:colOff>
      <xdr:row>23</xdr:row>
      <xdr:rowOff>88932</xdr:rowOff>
    </xdr:from>
    <xdr:to>
      <xdr:col>75</xdr:col>
      <xdr:colOff>533891</xdr:colOff>
      <xdr:row>37</xdr:row>
      <xdr:rowOff>86111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8527F-27AC-4F3E-ABE6-E7FED3B62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8E67-6A64-46C8-B8DD-04EA635BCCF3}">
  <dimension ref="A1:L29"/>
  <sheetViews>
    <sheetView zoomScale="121" workbookViewId="0">
      <selection activeCell="G20" sqref="G20"/>
    </sheetView>
  </sheetViews>
  <sheetFormatPr defaultRowHeight="14.25" x14ac:dyDescent="0.2"/>
  <cols>
    <col min="1" max="1" width="11.5703125" style="98" bestFit="1" customWidth="1"/>
    <col min="2" max="2" width="15" style="98" bestFit="1" customWidth="1"/>
    <col min="3" max="3" width="15.28515625" style="98" bestFit="1" customWidth="1"/>
    <col min="4" max="4" width="15.140625" style="98" bestFit="1" customWidth="1"/>
    <col min="5" max="5" width="15.42578125" style="98" bestFit="1" customWidth="1"/>
    <col min="6" max="6" width="15" style="98" bestFit="1" customWidth="1"/>
    <col min="7" max="7" width="15.28515625" style="98" bestFit="1" customWidth="1"/>
    <col min="8" max="8" width="15.140625" style="98" bestFit="1" customWidth="1"/>
    <col min="9" max="9" width="15.42578125" style="98" bestFit="1" customWidth="1"/>
    <col min="10" max="10" width="16.28515625" style="98" bestFit="1" customWidth="1"/>
    <col min="11" max="11" width="15.7109375" style="98" bestFit="1" customWidth="1"/>
    <col min="12" max="12" width="14.5703125" style="98" bestFit="1" customWidth="1"/>
    <col min="13" max="16384" width="9.140625" style="98"/>
  </cols>
  <sheetData>
    <row r="1" spans="1:12" ht="15" x14ac:dyDescent="0.2">
      <c r="A1" s="75"/>
      <c r="B1" s="75" t="s">
        <v>147</v>
      </c>
      <c r="C1" s="91" t="s">
        <v>148</v>
      </c>
      <c r="D1" s="75" t="s">
        <v>149</v>
      </c>
      <c r="E1" s="91" t="s">
        <v>150</v>
      </c>
      <c r="F1" s="75" t="s">
        <v>151</v>
      </c>
      <c r="G1" s="91" t="s">
        <v>152</v>
      </c>
      <c r="H1" s="3" t="s">
        <v>153</v>
      </c>
      <c r="I1" s="3" t="s">
        <v>154</v>
      </c>
      <c r="J1" s="75" t="s">
        <v>129</v>
      </c>
      <c r="K1" s="75" t="s">
        <v>130</v>
      </c>
      <c r="L1" s="75" t="s">
        <v>131</v>
      </c>
    </row>
    <row r="2" spans="1:12" ht="15" x14ac:dyDescent="0.2">
      <c r="A2" s="75" t="s">
        <v>62</v>
      </c>
      <c r="B2" s="93">
        <v>240.68856852930662</v>
      </c>
      <c r="C2" s="94">
        <v>240.76989866222453</v>
      </c>
      <c r="D2" s="95">
        <v>240.81296365284049</v>
      </c>
      <c r="E2" s="94">
        <v>240.99467761587636</v>
      </c>
      <c r="F2" s="93">
        <v>240.78793647429143</v>
      </c>
      <c r="G2" s="96">
        <v>240.92290642455185</v>
      </c>
      <c r="H2" s="78">
        <v>235.24510185239882</v>
      </c>
      <c r="I2" s="94">
        <v>236.49317273368061</v>
      </c>
      <c r="J2" s="97">
        <v>230.9</v>
      </c>
      <c r="K2" s="97">
        <v>235.7</v>
      </c>
      <c r="L2" s="97">
        <v>235.89</v>
      </c>
    </row>
    <row r="3" spans="1:12" ht="15" x14ac:dyDescent="0.2">
      <c r="A3" s="75" t="s">
        <v>66</v>
      </c>
      <c r="B3" s="93">
        <v>118.56199723984997</v>
      </c>
      <c r="C3" s="94">
        <v>118.60892166729565</v>
      </c>
      <c r="D3" s="95">
        <v>125.02098502611281</v>
      </c>
      <c r="E3" s="94">
        <v>125.17115666029102</v>
      </c>
      <c r="F3" s="93">
        <v>122.91827788342128</v>
      </c>
      <c r="G3" s="96">
        <v>122.99139931915501</v>
      </c>
      <c r="H3" s="78">
        <v>120.00908007316127</v>
      </c>
      <c r="I3" s="94">
        <v>120.75374241802646</v>
      </c>
      <c r="J3" s="97">
        <v>120.02</v>
      </c>
      <c r="K3" s="97">
        <v>126.5</v>
      </c>
      <c r="L3" s="97">
        <v>120.76</v>
      </c>
    </row>
    <row r="4" spans="1:12" ht="15" x14ac:dyDescent="0.2">
      <c r="A4" s="75" t="s">
        <v>71</v>
      </c>
      <c r="B4" s="93">
        <v>46.81057534594035</v>
      </c>
      <c r="C4" s="94">
        <v>46.784777447770466</v>
      </c>
      <c r="D4" s="95">
        <v>46.772536315783093</v>
      </c>
      <c r="E4" s="94">
        <v>46.764877108693192</v>
      </c>
      <c r="F4" s="93">
        <v>44.654454393054408</v>
      </c>
      <c r="G4" s="96">
        <v>44.636918163070803</v>
      </c>
      <c r="H4" s="78">
        <v>46.741586234411258</v>
      </c>
      <c r="I4" s="94">
        <v>46.785207015035397</v>
      </c>
      <c r="J4" s="97">
        <v>43.36</v>
      </c>
      <c r="K4" s="97">
        <v>43.6</v>
      </c>
      <c r="L4" s="97">
        <v>46.55</v>
      </c>
    </row>
    <row r="5" spans="1:12" ht="15" x14ac:dyDescent="0.2">
      <c r="A5" s="75" t="s">
        <v>63</v>
      </c>
      <c r="B5" s="93">
        <v>5.4557565714135903</v>
      </c>
      <c r="C5" s="94">
        <v>5.3557556091592948</v>
      </c>
      <c r="D5" s="93">
        <v>5.3987483386229478</v>
      </c>
      <c r="E5" s="94">
        <v>5.3083074249586426</v>
      </c>
      <c r="F5" s="93">
        <v>5.4124571871580445</v>
      </c>
      <c r="G5" s="96">
        <v>5.3235930801915723</v>
      </c>
      <c r="H5" s="78">
        <v>5.8834438344512074</v>
      </c>
      <c r="I5" s="94">
        <v>5.6166773509180503</v>
      </c>
      <c r="J5" s="97">
        <v>5.65</v>
      </c>
    </row>
    <row r="6" spans="1:12" ht="15" x14ac:dyDescent="0.2">
      <c r="A6" s="75" t="s">
        <v>67</v>
      </c>
      <c r="B6" s="93">
        <v>3.3289143567190234</v>
      </c>
      <c r="C6" s="94">
        <v>3.2634976242016012</v>
      </c>
      <c r="D6" s="93">
        <v>2.900602190560551</v>
      </c>
      <c r="E6" s="94">
        <v>2.8397931039549538</v>
      </c>
      <c r="F6" s="93">
        <v>3.0316916875765445</v>
      </c>
      <c r="G6" s="96">
        <v>2.9797997562813512</v>
      </c>
      <c r="H6" s="78">
        <v>3.2917409765094727</v>
      </c>
      <c r="I6" s="94">
        <v>3.1320693437148281</v>
      </c>
      <c r="J6" s="75">
        <v>3.5660000000000003</v>
      </c>
    </row>
    <row r="7" spans="1:12" ht="15" x14ac:dyDescent="0.2">
      <c r="A7" s="75" t="s">
        <v>72</v>
      </c>
      <c r="B7" s="93">
        <v>0.24950622955462773</v>
      </c>
      <c r="C7" s="94">
        <v>0.25389861609216452</v>
      </c>
      <c r="D7" s="93">
        <v>0.25718210598103614</v>
      </c>
      <c r="E7" s="94">
        <v>0.25784735007087928</v>
      </c>
      <c r="F7" s="93">
        <v>0.38546676000276836</v>
      </c>
      <c r="G7" s="96">
        <v>0.38636278718394879</v>
      </c>
      <c r="H7" s="78">
        <v>0.25780481762128804</v>
      </c>
      <c r="I7" s="94">
        <v>0.2538364132692601</v>
      </c>
      <c r="J7" s="97">
        <v>0.185</v>
      </c>
    </row>
    <row r="8" spans="1:12" ht="15" x14ac:dyDescent="0.2">
      <c r="A8" s="75"/>
      <c r="B8" s="93"/>
      <c r="C8" s="99"/>
      <c r="D8" s="93"/>
      <c r="E8" s="95"/>
      <c r="F8" s="93"/>
      <c r="G8" s="95"/>
      <c r="H8" s="92"/>
      <c r="I8" s="96"/>
    </row>
    <row r="9" spans="1:12" ht="15" x14ac:dyDescent="0.2">
      <c r="A9" s="75" t="s">
        <v>82</v>
      </c>
      <c r="B9" s="93">
        <v>2.2320965423684576</v>
      </c>
      <c r="C9" s="100">
        <v>3.4005102488358792</v>
      </c>
      <c r="D9" s="93">
        <v>1.2163310748850014</v>
      </c>
      <c r="E9" s="96">
        <v>4.692597722101489</v>
      </c>
      <c r="F9" s="101">
        <v>1.0330482476337692</v>
      </c>
      <c r="G9" s="96">
        <v>3.3664426158590324</v>
      </c>
      <c r="H9" s="78">
        <v>0.62305047555074067</v>
      </c>
      <c r="I9" s="94">
        <v>2.0863160916332069</v>
      </c>
    </row>
    <row r="10" spans="1:12" ht="15" x14ac:dyDescent="0.2">
      <c r="A10" s="75" t="s">
        <v>125</v>
      </c>
      <c r="B10" s="93">
        <v>3.2047752822006316E-2</v>
      </c>
      <c r="C10" s="94">
        <v>0.2484935939593057</v>
      </c>
      <c r="D10" s="93">
        <v>0.11286279229519919</v>
      </c>
      <c r="E10" s="100">
        <v>0.17565705325600051</v>
      </c>
      <c r="F10" s="93">
        <v>7.6281029019634572E-2</v>
      </c>
      <c r="G10" s="96">
        <v>0.1976443526784904</v>
      </c>
      <c r="H10" s="78">
        <v>0.10102043380271358</v>
      </c>
      <c r="I10" s="100">
        <v>0.24878189365770287</v>
      </c>
    </row>
    <row r="11" spans="1:12" ht="15" x14ac:dyDescent="0.2">
      <c r="A11" s="75" t="s">
        <v>126</v>
      </c>
      <c r="B11" s="93">
        <v>0.6504491912371887</v>
      </c>
      <c r="C11" s="94">
        <v>2.168472323673944</v>
      </c>
      <c r="D11" s="93">
        <v>0.26598059407368668</v>
      </c>
      <c r="E11" s="94">
        <v>2.1907947174220017</v>
      </c>
      <c r="F11" s="93">
        <v>0.12025487957182894</v>
      </c>
      <c r="G11" s="96">
        <v>2.1832548586267784</v>
      </c>
      <c r="H11" s="78">
        <v>0.13379477856477148</v>
      </c>
      <c r="I11" s="94">
        <v>1.7155644750679353</v>
      </c>
    </row>
    <row r="12" spans="1:12" ht="15" x14ac:dyDescent="0.2">
      <c r="A12" s="75" t="s">
        <v>127</v>
      </c>
      <c r="B12" s="93">
        <v>1.4999805084701812</v>
      </c>
      <c r="C12" s="94">
        <v>0.93309414273236557</v>
      </c>
      <c r="D12" s="93">
        <v>4.5780642949562224E-2</v>
      </c>
      <c r="E12" s="94">
        <v>2.2741651716983702</v>
      </c>
      <c r="F12" s="93">
        <v>0.30345889101850615</v>
      </c>
      <c r="G12" s="96">
        <v>0.51707785114563753</v>
      </c>
      <c r="H12" s="78">
        <v>0.33250960845525029</v>
      </c>
      <c r="I12" s="94">
        <v>7.151619286362991E-2</v>
      </c>
    </row>
    <row r="13" spans="1:12" ht="15" x14ac:dyDescent="0.2">
      <c r="A13" s="75" t="s">
        <v>128</v>
      </c>
      <c r="B13" s="93">
        <v>4.961908983908149E-2</v>
      </c>
      <c r="C13" s="94">
        <v>5.0450188470264071E-2</v>
      </c>
      <c r="D13" s="93">
        <v>0.79170704556655325</v>
      </c>
      <c r="E13" s="94">
        <v>5.1980779725116409E-2</v>
      </c>
      <c r="F13" s="93">
        <v>0.53305344802379973</v>
      </c>
      <c r="G13" s="96">
        <v>0.46846555340812629</v>
      </c>
      <c r="H13" s="78">
        <v>5.5725654728005239E-2</v>
      </c>
      <c r="I13" s="94">
        <v>5.0453530043938558E-2</v>
      </c>
    </row>
    <row r="14" spans="1:12" x14ac:dyDescent="0.2">
      <c r="I14" s="102"/>
    </row>
    <row r="15" spans="1:12" ht="15" x14ac:dyDescent="0.2">
      <c r="A15" s="90"/>
      <c r="B15" s="102"/>
      <c r="C15" s="102"/>
      <c r="D15" s="102"/>
      <c r="E15" s="102"/>
      <c r="F15" s="102"/>
      <c r="G15" s="102"/>
      <c r="H15" s="102"/>
      <c r="I15" s="102"/>
    </row>
    <row r="16" spans="1:12" ht="15" x14ac:dyDescent="0.2">
      <c r="A16" s="90"/>
      <c r="B16" s="102"/>
      <c r="C16" s="102"/>
      <c r="D16" s="102"/>
      <c r="E16" s="102"/>
      <c r="F16" s="102"/>
      <c r="G16" s="102"/>
      <c r="H16" s="102"/>
      <c r="I16" s="102"/>
    </row>
    <row r="17" spans="1:9" ht="15" x14ac:dyDescent="0.2">
      <c r="A17" s="90"/>
      <c r="B17" s="102"/>
      <c r="C17" s="102"/>
      <c r="D17" s="102"/>
      <c r="E17" s="102"/>
      <c r="F17" s="102"/>
      <c r="G17" s="102"/>
      <c r="H17" s="102"/>
      <c r="I17" s="102"/>
    </row>
    <row r="18" spans="1:9" ht="15" x14ac:dyDescent="0.2">
      <c r="A18" s="90"/>
      <c r="B18" s="102"/>
      <c r="C18" s="102"/>
      <c r="D18" s="102"/>
      <c r="E18" s="102"/>
      <c r="F18" s="102"/>
      <c r="G18" s="102"/>
      <c r="H18" s="102"/>
      <c r="I18" s="102"/>
    </row>
    <row r="19" spans="1:9" ht="15" x14ac:dyDescent="0.2">
      <c r="A19" s="90"/>
      <c r="B19" s="102"/>
      <c r="C19" s="102"/>
      <c r="D19" s="102"/>
      <c r="E19" s="102"/>
      <c r="F19" s="102"/>
      <c r="G19" s="102"/>
      <c r="H19" s="102"/>
      <c r="I19" s="102"/>
    </row>
    <row r="20" spans="1:9" ht="15" x14ac:dyDescent="0.2">
      <c r="A20" s="90"/>
      <c r="B20" s="102"/>
      <c r="C20" s="102"/>
      <c r="D20" s="102"/>
      <c r="E20" s="102"/>
      <c r="F20" s="102"/>
      <c r="G20" s="102"/>
      <c r="H20" s="102"/>
      <c r="I20" s="102"/>
    </row>
    <row r="21" spans="1:9" ht="15" x14ac:dyDescent="0.2">
      <c r="A21" s="90"/>
      <c r="B21" s="102"/>
      <c r="C21" s="102"/>
      <c r="D21" s="102"/>
      <c r="E21" s="102"/>
      <c r="F21" s="102"/>
      <c r="G21" s="102"/>
      <c r="H21" s="102"/>
      <c r="I21" s="102"/>
    </row>
    <row r="22" spans="1:9" ht="15" x14ac:dyDescent="0.2">
      <c r="A22" s="90"/>
      <c r="B22" s="102"/>
      <c r="C22" s="102"/>
      <c r="D22" s="102"/>
      <c r="E22" s="102"/>
      <c r="F22" s="102"/>
      <c r="G22" s="102"/>
      <c r="H22" s="102"/>
      <c r="I22" s="102"/>
    </row>
    <row r="23" spans="1:9" ht="15" x14ac:dyDescent="0.2">
      <c r="A23" s="90"/>
      <c r="B23" s="102"/>
      <c r="C23" s="102"/>
      <c r="D23" s="102"/>
      <c r="E23" s="102"/>
      <c r="F23" s="102"/>
      <c r="G23" s="102"/>
      <c r="H23" s="102"/>
      <c r="I23" s="102"/>
    </row>
    <row r="24" spans="1:9" ht="15" x14ac:dyDescent="0.2">
      <c r="A24" s="90"/>
      <c r="B24" s="102"/>
      <c r="C24" s="102"/>
      <c r="D24" s="102"/>
      <c r="E24" s="102"/>
      <c r="F24" s="102"/>
      <c r="G24" s="102"/>
      <c r="H24" s="102"/>
      <c r="I24" s="102"/>
    </row>
    <row r="25" spans="1:9" ht="15" x14ac:dyDescent="0.2">
      <c r="A25" s="90"/>
      <c r="B25" s="102"/>
      <c r="C25" s="102"/>
      <c r="D25" s="102"/>
      <c r="E25" s="102"/>
      <c r="F25" s="102"/>
      <c r="G25" s="102"/>
      <c r="H25" s="102"/>
      <c r="I25" s="102"/>
    </row>
    <row r="26" spans="1:9" ht="15" x14ac:dyDescent="0.2">
      <c r="A26" s="90"/>
      <c r="B26" s="102"/>
      <c r="C26" s="102"/>
      <c r="D26" s="102"/>
      <c r="E26" s="102"/>
      <c r="F26" s="102"/>
      <c r="G26" s="102"/>
      <c r="H26" s="102"/>
      <c r="I26" s="102"/>
    </row>
    <row r="27" spans="1:9" x14ac:dyDescent="0.2">
      <c r="A27" s="102"/>
      <c r="B27" s="102"/>
      <c r="C27" s="102"/>
      <c r="D27" s="102"/>
      <c r="E27" s="102"/>
      <c r="F27" s="102"/>
      <c r="G27" s="102"/>
      <c r="H27" s="102"/>
      <c r="I27" s="102"/>
    </row>
    <row r="28" spans="1:9" x14ac:dyDescent="0.2">
      <c r="A28" s="102"/>
      <c r="B28" s="102"/>
      <c r="C28" s="102"/>
      <c r="D28" s="102"/>
      <c r="E28" s="102"/>
      <c r="F28" s="102"/>
      <c r="G28" s="102"/>
      <c r="H28" s="102"/>
      <c r="I28" s="102"/>
    </row>
    <row r="29" spans="1:9" x14ac:dyDescent="0.2">
      <c r="A29" s="102"/>
      <c r="B29" s="102"/>
      <c r="C29" s="102"/>
      <c r="D29" s="102"/>
      <c r="E29" s="102"/>
      <c r="F29" s="102"/>
      <c r="G29" s="102"/>
      <c r="H29" s="10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9E6B-3469-4108-ADCD-F97E898FA11C}">
  <dimension ref="A1:DK112"/>
  <sheetViews>
    <sheetView zoomScaleNormal="100" workbookViewId="0">
      <pane xSplit="1" topLeftCell="K1" activePane="topRight" state="frozen"/>
      <selection activeCell="BA26" sqref="BA26:BA28"/>
      <selection pane="topRight" activeCell="D27" sqref="D26:D27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8.85546875" style="1" bestFit="1" customWidth="1"/>
    <col min="11" max="12" width="28.85546875" style="1" customWidth="1"/>
    <col min="13" max="13" width="11.85546875" style="1" bestFit="1" customWidth="1"/>
    <col min="14" max="14" width="14.42578125" style="1" bestFit="1" customWidth="1"/>
    <col min="15" max="15" width="17" style="1" bestFit="1" customWidth="1"/>
    <col min="16" max="16" width="15.5703125" style="1" hidden="1" customWidth="1"/>
    <col min="17" max="17" width="12.140625" style="1" hidden="1" customWidth="1"/>
    <col min="18" max="18" width="14.28515625" style="1" hidden="1" customWidth="1"/>
    <col min="19" max="19" width="9.140625" style="1" hidden="1" customWidth="1"/>
    <col min="20" max="23" width="15.5703125" style="1" hidden="1" customWidth="1"/>
    <col min="24" max="24" width="9.28515625" style="1" bestFit="1" customWidth="1"/>
    <col min="25" max="25" width="9.28515625" style="1" hidden="1" customWidth="1"/>
    <col min="26" max="26" width="10.5703125" style="1" hidden="1" customWidth="1"/>
    <col min="27" max="30" width="12.42578125" style="1" hidden="1" customWidth="1"/>
    <col min="31" max="31" width="9.28515625" style="1" bestFit="1" customWidth="1"/>
    <col min="32" max="32" width="9.28515625" style="1" customWidth="1"/>
    <col min="33" max="33" width="9.28515625" style="1" bestFit="1" customWidth="1"/>
    <col min="34" max="34" width="11.85546875" style="1" hidden="1" customWidth="1"/>
    <col min="35" max="35" width="14.140625" style="1" bestFit="1" customWidth="1"/>
    <col min="36" max="37" width="11.85546875" style="1" bestFit="1" customWidth="1"/>
    <col min="38" max="38" width="9.5703125" style="1" bestFit="1" customWidth="1"/>
    <col min="39" max="39" width="9.140625" style="1"/>
    <col min="40" max="40" width="8.42578125" style="1" bestFit="1" customWidth="1"/>
    <col min="41" max="41" width="7" style="1" bestFit="1" customWidth="1"/>
    <col min="42" max="42" width="10.85546875" style="1" bestFit="1" customWidth="1"/>
    <col min="43" max="43" width="8.28515625" style="1" bestFit="1" customWidth="1"/>
    <col min="44" max="45" width="14" style="1" bestFit="1" customWidth="1"/>
    <col min="46" max="46" width="16.140625" style="1" bestFit="1" customWidth="1"/>
    <col min="47" max="47" width="13.5703125" style="1" bestFit="1" customWidth="1"/>
    <col min="48" max="48" width="12.140625" style="1" bestFit="1" customWidth="1"/>
    <col min="49" max="49" width="12.5703125" style="1" bestFit="1" customWidth="1"/>
    <col min="50" max="50" width="10.85546875" style="1" bestFit="1" customWidth="1"/>
    <col min="51" max="51" width="9.42578125" style="1" bestFit="1" customWidth="1"/>
    <col min="52" max="52" width="11.28515625" style="1" bestFit="1" customWidth="1"/>
    <col min="53" max="53" width="11.140625" style="1" customWidth="1"/>
    <col min="54" max="54" width="9.5703125" style="1" bestFit="1" customWidth="1"/>
    <col min="55" max="60" width="9.42578125" style="1" bestFit="1" customWidth="1"/>
    <col min="61" max="63" width="11.85546875" style="1" bestFit="1" customWidth="1"/>
    <col min="64" max="65" width="9.28515625" style="1" bestFit="1" customWidth="1"/>
    <col min="66" max="66" width="12.140625" style="1" bestFit="1" customWidth="1"/>
    <col min="67" max="67" width="12.28515625" style="1" bestFit="1" customWidth="1"/>
    <col min="68" max="68" width="20.7109375" style="1" bestFit="1" customWidth="1"/>
    <col min="69" max="69" width="9.140625" style="1"/>
    <col min="70" max="70" width="14" style="1" bestFit="1" customWidth="1"/>
    <col min="71" max="71" width="5.7109375" style="1" customWidth="1"/>
    <col min="72" max="72" width="4.7109375" style="1" customWidth="1"/>
    <col min="73" max="73" width="13.85546875" style="1" bestFit="1" customWidth="1"/>
    <col min="74" max="79" width="9.140625" style="1"/>
    <col min="80" max="80" width="15.42578125" style="1" bestFit="1" customWidth="1"/>
    <col min="81" max="81" width="16" style="1" bestFit="1" customWidth="1"/>
    <col min="82" max="82" width="12.7109375" style="1" bestFit="1" customWidth="1"/>
    <col min="83" max="83" width="12.7109375" style="1" customWidth="1"/>
    <col min="84" max="87" width="9.140625" style="1"/>
    <col min="88" max="88" width="16.7109375" style="1" bestFit="1" customWidth="1"/>
    <col min="89" max="16384" width="9.140625" style="1"/>
  </cols>
  <sheetData>
    <row r="1" spans="1:115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132</v>
      </c>
      <c r="K1" s="3" t="s">
        <v>134</v>
      </c>
      <c r="L1" s="3" t="s">
        <v>133</v>
      </c>
      <c r="M1" s="3" t="s">
        <v>9</v>
      </c>
      <c r="N1" s="3" t="s">
        <v>10</v>
      </c>
      <c r="O1" s="67" t="s">
        <v>11</v>
      </c>
      <c r="P1" s="3" t="s">
        <v>12</v>
      </c>
      <c r="Q1" s="3" t="s">
        <v>13</v>
      </c>
      <c r="R1" s="1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3" t="s">
        <v>27</v>
      </c>
      <c r="AF1" s="3" t="s">
        <v>29</v>
      </c>
      <c r="AG1" s="3" t="s">
        <v>30</v>
      </c>
      <c r="AH1" s="3" t="s">
        <v>31</v>
      </c>
      <c r="AI1" s="5" t="s">
        <v>32</v>
      </c>
      <c r="AJ1" s="2" t="s">
        <v>33</v>
      </c>
      <c r="AK1" s="65" t="s">
        <v>34</v>
      </c>
      <c r="AL1" s="65" t="s">
        <v>35</v>
      </c>
      <c r="AM1" s="2"/>
      <c r="AQ1" s="3"/>
      <c r="BF1" s="3"/>
      <c r="BG1" s="3"/>
      <c r="BH1" s="3"/>
      <c r="BR1" s="3"/>
      <c r="BS1" s="3"/>
      <c r="BU1" s="3"/>
    </row>
    <row r="2" spans="1:115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C2*$O$2/0.623</f>
        <v>0.24012437076876564</v>
      </c>
      <c r="I2" s="12">
        <f>D2*$O$2/0.623</f>
        <v>0.47361978835900054</v>
      </c>
      <c r="J2" s="12">
        <f>1/((1/(H2^2))-(1.33333333333333/(G2^2)))</f>
        <v>8.1729519829057171E-2</v>
      </c>
      <c r="K2" s="12">
        <f>1/((-2/(I2^2))+(1/(F2^2))+(0.6666/(G2^2)))</f>
        <v>7.8905675131026809E-2</v>
      </c>
      <c r="L2" s="12">
        <f>1/((0.33333333/(H2^2))-(1.33333333333333/(I2^2))+(0.66666666666667/(F2^2)))</f>
        <v>7.9823938051471852E-2</v>
      </c>
      <c r="M2" s="12"/>
      <c r="N2" s="13">
        <f>SUM(M2:$M$2)</f>
        <v>0</v>
      </c>
      <c r="O2" s="69">
        <f>$B$38/((N2*$B$43+1))</f>
        <v>0.71199999999999997</v>
      </c>
      <c r="P2" s="12">
        <f>(6*F2*G2*SQRT(9*(G2^6)*(0.0002^2)+16*(F2^6)*(0.0002)^2))/((4*F2^2 - 3*G2^2)^2)</f>
        <v>1.7248584832760925E-4</v>
      </c>
      <c r="Q2" s="14">
        <f>(((E2-E2)/2)^2)*(P2^2+P3^2)</f>
        <v>0</v>
      </c>
      <c r="R2" s="11">
        <f>SUM(Q2:$Q$2)</f>
        <v>0</v>
      </c>
      <c r="S2" s="12">
        <v>1E-3</v>
      </c>
      <c r="T2" s="1">
        <f t="shared" ref="T2:T23" si="0">O2^3</f>
        <v>0.36094412799999998</v>
      </c>
      <c r="U2" s="1">
        <f>3*S2/O2*T2</f>
        <v>1.520832E-3</v>
      </c>
      <c r="V2" s="1">
        <f>T2/$T$2</f>
        <v>1</v>
      </c>
      <c r="W2" s="1">
        <f>V2*3*SQRT((S2/O2)^2)+(0.001/$O$2)^2</f>
        <v>4.2154557505365495E-3</v>
      </c>
      <c r="X2" s="11">
        <f>$B$40/((O2/$O$2)^3)</f>
        <v>6.09</v>
      </c>
      <c r="Y2" s="12">
        <v>0.01</v>
      </c>
      <c r="Z2" s="12">
        <f t="shared" ref="Z2:Z23" si="1">(1-((X2/$B$40)^0.66666667))/2</f>
        <v>0</v>
      </c>
      <c r="AA2" s="12">
        <f t="shared" ref="AA2:AA23" si="2">(SQRT((S2/O2)^2 + (0.0002/F2)^2))*AF2</f>
        <v>1.0273008225035848E-2</v>
      </c>
      <c r="AB2" s="12">
        <f t="shared" ref="AB2:AB23" si="3">SQRT((S2/O2)^2 + (0.0002/G2)^2)*AG2</f>
        <v>4.0636461010647405E-3</v>
      </c>
      <c r="AC2" s="12">
        <f>SQRT((S2/O2)^2 + (0.0002/H2)^2)*AE2</f>
        <v>9.6834625525200786E-3</v>
      </c>
      <c r="AD2" s="12" t="e">
        <f>SQRT((S2/O2)^2 + (0.0002/I2)^2)*#REF!</f>
        <v>#REF!</v>
      </c>
      <c r="AE2" s="14">
        <f>2*O2/H2</f>
        <v>5.9302602040809917</v>
      </c>
      <c r="AF2" s="1">
        <f>2*O2/F2</f>
        <v>6.2129162562539788</v>
      </c>
      <c r="AG2" s="14">
        <f>2*O2/G2</f>
        <v>2.7870913663034367</v>
      </c>
      <c r="AH2" s="14" t="e">
        <f>X2*#REF!^2</f>
        <v>#REF!</v>
      </c>
      <c r="AI2" s="14">
        <f t="shared" ref="AI2:AI23" si="4">X2*AE2*AE2</f>
        <v>214.17303527656995</v>
      </c>
      <c r="AJ2" s="15">
        <f t="shared" ref="AJ2:AJ23" si="5">X2*AF2^2</f>
        <v>235.07599999999999</v>
      </c>
      <c r="AK2" s="16">
        <f t="shared" ref="AK2:AK23" si="6">X2*AG2^2</f>
        <v>47.306378750310031</v>
      </c>
      <c r="AL2" s="15">
        <f t="shared" ref="AL2:AL23" si="7">1.5*AI2-AJ2/2-2*AK2</f>
        <v>109.10879541423483</v>
      </c>
      <c r="AM2" s="2"/>
      <c r="AN2" s="12"/>
      <c r="AO2" s="14"/>
      <c r="AP2" s="14"/>
      <c r="AQ2" s="11"/>
      <c r="AR2" s="11"/>
      <c r="AS2" s="12"/>
      <c r="AT2" s="11"/>
      <c r="AU2" s="18"/>
      <c r="AV2" s="18"/>
      <c r="AW2" s="18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4"/>
      <c r="BJ2" s="14"/>
      <c r="BK2" s="14"/>
      <c r="BL2" s="19"/>
      <c r="BM2" s="12"/>
      <c r="BN2" s="12"/>
      <c r="BO2" s="12"/>
      <c r="BR2" s="17" t="s">
        <v>60</v>
      </c>
      <c r="BS2" s="20"/>
      <c r="BT2" s="20"/>
      <c r="BU2" s="21"/>
      <c r="CB2" s="14"/>
      <c r="CC2" s="14"/>
      <c r="CD2" s="14"/>
      <c r="CE2" s="14"/>
      <c r="CJ2" s="12"/>
      <c r="CR2" s="1" t="s">
        <v>61</v>
      </c>
      <c r="DK2" s="1">
        <v>0</v>
      </c>
    </row>
    <row r="3" spans="1:115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C3*$O$2/0.607</f>
        <v>0.2366805286670613</v>
      </c>
      <c r="I3" s="12">
        <f>D3*$O$2/0.607</f>
        <v>0.48556338480159122</v>
      </c>
      <c r="J3" s="12">
        <f t="shared" ref="J3:J23" si="8">1/((1/(H3^2))-(1.33333333333333/(G3^2)))</f>
        <v>7.8931530435670721E-2</v>
      </c>
      <c r="K3" s="12">
        <f t="shared" ref="K3:K23" si="9">1/((-2/(I3^2))+(1/(F3^2))+(0.6666/(G3^2)))</f>
        <v>7.1911807784822493E-2</v>
      </c>
      <c r="L3" s="12">
        <f t="shared" ref="L3:L23" si="10">1/((0.33333333/(H3^2))-(1.33333333333333/(I3^2))+(0.66666666666667/(F3^2)))</f>
        <v>7.4107796552730837E-2</v>
      </c>
      <c r="M3" s="13">
        <f t="shared" ref="M3:M23" si="11">(J3*(E3-E2)+0.5*(E3-E2)*(J2-J3))</f>
        <v>1.0373314321090692E-2</v>
      </c>
      <c r="N3" s="13">
        <f>SUM(M$3:$M3)</f>
        <v>1.0373314321090692E-2</v>
      </c>
      <c r="O3" s="69">
        <f>$B$38/((N3*$B$43+1))</f>
        <v>0.71179731332142204</v>
      </c>
      <c r="P3" s="12">
        <f t="shared" ref="P3:P23" si="12">(6*F3*G3*SQRT(9*(G3^6)*(0.0002^2)+16*(F3^6)*(0.0002)^2))/((4*F3^2 - 3*G3^2)^2)</f>
        <v>1.6605783510823934E-4</v>
      </c>
      <c r="Q3" s="21">
        <f t="shared" ref="Q3:Q23" si="13">(((E3-E2)/2)^2)*(P3^2+P4^2)</f>
        <v>2.216109036549626E-10</v>
      </c>
      <c r="R3" s="11">
        <f>SUM(Q$2:$Q3)</f>
        <v>2.216109036549626E-10</v>
      </c>
      <c r="S3" s="12">
        <f t="shared" ref="S3:S23" si="14">SQRT(((O30*0.001)^2)+((P30*0.02)^2)+((Q30*R3)^2))</f>
        <v>1.00028471706302E-3</v>
      </c>
      <c r="T3" s="3">
        <f t="shared" si="0"/>
        <v>0.36063596335583448</v>
      </c>
      <c r="U3" s="1">
        <f t="shared" ref="U3:U23" si="15">3*S3/O3*T3</f>
        <v>1.5203990060801646E-3</v>
      </c>
      <c r="V3" s="1">
        <f t="shared" ref="V3:V23" si="16">T3/$T$2</f>
        <v>0.99914622618776749</v>
      </c>
      <c r="W3" s="1">
        <f t="shared" ref="W3:W23" si="17">V3*3*SQRT((S3/O3)^2)+(0.001/$O$2)^2</f>
        <v>4.2142561357312478E-3</v>
      </c>
      <c r="X3" s="11">
        <f t="shared" ref="X3:X23" si="18">$B$40/((O3/$O$2)^3)</f>
        <v>6.0952039254918011</v>
      </c>
      <c r="Y3" s="12">
        <f t="shared" ref="Y3:Y23" si="19">(SQRT((0.02/$X$2)^2+(9*(0.001/$O$2)^2)+(9*(S3/O3)^2))*X3)</f>
        <v>4.1479750231050133E-2</v>
      </c>
      <c r="Z3" s="13">
        <f t="shared" si="1"/>
        <v>-2.8479390643176838E-4</v>
      </c>
      <c r="AA3" s="12">
        <f t="shared" si="2"/>
        <v>1.0536127230977318E-2</v>
      </c>
      <c r="AB3" s="12">
        <f t="shared" si="3"/>
        <v>4.0963855373461764E-3</v>
      </c>
      <c r="AC3" s="12">
        <f t="shared" ref="AC3:AC23" si="20">SQRT((S3/O3)^2 + (0.0002/H3)^2)*AE3</f>
        <v>9.8630706185307872E-3</v>
      </c>
      <c r="AD3" s="12" t="e">
        <f>SQRT((S3/O3)^2 + (0.0002/I3)^2)*#REF!</f>
        <v>#REF!</v>
      </c>
      <c r="AE3" s="14">
        <f t="shared" ref="AE3:AE23" si="21">2*O3/H3</f>
        <v>6.0148362632965719</v>
      </c>
      <c r="AF3" s="1">
        <f t="shared" ref="AF3:AF23" si="22">2*O3/F3</f>
        <v>6.3342457702434674</v>
      </c>
      <c r="AG3" s="14">
        <f t="shared" ref="AG3:AG23" si="23">2*O3/G3</f>
        <v>2.8065855571171183</v>
      </c>
      <c r="AH3" s="14" t="e">
        <f>X3*#REF!^2</f>
        <v>#REF!</v>
      </c>
      <c r="AI3" s="14">
        <f t="shared" si="4"/>
        <v>220.5138435651595</v>
      </c>
      <c r="AJ3" s="15">
        <f t="shared" si="5"/>
        <v>244.55585250258468</v>
      </c>
      <c r="AK3" s="16">
        <f t="shared" si="6"/>
        <v>48.01144887829772</v>
      </c>
      <c r="AL3" s="15">
        <f t="shared" si="7"/>
        <v>112.46994133985147</v>
      </c>
      <c r="AM3" s="2"/>
      <c r="AN3" s="12"/>
      <c r="AO3" s="14"/>
      <c r="AP3" s="14"/>
      <c r="AQ3" s="11"/>
      <c r="AR3" s="11"/>
      <c r="AS3" s="12"/>
      <c r="AT3" s="11"/>
      <c r="AU3" s="18"/>
      <c r="AV3" s="18"/>
      <c r="AW3" s="18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4"/>
      <c r="BJ3" s="14"/>
      <c r="BK3" s="14"/>
      <c r="BL3" s="19"/>
      <c r="BM3" s="12"/>
      <c r="BN3" s="12"/>
      <c r="BO3" s="12"/>
      <c r="BR3" s="17"/>
      <c r="BS3" s="20"/>
      <c r="BT3" s="20"/>
      <c r="BU3" s="21"/>
      <c r="CB3" s="14"/>
      <c r="CC3" s="14"/>
      <c r="CD3" s="14"/>
      <c r="CE3" s="14"/>
      <c r="CJ3" s="12"/>
    </row>
    <row r="4" spans="1:115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24">C4*$O$2/0.607</f>
        <v>0.2330767235607287</v>
      </c>
      <c r="I4" s="12">
        <f t="shared" ref="I4:I23" si="25">D4*$O$2/0.607</f>
        <v>0.47417753100591892</v>
      </c>
      <c r="J4" s="12">
        <f t="shared" si="8"/>
        <v>7.5776025704631114E-2</v>
      </c>
      <c r="K4" s="12">
        <f t="shared" si="9"/>
        <v>7.0447974145204137E-2</v>
      </c>
      <c r="L4" s="12">
        <f t="shared" si="10"/>
        <v>7.2137838083101022E-2</v>
      </c>
      <c r="M4" s="13">
        <f t="shared" si="11"/>
        <v>0.1165373803558136</v>
      </c>
      <c r="N4" s="13">
        <f>SUM(M$3:$M4)</f>
        <v>0.1269106946769043</v>
      </c>
      <c r="O4" s="69">
        <f t="shared" ref="O4:O23" si="26">$B$38/((N4*$B$43+1))</f>
        <v>0.70952816665882912</v>
      </c>
      <c r="P4" s="12">
        <f t="shared" si="12"/>
        <v>1.5994952484815503E-4</v>
      </c>
      <c r="Q4" s="21">
        <f t="shared" si="13"/>
        <v>2.8357893464738583E-8</v>
      </c>
      <c r="R4" s="11">
        <f>SUM(Q$2:$Q4)</f>
        <v>2.8579504368393547E-8</v>
      </c>
      <c r="S4" s="12">
        <f t="shared" si="14"/>
        <v>1.0034780406447791E-3</v>
      </c>
      <c r="T4" s="3">
        <f t="shared" si="0"/>
        <v>0.3571979205279795</v>
      </c>
      <c r="U4" s="1">
        <f t="shared" si="15"/>
        <v>1.5155435101401387E-3</v>
      </c>
      <c r="V4" s="1">
        <f t="shared" si="16"/>
        <v>0.98962108763819401</v>
      </c>
      <c r="W4" s="1">
        <f t="shared" si="17"/>
        <v>4.2008039264740133E-3</v>
      </c>
      <c r="X4" s="11">
        <f t="shared" si="18"/>
        <v>6.1538704824229731</v>
      </c>
      <c r="Y4" s="12">
        <f t="shared" si="19"/>
        <v>4.1982071054621845E-2</v>
      </c>
      <c r="Z4" s="13">
        <f t="shared" si="1"/>
        <v>-3.4898389099492499E-3</v>
      </c>
      <c r="AA4" s="12">
        <f t="shared" si="2"/>
        <v>1.0784694155633294E-2</v>
      </c>
      <c r="AB4" s="12">
        <f t="shared" si="3"/>
        <v>4.1197528814380041E-3</v>
      </c>
      <c r="AC4" s="12">
        <f t="shared" si="20"/>
        <v>1.0071648558099297E-2</v>
      </c>
      <c r="AD4" s="12" t="e">
        <f>SQRT((S4/O4)^2 + (0.0002/I4)^2)*#REF!</f>
        <v>#REF!</v>
      </c>
      <c r="AE4" s="14">
        <f t="shared" si="21"/>
        <v>6.088365717685746</v>
      </c>
      <c r="AF4" s="1">
        <f t="shared" si="22"/>
        <v>6.4226468517254691</v>
      </c>
      <c r="AG4" s="14">
        <f t="shared" si="23"/>
        <v>2.8053814585971582</v>
      </c>
      <c r="AH4" s="14" t="e">
        <f>X4*#REF!^2</f>
        <v>#REF!</v>
      </c>
      <c r="AI4" s="14">
        <f t="shared" si="4"/>
        <v>228.11288404596451</v>
      </c>
      <c r="AJ4" s="15">
        <f t="shared" si="5"/>
        <v>253.84957329860063</v>
      </c>
      <c r="AK4" s="16">
        <f t="shared" si="6"/>
        <v>48.431976874475168</v>
      </c>
      <c r="AL4" s="15">
        <f t="shared" si="7"/>
        <v>118.38058567069612</v>
      </c>
      <c r="AM4" s="2"/>
      <c r="AN4" s="12"/>
      <c r="AO4" s="14"/>
      <c r="AP4" s="14"/>
      <c r="AQ4" s="11"/>
      <c r="AR4" s="11"/>
      <c r="AS4" s="12"/>
      <c r="AT4" s="11"/>
      <c r="AU4" s="18"/>
      <c r="AV4" s="18"/>
      <c r="AW4" s="18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4"/>
      <c r="BJ4" s="14"/>
      <c r="BK4" s="14"/>
      <c r="BL4" s="19"/>
      <c r="BM4" s="12"/>
      <c r="BN4" s="12"/>
      <c r="BO4" s="12"/>
      <c r="BR4" s="17"/>
      <c r="BS4" s="20"/>
      <c r="BT4" s="20"/>
      <c r="BU4" s="21"/>
      <c r="CB4" s="14"/>
      <c r="CC4" s="14"/>
      <c r="CD4" s="14"/>
      <c r="CE4" s="14"/>
      <c r="CJ4" s="12"/>
    </row>
    <row r="5" spans="1:115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24"/>
        <v>0.23122178608659719</v>
      </c>
      <c r="I5" s="12">
        <f t="shared" si="25"/>
        <v>0.47029211989702563</v>
      </c>
      <c r="J5" s="12">
        <f t="shared" si="8"/>
        <v>7.411075698025954E-2</v>
      </c>
      <c r="K5" s="12">
        <f t="shared" si="9"/>
        <v>6.9149582243493324E-2</v>
      </c>
      <c r="L5" s="12">
        <f t="shared" si="10"/>
        <v>7.0726950887607207E-2</v>
      </c>
      <c r="M5" s="13">
        <f t="shared" si="11"/>
        <v>6.4517720455812846E-2</v>
      </c>
      <c r="N5" s="13">
        <f>SUM(M$3:$M5)</f>
        <v>0.19142841513271713</v>
      </c>
      <c r="O5" s="69">
        <f t="shared" si="26"/>
        <v>0.70827812693143</v>
      </c>
      <c r="P5" s="12">
        <f t="shared" si="12"/>
        <v>1.5618171297467797E-4</v>
      </c>
      <c r="Q5" s="21">
        <f t="shared" si="13"/>
        <v>8.8434243448866546E-9</v>
      </c>
      <c r="R5" s="11">
        <f>SUM(Q$2:$Q5)</f>
        <v>3.7422928713280205E-8</v>
      </c>
      <c r="S5" s="12">
        <f t="shared" si="14"/>
        <v>1.0052414168345218E-3</v>
      </c>
      <c r="T5" s="3">
        <f t="shared" si="0"/>
        <v>0.35531332137713245</v>
      </c>
      <c r="U5" s="1">
        <f t="shared" si="15"/>
        <v>1.5128619098352056E-3</v>
      </c>
      <c r="V5" s="1">
        <f t="shared" si="16"/>
        <v>0.98439978327374944</v>
      </c>
      <c r="W5" s="1">
        <f t="shared" si="17"/>
        <v>4.1933745209319639E-3</v>
      </c>
      <c r="X5" s="11">
        <f t="shared" si="18"/>
        <v>6.1865109109907692</v>
      </c>
      <c r="Y5" s="12">
        <f t="shared" si="19"/>
        <v>4.2262357553537973E-2</v>
      </c>
      <c r="Z5" s="13">
        <f t="shared" si="1"/>
        <v>-5.2686251760861724E-3</v>
      </c>
      <c r="AA5" s="12">
        <f t="shared" si="2"/>
        <v>1.0932990674104066E-2</v>
      </c>
      <c r="AB5" s="12">
        <f t="shared" si="3"/>
        <v>4.1259431360236593E-3</v>
      </c>
      <c r="AC5" s="12">
        <f t="shared" si="20"/>
        <v>1.0182570234112424E-2</v>
      </c>
      <c r="AD5" s="12" t="e">
        <f>SQRT((S5/O5)^2 + (0.0002/I5)^2)*#REF!</f>
        <v>#REF!</v>
      </c>
      <c r="AE5" s="14">
        <f t="shared" si="21"/>
        <v>6.126396123124537</v>
      </c>
      <c r="AF5" s="1">
        <f t="shared" si="22"/>
        <v>6.4758124341928136</v>
      </c>
      <c r="AG5" s="14">
        <f t="shared" si="23"/>
        <v>2.8004389652071224</v>
      </c>
      <c r="AH5" s="14" t="e">
        <f>X5*#REF!^2</f>
        <v>#REF!</v>
      </c>
      <c r="AI5" s="14">
        <f t="shared" si="4"/>
        <v>232.19664030768848</v>
      </c>
      <c r="AJ5" s="15">
        <f t="shared" si="5"/>
        <v>259.43842901833773</v>
      </c>
      <c r="AK5" s="16">
        <f t="shared" si="6"/>
        <v>48.517454447292309</v>
      </c>
      <c r="AL5" s="15">
        <f t="shared" si="7"/>
        <v>121.54083705777921</v>
      </c>
      <c r="AM5" s="2"/>
      <c r="AN5" s="12"/>
      <c r="AO5" s="14"/>
      <c r="AP5" s="14"/>
      <c r="AQ5" s="11"/>
      <c r="AR5" s="11"/>
      <c r="AS5" s="12"/>
      <c r="AT5" s="11"/>
      <c r="AU5" s="18"/>
      <c r="AV5" s="18"/>
      <c r="AW5" s="18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4"/>
      <c r="BJ5" s="14"/>
      <c r="BK5" s="14"/>
      <c r="BL5" s="19"/>
      <c r="BM5" s="12"/>
      <c r="BN5" s="12"/>
      <c r="BO5" s="12"/>
      <c r="BR5" s="17"/>
      <c r="BS5" s="20"/>
      <c r="BT5" s="20"/>
      <c r="BU5" s="21"/>
      <c r="CB5" s="14"/>
      <c r="CC5" s="14"/>
      <c r="CD5" s="14"/>
      <c r="CE5" s="14"/>
      <c r="CJ5" s="12"/>
    </row>
    <row r="6" spans="1:115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24"/>
        <v>0.22934310817922804</v>
      </c>
      <c r="I6" s="12">
        <f t="shared" si="25"/>
        <v>0.46669417320555895</v>
      </c>
      <c r="J6" s="55">
        <f t="shared" si="8"/>
        <v>7.2523551607962686E-2</v>
      </c>
      <c r="K6" s="12">
        <f t="shared" si="9"/>
        <v>6.7776252263797673E-2</v>
      </c>
      <c r="L6" s="12">
        <f t="shared" si="10"/>
        <v>6.928725337912503E-2</v>
      </c>
      <c r="M6" s="56">
        <f t="shared" si="11"/>
        <v>6.9429487226214101E-2</v>
      </c>
      <c r="N6" s="56">
        <f>SUM(M$3:$M6)</f>
        <v>0.26085790235893125</v>
      </c>
      <c r="O6" s="69">
        <f t="shared" si="26"/>
        <v>0.70693783210281202</v>
      </c>
      <c r="P6" s="55">
        <f t="shared" si="12"/>
        <v>1.5276458095088427E-4</v>
      </c>
      <c r="Q6" s="57">
        <f t="shared" si="13"/>
        <v>1.0265500870415706E-8</v>
      </c>
      <c r="R6" s="53">
        <f>SUM(Q$2:$Q6)</f>
        <v>4.7688429583695914E-8</v>
      </c>
      <c r="S6" s="55">
        <f t="shared" si="14"/>
        <v>1.0071350938965205E-3</v>
      </c>
      <c r="T6" s="54">
        <f t="shared" si="0"/>
        <v>0.35330002751337664</v>
      </c>
      <c r="U6" s="58">
        <f t="shared" si="15"/>
        <v>1.5099808224646539E-3</v>
      </c>
      <c r="V6" s="58">
        <f t="shared" si="16"/>
        <v>0.97882192867638684</v>
      </c>
      <c r="W6" s="58">
        <f t="shared" si="17"/>
        <v>4.1853924341017515E-3</v>
      </c>
      <c r="X6" s="11">
        <f t="shared" si="18"/>
        <v>6.2217649825594012</v>
      </c>
      <c r="Y6" s="55">
        <f t="shared" si="19"/>
        <v>4.2565730437464207E-2</v>
      </c>
      <c r="Z6" s="56">
        <f t="shared" si="1"/>
        <v>-7.1863352310805872E-3</v>
      </c>
      <c r="AA6" s="55">
        <f t="shared" si="2"/>
        <v>1.1085529574280162E-2</v>
      </c>
      <c r="AB6" s="55">
        <f t="shared" si="3"/>
        <v>4.1378548307024563E-3</v>
      </c>
      <c r="AC6" s="55">
        <f t="shared" si="20"/>
        <v>1.0297573330533858E-2</v>
      </c>
      <c r="AD6" s="55" t="e">
        <f>SQRT((S6/O6)^2 + (0.0002/I6)^2)*#REF!</f>
        <v>#REF!</v>
      </c>
      <c r="AE6" s="14">
        <f t="shared" si="21"/>
        <v>6.1648927470744068</v>
      </c>
      <c r="AF6" s="1">
        <f t="shared" si="22"/>
        <v>6.5292247006417456</v>
      </c>
      <c r="AG6" s="14">
        <f t="shared" si="23"/>
        <v>2.7984590371385245</v>
      </c>
      <c r="AH6" s="59" t="e">
        <f>X6*#REF!^2</f>
        <v>#REF!</v>
      </c>
      <c r="AI6" s="59">
        <f t="shared" si="4"/>
        <v>236.46379382104166</v>
      </c>
      <c r="AJ6" s="15">
        <f t="shared" si="5"/>
        <v>265.23866426565189</v>
      </c>
      <c r="AK6" s="16">
        <f t="shared" si="6"/>
        <v>48.724962188143323</v>
      </c>
      <c r="AL6" s="60">
        <f t="shared" si="7"/>
        <v>124.62643422244989</v>
      </c>
      <c r="AM6" s="2"/>
      <c r="AN6" s="55"/>
      <c r="AO6" s="59"/>
      <c r="AP6" s="59"/>
      <c r="AQ6" s="53"/>
      <c r="AR6" s="53"/>
      <c r="AS6" s="55"/>
      <c r="AT6" s="53"/>
      <c r="AU6" s="63"/>
      <c r="AV6" s="63"/>
      <c r="AW6" s="6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9"/>
      <c r="BJ6" s="59"/>
      <c r="BK6" s="59"/>
      <c r="BL6" s="55"/>
      <c r="BM6" s="55"/>
      <c r="BN6" s="55"/>
      <c r="BO6" s="55"/>
      <c r="BR6" s="62"/>
      <c r="BS6" s="64"/>
      <c r="BT6" s="64"/>
      <c r="BU6" s="57"/>
      <c r="CB6" s="59"/>
      <c r="CC6" s="59"/>
      <c r="CD6" s="59"/>
      <c r="CE6" s="59"/>
      <c r="CJ6" s="55"/>
    </row>
    <row r="7" spans="1:115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24"/>
        <v>0.22751939420302619</v>
      </c>
      <c r="I7" s="12">
        <f t="shared" si="25"/>
        <v>0.46315815892242029</v>
      </c>
      <c r="J7" s="12">
        <f t="shared" si="8"/>
        <v>7.0948991309686946E-2</v>
      </c>
      <c r="K7" s="12">
        <f t="shared" si="9"/>
        <v>6.67882860814865E-2</v>
      </c>
      <c r="L7" s="12">
        <f t="shared" si="10"/>
        <v>6.8119077180204046E-2</v>
      </c>
      <c r="M7" s="13">
        <f t="shared" si="11"/>
        <v>7.1020269025201241E-2</v>
      </c>
      <c r="N7" s="13">
        <f>SUM(M$3:$M7)</f>
        <v>0.3318781713841325</v>
      </c>
      <c r="O7" s="69">
        <f t="shared" si="26"/>
        <v>0.70557206626388391</v>
      </c>
      <c r="P7" s="12">
        <f t="shared" si="12"/>
        <v>1.4984065271274547E-4</v>
      </c>
      <c r="Q7" s="21">
        <f t="shared" si="13"/>
        <v>1.0840844214984978E-8</v>
      </c>
      <c r="R7" s="11">
        <f>SUM(Q$2:$Q7)</f>
        <v>5.8529273798680891E-8</v>
      </c>
      <c r="S7" s="12">
        <f t="shared" si="14"/>
        <v>1.0090676344197487E-3</v>
      </c>
      <c r="T7" s="3">
        <f t="shared" si="0"/>
        <v>0.3512563110461337</v>
      </c>
      <c r="U7" s="1">
        <f t="shared" si="15"/>
        <v>1.5070382961976639E-3</v>
      </c>
      <c r="V7" s="1">
        <f t="shared" si="16"/>
        <v>0.973159787894191</v>
      </c>
      <c r="W7" s="1">
        <f t="shared" si="17"/>
        <v>4.1772401300781484E-3</v>
      </c>
      <c r="X7" s="11">
        <f t="shared" si="18"/>
        <v>6.2579651109280592</v>
      </c>
      <c r="Y7" s="12">
        <f t="shared" si="19"/>
        <v>4.2877932827893608E-2</v>
      </c>
      <c r="Z7" s="13">
        <f t="shared" si="1"/>
        <v>-9.1517423946563259E-3</v>
      </c>
      <c r="AA7" s="12">
        <f t="shared" si="2"/>
        <v>1.1214857210406251E-2</v>
      </c>
      <c r="AB7" s="12">
        <f t="shared" si="3"/>
        <v>4.1446547296327954E-3</v>
      </c>
      <c r="AC7" s="12">
        <f t="shared" si="20"/>
        <v>1.0411790127995849E-2</v>
      </c>
      <c r="AD7" s="12" t="e">
        <f>SQRT((S7/O7)^2 + (0.0002/I7)^2)*#REF!</f>
        <v>#REF!</v>
      </c>
      <c r="AE7" s="14">
        <f t="shared" si="21"/>
        <v>6.2023026101613912</v>
      </c>
      <c r="AF7" s="1">
        <f t="shared" si="22"/>
        <v>6.5712328616470543</v>
      </c>
      <c r="AG7" s="14">
        <f t="shared" si="23"/>
        <v>2.7930525649128204</v>
      </c>
      <c r="AH7" s="14" t="e">
        <f>X7*#REF!^2</f>
        <v>#REF!</v>
      </c>
      <c r="AI7" s="14">
        <f t="shared" si="4"/>
        <v>240.73489175416071</v>
      </c>
      <c r="AJ7" s="15">
        <f t="shared" si="5"/>
        <v>270.22582552446374</v>
      </c>
      <c r="AK7" s="16">
        <f t="shared" si="6"/>
        <v>48.819278406204511</v>
      </c>
      <c r="AL7" s="15">
        <f t="shared" si="7"/>
        <v>128.35086805660018</v>
      </c>
      <c r="AM7" s="2"/>
      <c r="AN7" s="12"/>
      <c r="AO7" s="14"/>
      <c r="AP7" s="14"/>
      <c r="AQ7" s="11"/>
      <c r="AR7" s="11"/>
      <c r="AS7" s="12"/>
      <c r="AT7" s="11"/>
      <c r="AU7" s="18"/>
      <c r="AV7" s="18"/>
      <c r="AW7" s="18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4"/>
      <c r="BJ7" s="14"/>
      <c r="BK7" s="14"/>
      <c r="BL7" s="19"/>
      <c r="BM7" s="12"/>
      <c r="BN7" s="12"/>
      <c r="BO7" s="12"/>
      <c r="BR7" s="17"/>
      <c r="BS7" s="20"/>
      <c r="BT7" s="20"/>
      <c r="BU7" s="21"/>
      <c r="CB7" s="14"/>
      <c r="CC7" s="14"/>
      <c r="CD7" s="14"/>
      <c r="CE7" s="14"/>
      <c r="CJ7" s="12"/>
    </row>
    <row r="8" spans="1:115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24"/>
        <v>0.22631126767955456</v>
      </c>
      <c r="I8" s="12">
        <f t="shared" si="25"/>
        <v>0.46077367349849768</v>
      </c>
      <c r="J8" s="12">
        <f t="shared" si="8"/>
        <v>6.9923047379623529E-2</v>
      </c>
      <c r="K8" s="12">
        <f t="shared" si="9"/>
        <v>6.5956676834284814E-2</v>
      </c>
      <c r="L8" s="12">
        <f t="shared" si="10"/>
        <v>6.7227052010015401E-2</v>
      </c>
      <c r="M8" s="13">
        <f t="shared" si="11"/>
        <v>4.8509909409714475E-2</v>
      </c>
      <c r="N8" s="13">
        <f>SUM(M$3:$M8)</f>
        <v>0.38038808079384701</v>
      </c>
      <c r="O8" s="69">
        <f t="shared" si="26"/>
        <v>0.70464221853885722</v>
      </c>
      <c r="P8" s="12">
        <f t="shared" si="12"/>
        <v>1.4761406785215972E-4</v>
      </c>
      <c r="Q8" s="21">
        <f t="shared" si="13"/>
        <v>5.0935317558639293E-9</v>
      </c>
      <c r="R8" s="11">
        <f>SUM(Q$2:$Q8)</f>
        <v>6.3622805554544815E-8</v>
      </c>
      <c r="S8" s="12">
        <f t="shared" si="14"/>
        <v>1.0103848609629854E-3</v>
      </c>
      <c r="T8" s="13">
        <f t="shared" si="0"/>
        <v>0.34986941669804666</v>
      </c>
      <c r="U8" s="1">
        <f t="shared" si="15"/>
        <v>1.5050308623801099E-3</v>
      </c>
      <c r="V8" s="1">
        <f t="shared" si="16"/>
        <v>0.96931738060591666</v>
      </c>
      <c r="W8" s="1">
        <f t="shared" si="17"/>
        <v>4.1716785108084926E-3</v>
      </c>
      <c r="X8" s="11">
        <f t="shared" si="18"/>
        <v>6.282771898914226</v>
      </c>
      <c r="Y8" s="12">
        <f t="shared" si="19"/>
        <v>4.3092274532340324E-2</v>
      </c>
      <c r="Z8" s="13">
        <f t="shared" si="1"/>
        <v>-1.0496384970340222E-2</v>
      </c>
      <c r="AA8" s="12">
        <f t="shared" si="2"/>
        <v>1.1316416437786402E-2</v>
      </c>
      <c r="AB8" s="12">
        <f t="shared" si="3"/>
        <v>4.1492923378998892E-3</v>
      </c>
      <c r="AC8" s="12">
        <f t="shared" si="20"/>
        <v>1.0488816144389948E-2</v>
      </c>
      <c r="AD8" s="12" t="e">
        <f>SQRT((S8/O8)^2 + (0.0002/I8)^2)*#REF!</f>
        <v>#REF!</v>
      </c>
      <c r="AE8" s="14">
        <f t="shared" si="21"/>
        <v>6.2271951879708913</v>
      </c>
      <c r="AF8" s="1">
        <f t="shared" si="22"/>
        <v>6.6056372572652924</v>
      </c>
      <c r="AG8" s="14">
        <f t="shared" si="23"/>
        <v>2.7893717026769949</v>
      </c>
      <c r="AH8" s="14" t="e">
        <f>X8*#REF!^2</f>
        <v>#REF!</v>
      </c>
      <c r="AI8" s="14">
        <f t="shared" si="4"/>
        <v>243.63307681403944</v>
      </c>
      <c r="AJ8" s="15">
        <f t="shared" si="5"/>
        <v>274.14525591507521</v>
      </c>
      <c r="AK8" s="16">
        <f t="shared" si="6"/>
        <v>48.883700454400241</v>
      </c>
      <c r="AL8" s="15">
        <f t="shared" si="7"/>
        <v>130.60958635472107</v>
      </c>
      <c r="AM8" s="2"/>
      <c r="AN8" s="12"/>
      <c r="AO8" s="14"/>
      <c r="AP8" s="14"/>
      <c r="AQ8" s="11"/>
      <c r="AR8" s="11"/>
      <c r="AS8" s="12"/>
      <c r="AT8" s="11"/>
      <c r="AU8" s="18"/>
      <c r="AV8" s="18"/>
      <c r="AW8" s="18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4"/>
      <c r="BJ8" s="14"/>
      <c r="BK8" s="14"/>
      <c r="BL8" s="19"/>
      <c r="BM8" s="12"/>
      <c r="BN8" s="12"/>
      <c r="BO8" s="12"/>
      <c r="BR8" s="17"/>
      <c r="BS8" s="20"/>
      <c r="BT8" s="20"/>
      <c r="BU8" s="21"/>
      <c r="CB8" s="14"/>
      <c r="CC8" s="14"/>
      <c r="CD8" s="14"/>
      <c r="CE8" s="14"/>
      <c r="CJ8" s="12"/>
    </row>
    <row r="9" spans="1:115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24"/>
        <v>0.22521170209682764</v>
      </c>
      <c r="I9" s="12">
        <f t="shared" si="25"/>
        <v>0.45863101541364532</v>
      </c>
      <c r="J9" s="12">
        <f t="shared" si="8"/>
        <v>6.9099820207678214E-2</v>
      </c>
      <c r="K9" s="12">
        <f t="shared" si="9"/>
        <v>6.4863931934160332E-2</v>
      </c>
      <c r="L9" s="12">
        <f t="shared" si="10"/>
        <v>6.6216221685319709E-2</v>
      </c>
      <c r="M9" s="13">
        <f t="shared" si="11"/>
        <v>4.4881067966578841E-2</v>
      </c>
      <c r="N9" s="13">
        <f>SUM(M$3:$M9)</f>
        <v>0.42526914876042587</v>
      </c>
      <c r="O9" s="69">
        <f t="shared" si="26"/>
        <v>0.70378410919722889</v>
      </c>
      <c r="P9" s="12">
        <f t="shared" si="12"/>
        <v>1.4548020576010275E-4</v>
      </c>
      <c r="Q9" s="21">
        <f t="shared" si="13"/>
        <v>4.3650510903554069E-9</v>
      </c>
      <c r="R9" s="11">
        <f>SUM(Q$2:$Q9)</f>
        <v>6.7987856644900228E-8</v>
      </c>
      <c r="S9" s="12">
        <f t="shared" si="14"/>
        <v>1.0116014471837113E-3</v>
      </c>
      <c r="T9" s="3">
        <f t="shared" si="0"/>
        <v>0.34859276561948638</v>
      </c>
      <c r="U9" s="1">
        <f t="shared" si="15"/>
        <v>1.5031752276163776E-3</v>
      </c>
      <c r="V9" s="1">
        <f t="shared" si="16"/>
        <v>0.96578040360719319</v>
      </c>
      <c r="W9" s="1">
        <f t="shared" si="17"/>
        <v>4.1665374526230767E-3</v>
      </c>
      <c r="X9" s="11">
        <f t="shared" si="18"/>
        <v>6.3057812907093878</v>
      </c>
      <c r="Y9" s="12">
        <f t="shared" si="19"/>
        <v>4.3291374206908172E-2</v>
      </c>
      <c r="Z9" s="13">
        <f t="shared" si="1"/>
        <v>-1.1742019172793605E-2</v>
      </c>
      <c r="AA9" s="12">
        <f t="shared" si="2"/>
        <v>1.1433184118695273E-2</v>
      </c>
      <c r="AB9" s="12">
        <f t="shared" si="3"/>
        <v>4.1623974029366129E-3</v>
      </c>
      <c r="AC9" s="12">
        <f t="shared" si="20"/>
        <v>1.0559845578843943E-2</v>
      </c>
      <c r="AD9" s="12" t="e">
        <f>SQRT((S9/O9)^2 + (0.0002/I9)^2)*#REF!</f>
        <v>#REF!</v>
      </c>
      <c r="AE9" s="14">
        <f t="shared" si="21"/>
        <v>6.2499781551728031</v>
      </c>
      <c r="AF9" s="1">
        <f t="shared" si="22"/>
        <v>6.6474458989041461</v>
      </c>
      <c r="AG9" s="14">
        <f t="shared" si="23"/>
        <v>2.7914999879008149</v>
      </c>
      <c r="AH9" s="14" t="e">
        <f>X9*#REF!^2</f>
        <v>#REF!</v>
      </c>
      <c r="AI9" s="14">
        <f t="shared" si="4"/>
        <v>246.31785981256161</v>
      </c>
      <c r="AJ9" s="15">
        <f t="shared" si="5"/>
        <v>278.64324974509987</v>
      </c>
      <c r="AK9" s="16">
        <f t="shared" si="6"/>
        <v>49.137625296468137</v>
      </c>
      <c r="AL9" s="15">
        <f t="shared" si="7"/>
        <v>131.87991425335616</v>
      </c>
      <c r="AM9" s="2"/>
      <c r="AN9" s="12"/>
      <c r="AO9" s="14"/>
      <c r="AP9" s="14"/>
      <c r="AQ9" s="11"/>
      <c r="AR9" s="11"/>
      <c r="AS9" s="12"/>
      <c r="AT9" s="11"/>
      <c r="AU9" s="18"/>
      <c r="AV9" s="18"/>
      <c r="AW9" s="18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4"/>
      <c r="BJ9" s="14"/>
      <c r="BK9" s="14"/>
      <c r="BL9" s="19"/>
      <c r="BM9" s="12"/>
      <c r="BN9" s="12"/>
      <c r="BO9" s="12"/>
      <c r="BR9" s="17"/>
      <c r="BS9" s="20"/>
      <c r="BT9" s="20"/>
      <c r="BU9" s="21"/>
      <c r="CB9" s="14"/>
      <c r="CC9" s="14"/>
      <c r="CD9" s="14"/>
      <c r="CE9" s="14"/>
      <c r="CJ9" s="12"/>
    </row>
    <row r="10" spans="1:115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24"/>
        <v>0.22385681498604035</v>
      </c>
      <c r="I10" s="12">
        <f t="shared" si="25"/>
        <v>0.45611952450214632</v>
      </c>
      <c r="J10" s="12">
        <f t="shared" si="8"/>
        <v>6.7975417265587409E-2</v>
      </c>
      <c r="K10" s="12">
        <f t="shared" si="9"/>
        <v>6.441616206422883E-2</v>
      </c>
      <c r="L10" s="12">
        <f t="shared" si="10"/>
        <v>6.5559679104085083E-2</v>
      </c>
      <c r="M10" s="13">
        <f t="shared" si="11"/>
        <v>5.6052926145873337E-2</v>
      </c>
      <c r="N10" s="13">
        <f>SUM(M$3:$M10)</f>
        <v>0.48132207490629919</v>
      </c>
      <c r="O10" s="69">
        <f t="shared" si="26"/>
        <v>0.70271532874218112</v>
      </c>
      <c r="P10" s="12">
        <f t="shared" si="12"/>
        <v>1.4393847616358112E-4</v>
      </c>
      <c r="Q10" s="21">
        <f t="shared" si="13"/>
        <v>6.8066340632979484E-9</v>
      </c>
      <c r="R10" s="11">
        <f>SUM(Q$2:$Q10)</f>
        <v>7.4794490708198178E-8</v>
      </c>
      <c r="S10" s="12">
        <f t="shared" si="14"/>
        <v>1.0131179179716141E-3</v>
      </c>
      <c r="T10" s="3">
        <f t="shared" si="0"/>
        <v>0.34700703659252674</v>
      </c>
      <c r="U10" s="1">
        <f t="shared" si="15"/>
        <v>1.5008597310523608E-3</v>
      </c>
      <c r="V10" s="1">
        <f t="shared" si="16"/>
        <v>0.96138712247599378</v>
      </c>
      <c r="W10" s="1">
        <f t="shared" si="17"/>
        <v>4.1601223418499854E-3</v>
      </c>
      <c r="X10" s="11">
        <f t="shared" si="18"/>
        <v>6.3345970188529019</v>
      </c>
      <c r="Y10" s="12">
        <f t="shared" si="19"/>
        <v>4.354110468474514E-2</v>
      </c>
      <c r="Z10" s="13">
        <f t="shared" si="1"/>
        <v>-1.32998499954744E-2</v>
      </c>
      <c r="AA10" s="12">
        <f t="shared" si="2"/>
        <v>1.1510618653822687E-2</v>
      </c>
      <c r="AB10" s="12">
        <f t="shared" si="3"/>
        <v>4.16774961139545E-3</v>
      </c>
      <c r="AC10" s="12">
        <f t="shared" si="20"/>
        <v>1.0648574183574974E-2</v>
      </c>
      <c r="AD10" s="12" t="e">
        <f>SQRT((S10/O10)^2 + (0.0002/I10)^2)*#REF!</f>
        <v>#REF!</v>
      </c>
      <c r="AE10" s="14">
        <f t="shared" si="21"/>
        <v>6.2782571867289567</v>
      </c>
      <c r="AF10" s="1">
        <f t="shared" si="22"/>
        <v>6.6688455505204045</v>
      </c>
      <c r="AG10" s="14">
        <f t="shared" si="23"/>
        <v>2.7872607608589628</v>
      </c>
      <c r="AH10" s="14" t="e">
        <f>X10*#REF!^2</f>
        <v>#REF!</v>
      </c>
      <c r="AI10" s="14">
        <f t="shared" si="4"/>
        <v>249.68772766094656</v>
      </c>
      <c r="AJ10" s="15">
        <f t="shared" si="5"/>
        <v>281.72170670492881</v>
      </c>
      <c r="AK10" s="16">
        <f t="shared" si="6"/>
        <v>49.212360159045168</v>
      </c>
      <c r="AL10" s="15">
        <f t="shared" si="7"/>
        <v>135.24601782086506</v>
      </c>
      <c r="AM10" s="2"/>
      <c r="AN10" s="12"/>
      <c r="AO10" s="14"/>
      <c r="AP10" s="14"/>
      <c r="AQ10" s="11"/>
      <c r="AR10" s="11"/>
      <c r="AS10" s="12"/>
      <c r="AT10" s="11"/>
      <c r="AU10" s="18"/>
      <c r="AV10" s="18"/>
      <c r="AW10" s="18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4"/>
      <c r="BJ10" s="14"/>
      <c r="BK10" s="14"/>
      <c r="BL10" s="19"/>
      <c r="BM10" s="12"/>
      <c r="BN10" s="12"/>
      <c r="BO10" s="12"/>
      <c r="BR10" s="17"/>
      <c r="BS10" s="20"/>
      <c r="BT10" s="20"/>
      <c r="BU10" s="21"/>
      <c r="CB10" s="14"/>
      <c r="CC10" s="14"/>
      <c r="CD10" s="14"/>
      <c r="CE10" s="14"/>
      <c r="CJ10" s="12"/>
    </row>
    <row r="11" spans="1:115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24"/>
        <v>0.22274779920561125</v>
      </c>
      <c r="I11" s="12">
        <f t="shared" si="25"/>
        <v>0.45422884449220302</v>
      </c>
      <c r="J11" s="12">
        <f t="shared" si="8"/>
        <v>6.7029911598527267E-2</v>
      </c>
      <c r="K11" s="12">
        <f t="shared" si="9"/>
        <v>6.3349206158292828E-2</v>
      </c>
      <c r="L11" s="12">
        <f t="shared" si="10"/>
        <v>6.4529630152241446E-2</v>
      </c>
      <c r="M11" s="13">
        <f t="shared" si="11"/>
        <v>4.6489681940862518E-2</v>
      </c>
      <c r="N11" s="13">
        <f>SUM(M$3:$M11)</f>
        <v>0.52781175684716175</v>
      </c>
      <c r="O11" s="69">
        <f t="shared" si="26"/>
        <v>0.70183135350693815</v>
      </c>
      <c r="P11" s="12">
        <f t="shared" si="12"/>
        <v>1.4137639436247103E-4</v>
      </c>
      <c r="Q11" s="21">
        <f t="shared" si="13"/>
        <v>4.6994311607138134E-9</v>
      </c>
      <c r="R11" s="11">
        <f>SUM(Q$2:$Q11)</f>
        <v>7.9493921868911995E-8</v>
      </c>
      <c r="S11" s="12">
        <f t="shared" si="14"/>
        <v>1.0143730873576528E-3</v>
      </c>
      <c r="T11" s="3">
        <f t="shared" si="0"/>
        <v>0.3456991388941959</v>
      </c>
      <c r="U11" s="1">
        <f t="shared" si="15"/>
        <v>1.498940882584213E-3</v>
      </c>
      <c r="V11" s="1">
        <f t="shared" si="16"/>
        <v>0.95776357634552212</v>
      </c>
      <c r="W11" s="1">
        <f t="shared" si="17"/>
        <v>4.1548061493445684E-3</v>
      </c>
      <c r="X11" s="11">
        <f t="shared" si="18"/>
        <v>6.3585629589686707</v>
      </c>
      <c r="Y11" s="12">
        <f t="shared" si="19"/>
        <v>4.3749131790900418E-2</v>
      </c>
      <c r="Z11" s="13">
        <f t="shared" si="1"/>
        <v>-1.4593693900251448E-2</v>
      </c>
      <c r="AA11" s="12">
        <f t="shared" si="2"/>
        <v>1.1631114446816037E-2</v>
      </c>
      <c r="AB11" s="12">
        <f t="shared" si="3"/>
        <v>4.1686432834502508E-3</v>
      </c>
      <c r="AC11" s="12">
        <f t="shared" si="20"/>
        <v>1.0722207375163474E-2</v>
      </c>
      <c r="AD11" s="12" t="e">
        <f>SQRT((S11/O11)^2 + (0.0002/I11)^2)*#REF!</f>
        <v>#REF!</v>
      </c>
      <c r="AE11" s="14">
        <f t="shared" si="21"/>
        <v>6.3015783411543422</v>
      </c>
      <c r="AF11" s="1">
        <f t="shared" si="22"/>
        <v>6.7114101433219107</v>
      </c>
      <c r="AG11" s="14">
        <f t="shared" si="23"/>
        <v>2.7815479932022091</v>
      </c>
      <c r="AH11" s="14" t="e">
        <f>X11*#REF!^2</f>
        <v>#REF!</v>
      </c>
      <c r="AI11" s="14">
        <f t="shared" si="4"/>
        <v>252.49783304983711</v>
      </c>
      <c r="AJ11" s="15">
        <f t="shared" si="5"/>
        <v>286.40891739488569</v>
      </c>
      <c r="AK11" s="16">
        <f t="shared" si="6"/>
        <v>49.196260357043343</v>
      </c>
      <c r="AL11" s="15">
        <f t="shared" si="7"/>
        <v>137.14977016322612</v>
      </c>
      <c r="AM11" s="2"/>
      <c r="AN11" s="12"/>
      <c r="AO11" s="14"/>
      <c r="AP11" s="14"/>
      <c r="AQ11" s="11"/>
      <c r="AR11" s="11"/>
      <c r="AS11" s="12"/>
      <c r="AT11" s="11"/>
      <c r="AU11" s="18"/>
      <c r="AV11" s="18"/>
      <c r="AW11" s="18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4"/>
      <c r="BJ11" s="14"/>
      <c r="BK11" s="14"/>
      <c r="BL11" s="19"/>
      <c r="BM11" s="12"/>
      <c r="BN11" s="12"/>
      <c r="BO11" s="12"/>
      <c r="BR11" s="17"/>
      <c r="BS11" s="20"/>
      <c r="BT11" s="20"/>
      <c r="BU11" s="21"/>
      <c r="CB11" s="14"/>
      <c r="CC11" s="14"/>
      <c r="CD11" s="14"/>
      <c r="CE11" s="14"/>
      <c r="CJ11" s="12"/>
    </row>
    <row r="12" spans="1:115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24"/>
        <v>0.22187052364060914</v>
      </c>
      <c r="I12" s="12">
        <f t="shared" si="25"/>
        <v>0.452853228534708</v>
      </c>
      <c r="J12" s="12">
        <f t="shared" si="8"/>
        <v>6.6393260960575406E-2</v>
      </c>
      <c r="K12" s="12">
        <f t="shared" si="9"/>
        <v>6.2676077724025267E-2</v>
      </c>
      <c r="L12" s="12">
        <f t="shared" si="10"/>
        <v>6.386729755440064E-2</v>
      </c>
      <c r="M12" s="13">
        <f t="shared" si="11"/>
        <v>3.7330198279963228E-2</v>
      </c>
      <c r="N12" s="13">
        <f>SUM(M$3:$M12)</f>
        <v>0.56514195512712495</v>
      </c>
      <c r="O12" s="69">
        <f t="shared" si="26"/>
        <v>0.70112314897862527</v>
      </c>
      <c r="P12" s="12">
        <f t="shared" si="12"/>
        <v>1.4015569129308025E-4</v>
      </c>
      <c r="Q12" s="21">
        <f t="shared" si="13"/>
        <v>3.0482080873313215E-9</v>
      </c>
      <c r="R12" s="11">
        <f>SUM(Q$2:$Q12)</f>
        <v>8.2542129956243318E-8</v>
      </c>
      <c r="S12" s="12">
        <f t="shared" si="14"/>
        <v>1.0153792166069557E-3</v>
      </c>
      <c r="T12" s="3">
        <f t="shared" si="0"/>
        <v>0.34465367948900993</v>
      </c>
      <c r="U12" s="1">
        <f t="shared" si="15"/>
        <v>1.4974010639502845E-3</v>
      </c>
      <c r="V12" s="1">
        <f t="shared" si="16"/>
        <v>0.95486711862787244</v>
      </c>
      <c r="W12" s="1">
        <f t="shared" si="17"/>
        <v>4.1505400635033583E-3</v>
      </c>
      <c r="X12" s="11">
        <f t="shared" si="18"/>
        <v>6.3778507827887347</v>
      </c>
      <c r="Y12" s="12">
        <f t="shared" si="19"/>
        <v>4.3916766749883131E-2</v>
      </c>
      <c r="Z12" s="13">
        <f t="shared" si="1"/>
        <v>-1.5633801179061657E-2</v>
      </c>
      <c r="AA12" s="12">
        <f t="shared" si="2"/>
        <v>1.1708553961315031E-2</v>
      </c>
      <c r="AB12" s="12">
        <f t="shared" si="3"/>
        <v>4.17928261644378E-3</v>
      </c>
      <c r="AC12" s="12">
        <f t="shared" si="20"/>
        <v>1.0781126500246494E-2</v>
      </c>
      <c r="AD12" s="12" t="e">
        <f>SQRT((S12/O12)^2 + (0.0002/I12)^2)*#REF!</f>
        <v>#REF!</v>
      </c>
      <c r="AE12" s="14">
        <f t="shared" si="21"/>
        <v>6.3201108238633834</v>
      </c>
      <c r="AF12" s="1">
        <f t="shared" si="22"/>
        <v>6.7368490573926891</v>
      </c>
      <c r="AG12" s="14">
        <f t="shared" si="23"/>
        <v>2.7831533431890301</v>
      </c>
      <c r="AH12" s="14" t="e">
        <f>X12*#REF!^2</f>
        <v>#REF!</v>
      </c>
      <c r="AI12" s="14">
        <f t="shared" si="4"/>
        <v>254.75560136511987</v>
      </c>
      <c r="AJ12" s="15">
        <f t="shared" si="5"/>
        <v>289.45962020319689</v>
      </c>
      <c r="AK12" s="16">
        <f t="shared" si="6"/>
        <v>49.402465639266666</v>
      </c>
      <c r="AL12" s="15">
        <f t="shared" si="7"/>
        <v>138.59866066754802</v>
      </c>
      <c r="AM12" s="2"/>
      <c r="AN12" s="12"/>
      <c r="AO12" s="14"/>
      <c r="AP12" s="14"/>
      <c r="AQ12" s="11"/>
      <c r="AR12" s="11"/>
      <c r="AS12" s="12"/>
      <c r="AT12" s="11"/>
      <c r="AU12" s="18"/>
      <c r="AV12" s="18"/>
      <c r="AW12" s="18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4"/>
      <c r="BJ12" s="14"/>
      <c r="BK12" s="14"/>
      <c r="BL12" s="19"/>
      <c r="BM12" s="12"/>
      <c r="BN12" s="12"/>
      <c r="BO12" s="12"/>
      <c r="BR12" s="17"/>
      <c r="BS12" s="20"/>
      <c r="BT12" s="20"/>
      <c r="BU12" s="21"/>
      <c r="CB12" s="14"/>
      <c r="CC12" s="14"/>
      <c r="CD12" s="14"/>
      <c r="CE12" s="14"/>
      <c r="CJ12" s="12"/>
    </row>
    <row r="13" spans="1:115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24"/>
        <v>0.22082410407880568</v>
      </c>
      <c r="I13" s="12">
        <f t="shared" si="25"/>
        <v>0.45133628442562346</v>
      </c>
      <c r="J13" s="12">
        <f t="shared" si="8"/>
        <v>6.5535439191813594E-2</v>
      </c>
      <c r="K13" s="12">
        <f t="shared" si="9"/>
        <v>6.2244195844391094E-2</v>
      </c>
      <c r="L13" s="12">
        <f t="shared" si="10"/>
        <v>6.3303219947428907E-2</v>
      </c>
      <c r="M13" s="13">
        <f t="shared" si="11"/>
        <v>4.5430231240199993E-2</v>
      </c>
      <c r="N13" s="13">
        <f>SUM(M$3:$M13)</f>
        <v>0.61057218636732491</v>
      </c>
      <c r="O13" s="69">
        <f t="shared" si="26"/>
        <v>0.70026320157591626</v>
      </c>
      <c r="P13" s="12">
        <f t="shared" si="12"/>
        <v>1.3890838379065608E-4</v>
      </c>
      <c r="Q13" s="21">
        <f t="shared" si="13"/>
        <v>4.5241558546774555E-9</v>
      </c>
      <c r="R13" s="11">
        <f>SUM(Q$2:$Q13)</f>
        <v>8.7066285810920778E-8</v>
      </c>
      <c r="S13" s="12">
        <f t="shared" si="14"/>
        <v>1.0166015044094261E-3</v>
      </c>
      <c r="T13" s="3">
        <f t="shared" si="0"/>
        <v>0.34338705181247631</v>
      </c>
      <c r="U13" s="1">
        <f t="shared" si="15"/>
        <v>1.4955282214530418E-3</v>
      </c>
      <c r="V13" s="1">
        <f t="shared" si="16"/>
        <v>0.95135791158369065</v>
      </c>
      <c r="W13" s="1">
        <f t="shared" si="17"/>
        <v>4.1453513310875691E-3</v>
      </c>
      <c r="X13" s="11">
        <f t="shared" si="18"/>
        <v>6.401376312582717</v>
      </c>
      <c r="Y13" s="12">
        <f t="shared" si="19"/>
        <v>4.4121490023361173E-2</v>
      </c>
      <c r="Z13" s="13">
        <f t="shared" si="1"/>
        <v>-1.6901011038368385E-2</v>
      </c>
      <c r="AA13" s="12">
        <f t="shared" si="2"/>
        <v>1.1772993500070581E-2</v>
      </c>
      <c r="AB13" s="12">
        <f t="shared" si="3"/>
        <v>4.1818290964283546E-3</v>
      </c>
      <c r="AC13" s="12">
        <f t="shared" si="20"/>
        <v>1.0852225261777837E-2</v>
      </c>
      <c r="AD13" s="12" t="e">
        <f>SQRT((S13/O13)^2 + (0.0002/I13)^2)*#REF!</f>
        <v>#REF!</v>
      </c>
      <c r="AE13" s="14">
        <f t="shared" si="21"/>
        <v>6.342271415497402</v>
      </c>
      <c r="AF13" s="1">
        <f t="shared" si="22"/>
        <v>6.7545469603902113</v>
      </c>
      <c r="AG13" s="14">
        <f t="shared" si="23"/>
        <v>2.7786367290911542</v>
      </c>
      <c r="AH13" s="14" t="e">
        <f>X13*#REF!^2</f>
        <v>#REF!</v>
      </c>
      <c r="AI13" s="14">
        <f t="shared" si="4"/>
        <v>257.49156428723097</v>
      </c>
      <c r="AJ13" s="15">
        <f t="shared" si="5"/>
        <v>292.05578245077538</v>
      </c>
      <c r="AK13" s="16">
        <f t="shared" si="6"/>
        <v>49.423887526995046</v>
      </c>
      <c r="AL13" s="15">
        <f t="shared" si="7"/>
        <v>141.36168015146868</v>
      </c>
      <c r="AM13" s="2"/>
      <c r="AN13" s="12"/>
      <c r="AO13" s="14"/>
      <c r="AP13" s="14"/>
      <c r="AQ13" s="11"/>
      <c r="AR13" s="11"/>
      <c r="AS13" s="12"/>
      <c r="AT13" s="11"/>
      <c r="AU13" s="18"/>
      <c r="AV13" s="18"/>
      <c r="AW13" s="18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4"/>
      <c r="BJ13" s="14"/>
      <c r="BK13" s="14"/>
      <c r="BL13" s="19"/>
      <c r="BM13" s="12"/>
      <c r="BN13" s="12"/>
      <c r="BO13" s="12"/>
      <c r="BR13" s="17"/>
      <c r="BS13" s="20"/>
      <c r="BT13" s="20"/>
      <c r="BU13" s="21"/>
      <c r="CB13" s="14"/>
      <c r="CC13" s="14"/>
      <c r="CD13" s="14"/>
      <c r="CE13" s="14"/>
      <c r="CJ13" s="12"/>
    </row>
    <row r="14" spans="1:115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24"/>
        <v>0.21994081134017748</v>
      </c>
      <c r="I14" s="12">
        <f t="shared" si="25"/>
        <v>0.45012438377108616</v>
      </c>
      <c r="J14" s="12">
        <f t="shared" si="8"/>
        <v>6.4799211207943866E-2</v>
      </c>
      <c r="K14" s="12">
        <f t="shared" si="9"/>
        <v>6.1596649526846743E-2</v>
      </c>
      <c r="L14" s="12">
        <f t="shared" si="10"/>
        <v>6.2627722835244121E-2</v>
      </c>
      <c r="M14" s="13">
        <f t="shared" si="11"/>
        <v>3.9271149014608757E-2</v>
      </c>
      <c r="N14" s="13">
        <f>SUM(M$3:$M14)</f>
        <v>0.64984333538193362</v>
      </c>
      <c r="O14" s="69">
        <f t="shared" si="26"/>
        <v>0.69952153734559686</v>
      </c>
      <c r="P14" s="12">
        <f t="shared" si="12"/>
        <v>1.3732168282651387E-4</v>
      </c>
      <c r="Q14" s="21">
        <f t="shared" si="13"/>
        <v>3.400095117608118E-9</v>
      </c>
      <c r="R14" s="11">
        <f>SUM(Q$2:$Q14)</f>
        <v>9.0466380928528898E-8</v>
      </c>
      <c r="S14" s="12">
        <f t="shared" si="14"/>
        <v>1.0176561294644071E-3</v>
      </c>
      <c r="T14" s="3">
        <f t="shared" si="0"/>
        <v>0.3422971405341691</v>
      </c>
      <c r="U14" s="1">
        <f t="shared" si="15"/>
        <v>1.4939101853155947E-3</v>
      </c>
      <c r="V14" s="1">
        <f t="shared" si="16"/>
        <v>0.94833829942281023</v>
      </c>
      <c r="W14" s="1">
        <f t="shared" si="17"/>
        <v>4.1408685427224761E-3</v>
      </c>
      <c r="X14" s="11">
        <f t="shared" si="18"/>
        <v>6.4217589901268068</v>
      </c>
      <c r="Y14" s="12">
        <f t="shared" si="19"/>
        <v>4.4299091168771121E-2</v>
      </c>
      <c r="Z14" s="13">
        <f t="shared" si="1"/>
        <v>-1.7997675553804937E-2</v>
      </c>
      <c r="AA14" s="12">
        <f t="shared" si="2"/>
        <v>1.1852273933088768E-2</v>
      </c>
      <c r="AB14" s="12">
        <f t="shared" si="3"/>
        <v>4.1820099121812285E-3</v>
      </c>
      <c r="AC14" s="12">
        <f t="shared" si="20"/>
        <v>1.0912962344835379E-2</v>
      </c>
      <c r="AD14" s="12" t="e">
        <f>SQRT((S14/O14)^2 + (0.0002/I14)^2)*#REF!</f>
        <v>#REF!</v>
      </c>
      <c r="AE14" s="14">
        <f t="shared" si="21"/>
        <v>6.3609980620073525</v>
      </c>
      <c r="AF14" s="1">
        <f t="shared" si="22"/>
        <v>6.7800925277919957</v>
      </c>
      <c r="AG14" s="14">
        <f t="shared" si="23"/>
        <v>2.7734927757293124</v>
      </c>
      <c r="AH14" s="14" t="e">
        <f>X14*#REF!^2</f>
        <v>#REF!</v>
      </c>
      <c r="AI14" s="14">
        <f t="shared" si="4"/>
        <v>259.83911531378806</v>
      </c>
      <c r="AJ14" s="15">
        <f t="shared" si="5"/>
        <v>295.20604324912625</v>
      </c>
      <c r="AK14" s="16">
        <f t="shared" si="6"/>
        <v>49.397853789707838</v>
      </c>
      <c r="AL14" s="15">
        <f t="shared" si="7"/>
        <v>143.35994376670328</v>
      </c>
      <c r="AM14" s="2"/>
      <c r="AN14" s="12"/>
      <c r="AO14" s="14"/>
      <c r="AP14" s="14"/>
      <c r="AQ14" s="11"/>
      <c r="AR14" s="11"/>
      <c r="AS14" s="12"/>
      <c r="AT14" s="11"/>
      <c r="AU14" s="18"/>
      <c r="AV14" s="18"/>
      <c r="AW14" s="18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4"/>
      <c r="BJ14" s="14"/>
      <c r="BK14" s="14"/>
      <c r="BL14" s="19"/>
      <c r="BM14" s="12"/>
      <c r="BN14" s="12"/>
      <c r="BO14" s="12"/>
      <c r="BR14" s="17"/>
      <c r="BS14" s="20"/>
      <c r="BT14" s="20"/>
      <c r="BU14" s="21"/>
      <c r="CB14" s="14"/>
      <c r="CC14" s="14"/>
      <c r="CD14" s="14"/>
      <c r="CE14" s="14"/>
      <c r="CJ14" s="12"/>
    </row>
    <row r="15" spans="1:115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24"/>
        <v>0.21932757924217683</v>
      </c>
      <c r="I15" s="12">
        <f t="shared" si="25"/>
        <v>0.44929181011681552</v>
      </c>
      <c r="J15" s="12">
        <f t="shared" si="8"/>
        <v>6.4368461925116305E-2</v>
      </c>
      <c r="K15" s="12">
        <f t="shared" si="9"/>
        <v>6.1022309537404236E-2</v>
      </c>
      <c r="L15" s="12">
        <f t="shared" si="10"/>
        <v>6.2097682146983371E-2</v>
      </c>
      <c r="M15" s="13">
        <f t="shared" si="11"/>
        <v>2.7799662111124931E-2</v>
      </c>
      <c r="N15" s="13">
        <f>SUM(M$3:$M15)</f>
        <v>0.67764299749305856</v>
      </c>
      <c r="O15" s="69">
        <f t="shared" si="26"/>
        <v>0.69899746946702779</v>
      </c>
      <c r="P15" s="12">
        <f t="shared" si="12"/>
        <v>1.3635898908012113E-4</v>
      </c>
      <c r="Q15" s="21">
        <f t="shared" si="13"/>
        <v>1.7104900764775685E-9</v>
      </c>
      <c r="R15" s="11">
        <f>SUM(Q$2:$Q15)</f>
        <v>9.2176871005006468E-8</v>
      </c>
      <c r="S15" s="12">
        <f t="shared" si="14"/>
        <v>1.0184015684177074E-3</v>
      </c>
      <c r="T15" s="3">
        <f t="shared" si="0"/>
        <v>0.34152838975060607</v>
      </c>
      <c r="U15" s="1">
        <f t="shared" si="15"/>
        <v>1.4927652658587966E-3</v>
      </c>
      <c r="V15" s="1">
        <f t="shared" si="16"/>
        <v>0.9462084662327741</v>
      </c>
      <c r="W15" s="1">
        <f t="shared" si="17"/>
        <v>4.1376965297487724E-3</v>
      </c>
      <c r="X15" s="11">
        <f t="shared" si="18"/>
        <v>6.4362138126354651</v>
      </c>
      <c r="Y15" s="12">
        <f t="shared" si="19"/>
        <v>4.4425168304687679E-2</v>
      </c>
      <c r="Z15" s="13">
        <f t="shared" si="1"/>
        <v>-1.8774696132232704E-2</v>
      </c>
      <c r="AA15" s="12">
        <f t="shared" si="2"/>
        <v>1.1915933070322847E-2</v>
      </c>
      <c r="AB15" s="12">
        <f t="shared" si="3"/>
        <v>4.189972697270939E-3</v>
      </c>
      <c r="AC15" s="12">
        <f t="shared" si="20"/>
        <v>1.0955526912968139E-2</v>
      </c>
      <c r="AD15" s="12" t="e">
        <f>SQRT((S15/O15)^2 + (0.0002/I15)^2)*#REF!</f>
        <v>#REF!</v>
      </c>
      <c r="AE15" s="14">
        <f t="shared" si="21"/>
        <v>6.3740043261518853</v>
      </c>
      <c r="AF15" s="1">
        <f t="shared" si="22"/>
        <v>6.801381894770353</v>
      </c>
      <c r="AG15" s="14">
        <f t="shared" si="23"/>
        <v>2.7747153219257621</v>
      </c>
      <c r="AH15" s="14" t="e">
        <f>X15*#REF!^2</f>
        <v>#REF!</v>
      </c>
      <c r="AI15" s="14">
        <f t="shared" si="4"/>
        <v>261.49005164516439</v>
      </c>
      <c r="AJ15" s="15">
        <f t="shared" si="5"/>
        <v>297.73149970190752</v>
      </c>
      <c r="AK15" s="16">
        <f t="shared" si="6"/>
        <v>49.552700530834805</v>
      </c>
      <c r="AL15" s="15">
        <f t="shared" si="7"/>
        <v>144.26392655512319</v>
      </c>
      <c r="AM15" s="2"/>
      <c r="AN15" s="12"/>
      <c r="AO15" s="14"/>
      <c r="AP15" s="14"/>
      <c r="AQ15" s="11"/>
      <c r="AR15" s="11"/>
      <c r="AS15" s="12"/>
      <c r="AT15" s="11"/>
      <c r="AU15" s="18"/>
      <c r="AV15" s="18"/>
      <c r="AW15" s="18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4"/>
      <c r="BJ15" s="14"/>
      <c r="BK15" s="14"/>
      <c r="BL15" s="19"/>
      <c r="BM15" s="12"/>
      <c r="BN15" s="12"/>
      <c r="BO15" s="12"/>
      <c r="BR15" s="17"/>
      <c r="BS15" s="20"/>
      <c r="BT15" s="20"/>
      <c r="BU15" s="21"/>
      <c r="CB15" s="14"/>
      <c r="CC15" s="14"/>
      <c r="CD15" s="14"/>
      <c r="CE15" s="14"/>
      <c r="CJ15" s="12"/>
    </row>
    <row r="16" spans="1:115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24"/>
        <v>0.218547505866445</v>
      </c>
      <c r="I16" s="12">
        <f t="shared" si="25"/>
        <v>0.4482071739054741</v>
      </c>
      <c r="J16" s="55">
        <f t="shared" si="8"/>
        <v>6.3809325207459952E-2</v>
      </c>
      <c r="K16" s="12">
        <f t="shared" si="9"/>
        <v>6.0492296827644176E-2</v>
      </c>
      <c r="L16" s="12">
        <f t="shared" si="10"/>
        <v>6.1558314591475469E-2</v>
      </c>
      <c r="M16" s="56">
        <f t="shared" si="11"/>
        <v>3.5862602552236097E-2</v>
      </c>
      <c r="N16" s="56">
        <f>SUM(M$3:$M16)</f>
        <v>0.71350560004529462</v>
      </c>
      <c r="O16" s="69">
        <f t="shared" si="26"/>
        <v>0.69832256110316393</v>
      </c>
      <c r="P16" s="55">
        <f t="shared" si="12"/>
        <v>1.3540186741751415E-4</v>
      </c>
      <c r="Q16" s="57">
        <f t="shared" si="13"/>
        <v>2.8387457116006314E-9</v>
      </c>
      <c r="R16" s="53">
        <f>SUM(Q$2:$Q16)</f>
        <v>9.5015616716607097E-8</v>
      </c>
      <c r="S16" s="55">
        <f t="shared" si="14"/>
        <v>1.0193618146491371E-3</v>
      </c>
      <c r="T16" s="54">
        <f t="shared" si="0"/>
        <v>0.34054006908430179</v>
      </c>
      <c r="U16" s="58">
        <f t="shared" si="15"/>
        <v>1.4912888203159483E-3</v>
      </c>
      <c r="V16" s="58">
        <f t="shared" si="16"/>
        <v>0.94347031207085275</v>
      </c>
      <c r="W16" s="58">
        <f t="shared" si="17"/>
        <v>4.1336060198102148E-3</v>
      </c>
      <c r="X16" s="11">
        <f t="shared" si="18"/>
        <v>6.4548930921131653</v>
      </c>
      <c r="Y16" s="55">
        <f t="shared" si="19"/>
        <v>4.4588247659448986E-2</v>
      </c>
      <c r="Z16" s="56">
        <f t="shared" si="1"/>
        <v>-1.9777941897510698E-2</v>
      </c>
      <c r="AA16" s="55">
        <f t="shared" si="2"/>
        <v>1.198113792214341E-2</v>
      </c>
      <c r="AB16" s="55">
        <f t="shared" si="3"/>
        <v>4.19871590756812E-3</v>
      </c>
      <c r="AC16" s="55">
        <f t="shared" si="20"/>
        <v>1.1010130215195578E-2</v>
      </c>
      <c r="AD16" s="55" t="e">
        <f>SQRT((S16/O16)^2 + (0.0002/I16)^2)*#REF!</f>
        <v>#REF!</v>
      </c>
      <c r="AE16" s="14">
        <f t="shared" si="21"/>
        <v>6.3905790947796115</v>
      </c>
      <c r="AF16" s="1">
        <f t="shared" si="22"/>
        <v>6.8213641868884807</v>
      </c>
      <c r="AG16" s="14">
        <f t="shared" si="23"/>
        <v>2.7753412984826831</v>
      </c>
      <c r="AH16" s="59" t="e">
        <f>X16*#REF!^2</f>
        <v>#REF!</v>
      </c>
      <c r="AI16" s="59">
        <f t="shared" si="4"/>
        <v>263.61461396585463</v>
      </c>
      <c r="AJ16" s="15">
        <f t="shared" si="5"/>
        <v>300.35269095252937</v>
      </c>
      <c r="AK16" s="16">
        <f t="shared" si="6"/>
        <v>49.718938770311055</v>
      </c>
      <c r="AL16" s="60">
        <f t="shared" si="7"/>
        <v>145.80769793189512</v>
      </c>
      <c r="AM16" s="2"/>
      <c r="AN16" s="55"/>
      <c r="AO16" s="59"/>
      <c r="AP16" s="59"/>
      <c r="AQ16" s="53"/>
      <c r="AR16" s="53"/>
      <c r="AS16" s="55"/>
      <c r="AT16" s="53"/>
      <c r="AU16" s="63"/>
      <c r="AV16" s="63"/>
      <c r="AW16" s="6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9"/>
      <c r="BJ16" s="59"/>
      <c r="BK16" s="59"/>
      <c r="BL16" s="55"/>
      <c r="BM16" s="55"/>
      <c r="BN16" s="55"/>
      <c r="BO16" s="55"/>
      <c r="BR16" s="62"/>
      <c r="BS16" s="64"/>
      <c r="BT16" s="64"/>
      <c r="BU16" s="57"/>
      <c r="CB16" s="59"/>
      <c r="CC16" s="59"/>
      <c r="CD16" s="59"/>
      <c r="CE16" s="59"/>
      <c r="CJ16" s="55"/>
    </row>
    <row r="17" spans="1:88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24"/>
        <v>0.21783463460824193</v>
      </c>
      <c r="I17" s="12">
        <f t="shared" si="25"/>
        <v>0.44716414619433736</v>
      </c>
      <c r="J17" s="12">
        <f t="shared" si="8"/>
        <v>6.3155366897656787E-2</v>
      </c>
      <c r="K17" s="12">
        <f t="shared" si="9"/>
        <v>6.002568771971363E-2</v>
      </c>
      <c r="L17" s="12">
        <f t="shared" si="10"/>
        <v>6.1033219970663376E-2</v>
      </c>
      <c r="M17" s="13">
        <f t="shared" si="11"/>
        <v>3.2790639840005999E-2</v>
      </c>
      <c r="N17" s="13">
        <f>SUM(M$3:$M17)</f>
        <v>0.74629623988530058</v>
      </c>
      <c r="O17" s="69">
        <f t="shared" si="26"/>
        <v>0.69770660448104271</v>
      </c>
      <c r="P17" s="12">
        <f t="shared" si="12"/>
        <v>1.3390192775030208E-4</v>
      </c>
      <c r="Q17" s="21">
        <f t="shared" si="13"/>
        <v>2.3727186493252283E-9</v>
      </c>
      <c r="R17" s="11">
        <f>SUM(Q$2:$Q17)</f>
        <v>9.7388335365932324E-8</v>
      </c>
      <c r="S17" s="12">
        <f t="shared" si="14"/>
        <v>1.0202384044022722E-3</v>
      </c>
      <c r="T17" s="13">
        <f t="shared" si="0"/>
        <v>0.33963974181695861</v>
      </c>
      <c r="U17" s="1">
        <f t="shared" si="15"/>
        <v>1.4899393500252382E-3</v>
      </c>
      <c r="V17" s="1">
        <f t="shared" si="16"/>
        <v>0.94097594466742129</v>
      </c>
      <c r="W17" s="1">
        <f t="shared" si="17"/>
        <v>4.1298672963180558E-3</v>
      </c>
      <c r="X17" s="11">
        <f t="shared" si="18"/>
        <v>6.4720039173290989</v>
      </c>
      <c r="Y17" s="12">
        <f t="shared" si="19"/>
        <v>4.4737787211383537E-2</v>
      </c>
      <c r="Z17" s="13">
        <f t="shared" si="1"/>
        <v>-2.0696098580216926E-2</v>
      </c>
      <c r="AA17" s="12">
        <f t="shared" si="2"/>
        <v>1.2046584470066778E-2</v>
      </c>
      <c r="AB17" s="12">
        <f t="shared" si="3"/>
        <v>4.1911412738764387E-3</v>
      </c>
      <c r="AC17" s="12">
        <f t="shared" si="20"/>
        <v>1.1060423909812845E-2</v>
      </c>
      <c r="AD17" s="12" t="e">
        <f>SQRT((S17/O17)^2 + (0.0002/I17)^2)*#REF!</f>
        <v>#REF!</v>
      </c>
      <c r="AE17" s="14">
        <f t="shared" si="21"/>
        <v>6.4058372144155307</v>
      </c>
      <c r="AF17" s="1">
        <f t="shared" si="22"/>
        <v>6.8420813566536287</v>
      </c>
      <c r="AG17" s="14">
        <f t="shared" si="23"/>
        <v>2.7662968526311107</v>
      </c>
      <c r="AH17" s="14" t="e">
        <f>X17*#REF!^2</f>
        <v>#REF!</v>
      </c>
      <c r="AI17" s="14">
        <f t="shared" si="4"/>
        <v>265.57706544927032</v>
      </c>
      <c r="AJ17" s="15">
        <f t="shared" si="5"/>
        <v>302.98089161393386</v>
      </c>
      <c r="AK17" s="16">
        <f t="shared" si="6"/>
        <v>49.526351624909026</v>
      </c>
      <c r="AL17" s="15">
        <f t="shared" si="7"/>
        <v>147.8224491171205</v>
      </c>
      <c r="AM17" s="2"/>
      <c r="AN17" s="12"/>
      <c r="AO17" s="14"/>
      <c r="AP17" s="14"/>
      <c r="AQ17" s="11"/>
      <c r="AR17" s="11"/>
      <c r="AS17" s="12"/>
      <c r="AT17" s="11"/>
      <c r="AU17" s="18"/>
      <c r="AV17" s="18"/>
      <c r="AW17" s="18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4"/>
      <c r="BJ17" s="14"/>
      <c r="BK17" s="14"/>
      <c r="BL17" s="19"/>
      <c r="BM17" s="12"/>
      <c r="BN17" s="12"/>
      <c r="BO17" s="12"/>
      <c r="BR17" s="17"/>
      <c r="BS17" s="20"/>
      <c r="BT17" s="20"/>
      <c r="BU17" s="21"/>
      <c r="CB17" s="14"/>
      <c r="CC17" s="14"/>
      <c r="CD17" s="14"/>
      <c r="CE17" s="14"/>
      <c r="CJ17" s="12"/>
    </row>
    <row r="18" spans="1:88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24"/>
        <v>0.21741546963687489</v>
      </c>
      <c r="I18" s="12">
        <f t="shared" si="25"/>
        <v>0.44652430812589394</v>
      </c>
      <c r="J18" s="12">
        <f t="shared" si="8"/>
        <v>6.276721023122056E-2</v>
      </c>
      <c r="K18" s="12">
        <f t="shared" si="9"/>
        <v>5.9649332373513109E-2</v>
      </c>
      <c r="L18" s="12">
        <f t="shared" si="10"/>
        <v>6.0652988263438762E-2</v>
      </c>
      <c r="M18" s="13">
        <f t="shared" si="11"/>
        <v>1.8970873346282856E-2</v>
      </c>
      <c r="N18" s="13">
        <f>SUM(M$3:$M18)</f>
        <v>0.76526711323158347</v>
      </c>
      <c r="O18" s="69">
        <f t="shared" si="26"/>
        <v>0.69735074154631638</v>
      </c>
      <c r="P18" s="12">
        <f t="shared" si="12"/>
        <v>1.3282548711181843E-4</v>
      </c>
      <c r="Q18" s="21">
        <f t="shared" si="13"/>
        <v>7.919065595810542E-10</v>
      </c>
      <c r="R18" s="11">
        <f>SUM(Q$2:$Q18)</f>
        <v>9.8180241925513379E-8</v>
      </c>
      <c r="S18" s="12">
        <f t="shared" si="14"/>
        <v>1.0207449301367301E-3</v>
      </c>
      <c r="T18" s="3">
        <f t="shared" si="0"/>
        <v>0.33912031047682251</v>
      </c>
      <c r="U18" s="1">
        <f t="shared" si="15"/>
        <v>1.48915882784339E-3</v>
      </c>
      <c r="V18" s="1">
        <f t="shared" si="16"/>
        <v>0.93953685396101672</v>
      </c>
      <c r="W18" s="1">
        <f t="shared" si="17"/>
        <v>4.1277048503290514E-3</v>
      </c>
      <c r="X18" s="11">
        <f t="shared" si="18"/>
        <v>6.4819171002446758</v>
      </c>
      <c r="Y18" s="12">
        <f t="shared" si="19"/>
        <v>4.4824490107917621E-2</v>
      </c>
      <c r="Z18" s="13">
        <f t="shared" si="1"/>
        <v>-2.1227663861954849E-2</v>
      </c>
      <c r="AA18" s="12">
        <f t="shared" si="2"/>
        <v>1.2095414280352063E-2</v>
      </c>
      <c r="AB18" s="12">
        <f t="shared" si="3"/>
        <v>4.1858413533203782E-3</v>
      </c>
      <c r="AC18" s="12">
        <f t="shared" si="20"/>
        <v>1.1090134728736366E-2</v>
      </c>
      <c r="AD18" s="12" t="e">
        <f>SQRT((S18/O18)^2 + (0.0002/I18)^2)*#REF!</f>
        <v>#REF!</v>
      </c>
      <c r="AE18" s="14">
        <f t="shared" si="21"/>
        <v>6.4149137383004486</v>
      </c>
      <c r="AF18" s="1">
        <f t="shared" si="22"/>
        <v>6.8587697971263895</v>
      </c>
      <c r="AG18" s="14">
        <f t="shared" si="23"/>
        <v>2.7605079203792382</v>
      </c>
      <c r="AH18" s="14" t="e">
        <f>X18*#REF!^2</f>
        <v>#REF!</v>
      </c>
      <c r="AI18" s="14">
        <f t="shared" si="4"/>
        <v>266.73813720743999</v>
      </c>
      <c r="AJ18" s="15">
        <f t="shared" si="5"/>
        <v>304.92703149824888</v>
      </c>
      <c r="AK18" s="16">
        <f t="shared" si="6"/>
        <v>49.394826858859432</v>
      </c>
      <c r="AL18" s="15">
        <f t="shared" si="7"/>
        <v>148.85403634431668</v>
      </c>
      <c r="AM18" s="2"/>
      <c r="AN18" s="12"/>
      <c r="AO18" s="14"/>
      <c r="AP18" s="14"/>
      <c r="AQ18" s="11"/>
      <c r="AR18" s="11"/>
      <c r="AS18" s="12"/>
      <c r="AT18" s="11"/>
      <c r="AU18" s="18"/>
      <c r="AV18" s="18"/>
      <c r="AW18" s="18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4"/>
      <c r="BJ18" s="14"/>
      <c r="BK18" s="14"/>
      <c r="BL18" s="19"/>
      <c r="BM18" s="12"/>
      <c r="BN18" s="12"/>
      <c r="BO18" s="12"/>
      <c r="BR18" s="17"/>
      <c r="BS18" s="20"/>
      <c r="BT18" s="20"/>
      <c r="BU18" s="21"/>
      <c r="CB18" s="14"/>
      <c r="CC18" s="14"/>
      <c r="CD18" s="14"/>
      <c r="CE18" s="14"/>
      <c r="CJ18" s="12"/>
    </row>
    <row r="19" spans="1:88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24"/>
        <v>0.21711145891873407</v>
      </c>
      <c r="I19" s="12">
        <f t="shared" si="25"/>
        <v>0.44605045923327219</v>
      </c>
      <c r="J19" s="12">
        <f t="shared" si="8"/>
        <v>6.2502213233833884E-2</v>
      </c>
      <c r="K19" s="12">
        <f t="shared" si="9"/>
        <v>5.8896902622584443E-2</v>
      </c>
      <c r="L19" s="12">
        <f t="shared" si="10"/>
        <v>6.0050925763837346E-2</v>
      </c>
      <c r="M19" s="13">
        <f t="shared" si="11"/>
        <v>1.3480337458723519E-2</v>
      </c>
      <c r="N19" s="13">
        <f>SUM(M$3:$M19)</f>
        <v>0.77874745069030704</v>
      </c>
      <c r="O19" s="69">
        <f t="shared" si="26"/>
        <v>0.69709809273687462</v>
      </c>
      <c r="P19" s="12">
        <f t="shared" si="12"/>
        <v>1.3133100972784838E-4</v>
      </c>
      <c r="Q19" s="21">
        <f t="shared" si="13"/>
        <v>3.9732652985210963E-10</v>
      </c>
      <c r="R19" s="11">
        <f>SUM(Q$2:$Q19)</f>
        <v>9.8577568455365487E-8</v>
      </c>
      <c r="S19" s="12">
        <f t="shared" si="14"/>
        <v>1.0211045777385934E-3</v>
      </c>
      <c r="T19" s="3">
        <f t="shared" si="0"/>
        <v>0.3387518561241577</v>
      </c>
      <c r="U19" s="1">
        <f t="shared" si="15"/>
        <v>1.4886042923218238E-3</v>
      </c>
      <c r="V19" s="1">
        <f t="shared" si="16"/>
        <v>0.93851604679424994</v>
      </c>
      <c r="W19" s="1">
        <f t="shared" si="17"/>
        <v>4.1261685030704364E-3</v>
      </c>
      <c r="X19" s="11">
        <f t="shared" si="18"/>
        <v>6.488967365877234</v>
      </c>
      <c r="Y19" s="12">
        <f t="shared" si="19"/>
        <v>4.4886183088532219E-2</v>
      </c>
      <c r="Z19" s="13">
        <f t="shared" si="1"/>
        <v>-2.1605548737757552E-2</v>
      </c>
      <c r="AA19" s="12">
        <f t="shared" si="2"/>
        <v>1.2175473102804618E-2</v>
      </c>
      <c r="AB19" s="12">
        <f t="shared" si="3"/>
        <v>4.1835748265267548E-3</v>
      </c>
      <c r="AC19" s="12">
        <f t="shared" si="20"/>
        <v>1.111173141371438E-2</v>
      </c>
      <c r="AD19" s="12" t="e">
        <f>SQRT((S19/O19)^2 + (0.0002/I19)^2)*#REF!</f>
        <v>#REF!</v>
      </c>
      <c r="AE19" s="14">
        <f t="shared" si="21"/>
        <v>6.4215688679776406</v>
      </c>
      <c r="AF19" s="1">
        <f t="shared" si="22"/>
        <v>6.8901688906011387</v>
      </c>
      <c r="AG19" s="14">
        <f t="shared" si="23"/>
        <v>2.7573247841345583</v>
      </c>
      <c r="AH19" s="14" t="e">
        <f>X19*#REF!^2</f>
        <v>#REF!</v>
      </c>
      <c r="AI19" s="14">
        <f t="shared" si="4"/>
        <v>267.58260598765133</v>
      </c>
      <c r="AJ19" s="15">
        <f t="shared" si="5"/>
        <v>308.06000972950903</v>
      </c>
      <c r="AK19" s="16">
        <f t="shared" si="6"/>
        <v>49.33458042218745</v>
      </c>
      <c r="AL19" s="15">
        <f t="shared" si="7"/>
        <v>148.6747432723476</v>
      </c>
      <c r="AM19" s="2"/>
      <c r="AN19" s="12"/>
      <c r="AO19" s="14"/>
      <c r="AP19" s="14"/>
      <c r="AQ19" s="11"/>
      <c r="AR19" s="11"/>
      <c r="AS19" s="12"/>
      <c r="AT19" s="11"/>
      <c r="AU19" s="18"/>
      <c r="AV19" s="18"/>
      <c r="AW19" s="18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4"/>
      <c r="BJ19" s="14"/>
      <c r="BK19" s="14"/>
      <c r="BL19" s="19"/>
      <c r="BM19" s="12"/>
      <c r="BN19" s="12"/>
      <c r="BO19" s="12"/>
      <c r="BR19" s="17"/>
      <c r="BS19" s="20"/>
      <c r="BT19" s="20"/>
      <c r="BU19" s="21"/>
      <c r="CB19" s="14"/>
      <c r="CC19" s="14"/>
      <c r="CD19" s="14"/>
      <c r="CE19" s="14"/>
      <c r="CJ19" s="12"/>
    </row>
    <row r="20" spans="1:88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24"/>
        <v>0.2165470779002113</v>
      </c>
      <c r="I20" s="12">
        <f t="shared" si="25"/>
        <v>0.44516150014054989</v>
      </c>
      <c r="J20" s="12">
        <f t="shared" si="8"/>
        <v>6.210447793584975E-2</v>
      </c>
      <c r="K20" s="12">
        <f t="shared" si="9"/>
        <v>5.8519727130873271E-2</v>
      </c>
      <c r="L20" s="12">
        <f t="shared" si="10"/>
        <v>5.9667140945746294E-2</v>
      </c>
      <c r="M20" s="13">
        <f t="shared" si="11"/>
        <v>2.4136236602795957E-2</v>
      </c>
      <c r="N20" s="13">
        <f>SUM(M$3:$M20)</f>
        <v>0.802883687293103</v>
      </c>
      <c r="O20" s="69">
        <f t="shared" si="26"/>
        <v>0.6966461878433261</v>
      </c>
      <c r="P20" s="12">
        <f t="shared" si="12"/>
        <v>1.30626905590321E-4</v>
      </c>
      <c r="Q20" s="21">
        <f t="shared" si="13"/>
        <v>1.2682190157043404E-9</v>
      </c>
      <c r="R20" s="11">
        <f>SUM(Q$2:$Q20)</f>
        <v>9.9845787471069831E-8</v>
      </c>
      <c r="S20" s="12">
        <f t="shared" si="14"/>
        <v>1.0217479322806283E-3</v>
      </c>
      <c r="T20" s="3">
        <f t="shared" si="0"/>
        <v>0.33809347932338518</v>
      </c>
      <c r="U20" s="1">
        <f t="shared" si="15"/>
        <v>1.4876115858137248E-3</v>
      </c>
      <c r="V20" s="1">
        <f t="shared" si="16"/>
        <v>0.93669200603641678</v>
      </c>
      <c r="W20" s="1">
        <f t="shared" si="17"/>
        <v>4.1234181978816549E-3</v>
      </c>
      <c r="X20" s="11">
        <f t="shared" si="18"/>
        <v>6.5016034734508352</v>
      </c>
      <c r="Y20" s="12">
        <f t="shared" si="19"/>
        <v>4.4996816504495787E-2</v>
      </c>
      <c r="Z20" s="13">
        <f t="shared" si="1"/>
        <v>-2.2282485059760826E-2</v>
      </c>
      <c r="AA20" s="12">
        <f t="shared" si="2"/>
        <v>1.2225852631166918E-2</v>
      </c>
      <c r="AB20" s="12">
        <f t="shared" si="3"/>
        <v>4.189386416006035E-3</v>
      </c>
      <c r="AC20" s="12">
        <f t="shared" si="20"/>
        <v>1.1151900391015036E-2</v>
      </c>
      <c r="AD20" s="12" t="e">
        <f>SQRT((S20/O20)^2 + (0.0002/I20)^2)*#REF!</f>
        <v>#REF!</v>
      </c>
      <c r="AE20" s="14">
        <f t="shared" si="21"/>
        <v>6.4341315024749761</v>
      </c>
      <c r="AF20" s="1">
        <f t="shared" si="22"/>
        <v>6.9061805886256256</v>
      </c>
      <c r="AG20" s="14">
        <f t="shared" si="23"/>
        <v>2.7577188990710733</v>
      </c>
      <c r="AH20" s="14" t="e">
        <f>X20*#REF!^2</f>
        <v>#REF!</v>
      </c>
      <c r="AI20" s="14">
        <f t="shared" si="4"/>
        <v>269.15369391360673</v>
      </c>
      <c r="AJ20" s="15">
        <f t="shared" si="5"/>
        <v>310.09612529351233</v>
      </c>
      <c r="AK20" s="16">
        <f t="shared" si="6"/>
        <v>49.444782358192178</v>
      </c>
      <c r="AL20" s="15">
        <f t="shared" si="7"/>
        <v>149.79291350726959</v>
      </c>
      <c r="AM20" s="2"/>
      <c r="AN20" s="12"/>
      <c r="AO20" s="14"/>
      <c r="AP20" s="14"/>
      <c r="AQ20" s="11"/>
      <c r="AR20" s="11"/>
      <c r="AS20" s="12"/>
      <c r="AT20" s="11"/>
      <c r="AU20" s="18"/>
      <c r="AV20" s="18"/>
      <c r="AW20" s="18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4"/>
      <c r="BJ20" s="14"/>
      <c r="BK20" s="14"/>
      <c r="BL20" s="19"/>
      <c r="BM20" s="12"/>
      <c r="BN20" s="12"/>
      <c r="BO20" s="12"/>
      <c r="BR20" s="17"/>
      <c r="BS20" s="20"/>
      <c r="BT20" s="20"/>
      <c r="BU20" s="21"/>
      <c r="CB20" s="14"/>
      <c r="CC20" s="14"/>
      <c r="CD20" s="14"/>
      <c r="CE20" s="14"/>
      <c r="CJ20" s="12"/>
    </row>
    <row r="21" spans="1:88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24"/>
        <v>0.21573653938385245</v>
      </c>
      <c r="I21" s="12">
        <f t="shared" si="25"/>
        <v>0.44391654062208491</v>
      </c>
      <c r="J21" s="12">
        <f t="shared" si="8"/>
        <v>6.1444591652644542E-2</v>
      </c>
      <c r="K21" s="12">
        <f t="shared" si="9"/>
        <v>5.8067309380147356E-2</v>
      </c>
      <c r="L21" s="12">
        <f t="shared" si="10"/>
        <v>5.91504413603001E-2</v>
      </c>
      <c r="M21" s="13">
        <f t="shared" si="11"/>
        <v>3.1908501302789327E-2</v>
      </c>
      <c r="N21" s="13">
        <f>SUM(M$3:$M21)</f>
        <v>0.83479218859589233</v>
      </c>
      <c r="O21" s="69">
        <f t="shared" si="26"/>
        <v>0.69604966067535912</v>
      </c>
      <c r="P21" s="12">
        <f t="shared" si="12"/>
        <v>1.2937642711028898E-4</v>
      </c>
      <c r="Q21" s="21">
        <f t="shared" si="13"/>
        <v>2.2135021076904881E-9</v>
      </c>
      <c r="R21" s="11">
        <f>SUM(Q$2:$Q21)</f>
        <v>1.0205928957876032E-7</v>
      </c>
      <c r="S21" s="12">
        <f t="shared" si="14"/>
        <v>1.0225972896499549E-3</v>
      </c>
      <c r="T21" s="3">
        <f t="shared" si="0"/>
        <v>0.33722571042665622</v>
      </c>
      <c r="U21" s="1">
        <f t="shared" si="15"/>
        <v>1.4862995428285269E-3</v>
      </c>
      <c r="V21" s="1">
        <f t="shared" si="16"/>
        <v>0.93428784198604897</v>
      </c>
      <c r="W21" s="1">
        <f t="shared" si="17"/>
        <v>4.1197831671846092E-3</v>
      </c>
      <c r="X21" s="11">
        <f t="shared" si="18"/>
        <v>6.5183337792925471</v>
      </c>
      <c r="Y21" s="12">
        <f t="shared" si="19"/>
        <v>4.5143417740935728E-2</v>
      </c>
      <c r="Z21" s="13">
        <f t="shared" si="1"/>
        <v>-2.317807977173747E-2</v>
      </c>
      <c r="AA21" s="12">
        <f t="shared" si="2"/>
        <v>1.2293551867656554E-2</v>
      </c>
      <c r="AB21" s="12">
        <f t="shared" si="3"/>
        <v>4.1870804311989352E-3</v>
      </c>
      <c r="AC21" s="12">
        <f t="shared" si="20"/>
        <v>1.1209676554973253E-2</v>
      </c>
      <c r="AD21" s="12" t="e">
        <f>SQRT((S21/O21)^2 + (0.0002/I21)^2)*#REF!</f>
        <v>#REF!</v>
      </c>
      <c r="AE21" s="14">
        <f t="shared" si="21"/>
        <v>6.4527748768316187</v>
      </c>
      <c r="AF21" s="1">
        <f t="shared" si="22"/>
        <v>6.9277381024346614</v>
      </c>
      <c r="AG21" s="14">
        <f t="shared" si="23"/>
        <v>2.7520892109423878</v>
      </c>
      <c r="AH21" s="14" t="e">
        <f>X21*#REF!^2</f>
        <v>#REF!</v>
      </c>
      <c r="AI21" s="14">
        <f t="shared" si="4"/>
        <v>271.4123609404719</v>
      </c>
      <c r="AJ21" s="15">
        <f t="shared" si="5"/>
        <v>312.83801215230596</v>
      </c>
      <c r="AK21" s="16">
        <f t="shared" si="6"/>
        <v>49.369827615556652</v>
      </c>
      <c r="AL21" s="15">
        <f t="shared" si="7"/>
        <v>151.95988010344155</v>
      </c>
      <c r="AM21" s="2"/>
      <c r="AN21" s="12"/>
      <c r="AO21" s="14"/>
      <c r="AP21" s="14"/>
      <c r="AQ21" s="11"/>
      <c r="AR21" s="11"/>
      <c r="AS21" s="12"/>
      <c r="AT21" s="11"/>
      <c r="AU21" s="18"/>
      <c r="AV21" s="18"/>
      <c r="AW21" s="18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4"/>
      <c r="BJ21" s="14"/>
      <c r="BK21" s="14"/>
      <c r="BL21" s="19"/>
      <c r="BM21" s="12"/>
      <c r="BN21" s="12"/>
      <c r="BO21" s="12"/>
      <c r="BR21" s="17"/>
      <c r="BS21" s="20"/>
      <c r="BT21" s="20"/>
      <c r="BU21" s="21"/>
      <c r="CB21" s="14"/>
      <c r="CC21" s="14"/>
      <c r="CD21" s="14"/>
      <c r="CE21" s="14"/>
      <c r="CJ21" s="12"/>
    </row>
    <row r="22" spans="1:88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24"/>
        <v>0.21529331099280138</v>
      </c>
      <c r="I22" s="12">
        <f t="shared" si="25"/>
        <v>0.44328165648424062</v>
      </c>
      <c r="J22" s="12">
        <f t="shared" si="8"/>
        <v>6.1020184767745823E-2</v>
      </c>
      <c r="K22" s="12">
        <f t="shared" si="9"/>
        <v>5.7708262514319465E-2</v>
      </c>
      <c r="L22" s="12">
        <f t="shared" si="10"/>
        <v>5.8770957605614613E-2</v>
      </c>
      <c r="M22" s="13">
        <f t="shared" si="11"/>
        <v>1.581423272134358E-2</v>
      </c>
      <c r="N22" s="13">
        <f>SUM(M$3:$M22)</f>
        <v>0.85060642131723596</v>
      </c>
      <c r="O22" s="69">
        <f t="shared" si="26"/>
        <v>0.69575439318062238</v>
      </c>
      <c r="P22" s="12">
        <f t="shared" si="12"/>
        <v>1.2824611447049164E-4</v>
      </c>
      <c r="Q22" s="21">
        <f t="shared" si="13"/>
        <v>5.4536668453315195E-10</v>
      </c>
      <c r="R22" s="11">
        <f>SUM(Q$2:$Q22)</f>
        <v>1.0260465626329348E-7</v>
      </c>
      <c r="S22" s="12">
        <f t="shared" si="14"/>
        <v>1.0230177427279872E-3</v>
      </c>
      <c r="T22" s="3">
        <f t="shared" si="0"/>
        <v>0.33679673431995533</v>
      </c>
      <c r="U22" s="1">
        <f t="shared" si="15"/>
        <v>1.4856494113981589E-3</v>
      </c>
      <c r="V22" s="1">
        <f t="shared" si="16"/>
        <v>0.93309935857982806</v>
      </c>
      <c r="W22" s="1">
        <f t="shared" si="17"/>
        <v>4.1179819703235599E-3</v>
      </c>
      <c r="X22" s="11">
        <f t="shared" si="18"/>
        <v>6.5266361443747485</v>
      </c>
      <c r="Y22" s="12">
        <f t="shared" si="19"/>
        <v>4.5216219503345013E-2</v>
      </c>
      <c r="Z22" s="13">
        <f t="shared" si="1"/>
        <v>-2.362223150729148E-2</v>
      </c>
      <c r="AA22" s="12">
        <f t="shared" si="2"/>
        <v>1.2343816196742564E-2</v>
      </c>
      <c r="AB22" s="12">
        <f t="shared" si="3"/>
        <v>4.1779866044471701E-3</v>
      </c>
      <c r="AC22" s="12">
        <f t="shared" si="20"/>
        <v>1.1241284949385167E-2</v>
      </c>
      <c r="AD22" s="12" t="e">
        <f>SQRT((S22/O22)^2 + (0.0002/I22)^2)*#REF!</f>
        <v>#REF!</v>
      </c>
      <c r="AE22" s="14">
        <f t="shared" si="21"/>
        <v>6.4633163935491318</v>
      </c>
      <c r="AF22" s="1">
        <f t="shared" si="22"/>
        <v>6.945537873106062</v>
      </c>
      <c r="AG22" s="14">
        <f t="shared" si="23"/>
        <v>2.744411136580502</v>
      </c>
      <c r="AH22" s="14" t="e">
        <f>X22*#REF!^2</f>
        <v>#REF!</v>
      </c>
      <c r="AI22" s="14">
        <f t="shared" si="4"/>
        <v>272.64669273614311</v>
      </c>
      <c r="AJ22" s="15">
        <f t="shared" si="5"/>
        <v>314.84816707928098</v>
      </c>
      <c r="AK22" s="16">
        <f t="shared" si="6"/>
        <v>49.15726907488942</v>
      </c>
      <c r="AL22" s="15">
        <f t="shared" si="7"/>
        <v>153.23141741479532</v>
      </c>
      <c r="AM22" s="2"/>
      <c r="AN22" s="12"/>
      <c r="AO22" s="14"/>
      <c r="AP22" s="14"/>
      <c r="AQ22" s="11"/>
      <c r="AR22" s="11"/>
      <c r="AS22" s="12"/>
      <c r="AT22" s="11"/>
      <c r="AU22" s="18"/>
      <c r="AV22" s="18"/>
      <c r="AW22" s="18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4"/>
      <c r="BJ22" s="14"/>
      <c r="BK22" s="14"/>
      <c r="BL22" s="19"/>
      <c r="BM22" s="12"/>
      <c r="BN22" s="12"/>
      <c r="BO22" s="12"/>
      <c r="BR22" s="12"/>
      <c r="BS22" s="14"/>
      <c r="BT22" s="11"/>
      <c r="BU22" s="12"/>
    </row>
    <row r="23" spans="1:88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24"/>
        <v>0.21497898718644901</v>
      </c>
      <c r="I23" s="12">
        <f t="shared" si="25"/>
        <v>0.44286047695029546</v>
      </c>
      <c r="J23" s="12">
        <f t="shared" si="8"/>
        <v>6.0801138278307E-2</v>
      </c>
      <c r="K23" s="12">
        <f t="shared" si="9"/>
        <v>5.7270105581999117E-2</v>
      </c>
      <c r="L23" s="12">
        <f t="shared" si="10"/>
        <v>5.8400057038375003E-2</v>
      </c>
      <c r="M23" s="13">
        <f t="shared" si="11"/>
        <v>1.0487427810584137E-2</v>
      </c>
      <c r="N23" s="13">
        <f>SUM(M$3:$M23)</f>
        <v>0.86109384912782005</v>
      </c>
      <c r="O23" s="69">
        <f t="shared" si="26"/>
        <v>0.6955587205553132</v>
      </c>
      <c r="P23" s="12">
        <f t="shared" si="12"/>
        <v>1.2750677771652236E-4</v>
      </c>
      <c r="Q23" s="21">
        <f t="shared" si="13"/>
        <v>1.2049190933788425E-10</v>
      </c>
      <c r="R23" s="11">
        <f>SUM(Q$2:$Q23)</f>
        <v>1.0272514817263136E-7</v>
      </c>
      <c r="S23" s="12">
        <f t="shared" si="14"/>
        <v>1.0232963881526068E-3</v>
      </c>
      <c r="T23" s="3">
        <f t="shared" si="0"/>
        <v>0.33651265403475944</v>
      </c>
      <c r="U23" s="1">
        <f t="shared" si="15"/>
        <v>1.4852183141338374E-3</v>
      </c>
      <c r="V23" s="1">
        <f t="shared" si="16"/>
        <v>0.93231231077060062</v>
      </c>
      <c r="W23" s="12">
        <f t="shared" si="17"/>
        <v>4.1167876102249194E-3</v>
      </c>
      <c r="X23" s="11">
        <f t="shared" si="18"/>
        <v>6.5321458588982111</v>
      </c>
      <c r="Y23" s="12">
        <f t="shared" si="19"/>
        <v>4.5264551824885917E-2</v>
      </c>
      <c r="Z23" s="13">
        <f t="shared" si="1"/>
        <v>-2.3916880818319664E-2</v>
      </c>
      <c r="AA23" s="12">
        <f t="shared" si="2"/>
        <v>1.2393842974787026E-2</v>
      </c>
      <c r="AB23" s="12">
        <f t="shared" si="3"/>
        <v>4.1807290530495381E-3</v>
      </c>
      <c r="AC23" s="12">
        <f t="shared" si="20"/>
        <v>1.126370473316562E-2</v>
      </c>
      <c r="AD23" s="12" t="e">
        <f>SQRT((S23/O23)^2 + (0.0002/I23)^2)*#REF!</f>
        <v>#REF!</v>
      </c>
      <c r="AE23" s="14">
        <f t="shared" si="21"/>
        <v>6.470946111138411</v>
      </c>
      <c r="AF23" s="1">
        <f t="shared" si="22"/>
        <v>6.9644417949132151</v>
      </c>
      <c r="AG23" s="14">
        <f t="shared" si="23"/>
        <v>2.7447219623864703</v>
      </c>
      <c r="AH23" s="14" t="e">
        <f>X23*#REF!^2</f>
        <v>#REF!</v>
      </c>
      <c r="AI23" s="14">
        <f t="shared" si="4"/>
        <v>273.52148139110307</v>
      </c>
      <c r="AJ23" s="15">
        <f t="shared" si="5"/>
        <v>316.8316068899482</v>
      </c>
      <c r="AK23" s="16">
        <f t="shared" si="6"/>
        <v>49.20991201488183</v>
      </c>
      <c r="AL23" s="15">
        <f t="shared" si="7"/>
        <v>153.44659461191685</v>
      </c>
      <c r="AM23" s="2"/>
      <c r="AN23" s="12"/>
      <c r="AO23" s="14"/>
      <c r="AP23" s="14"/>
      <c r="AQ23" s="11"/>
      <c r="AR23" s="11"/>
      <c r="AS23" s="12"/>
      <c r="AT23" s="11"/>
      <c r="AU23" s="18"/>
      <c r="AV23" s="18"/>
      <c r="AW23" s="18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4"/>
      <c r="BJ23" s="14"/>
      <c r="BK23" s="14"/>
      <c r="BL23" s="19"/>
      <c r="BM23" s="12"/>
      <c r="BN23" s="12"/>
      <c r="BO23" s="12"/>
      <c r="BR23" s="12"/>
      <c r="BS23" s="14"/>
      <c r="BT23" s="11"/>
      <c r="BU23" s="12"/>
    </row>
    <row r="24" spans="1:88" x14ac:dyDescent="0.2">
      <c r="BL24" s="8"/>
    </row>
    <row r="25" spans="1:88" ht="15.75" x14ac:dyDescent="0.25">
      <c r="AO25" s="46"/>
      <c r="AQ25" s="46"/>
      <c r="AS25" s="46"/>
    </row>
    <row r="26" spans="1:88" ht="15.75" x14ac:dyDescent="0.25">
      <c r="AI26" s="1" t="s">
        <v>65</v>
      </c>
      <c r="AO26" s="46"/>
      <c r="AQ26" s="46"/>
      <c r="AS26" s="46"/>
    </row>
    <row r="27" spans="1:88" ht="15.75" x14ac:dyDescent="0.25">
      <c r="B27" s="5" t="s">
        <v>69</v>
      </c>
      <c r="AI27" s="1" t="s">
        <v>70</v>
      </c>
      <c r="AO27" s="46"/>
      <c r="AQ27" s="46"/>
      <c r="AS27" s="46"/>
      <c r="AT27" s="11"/>
    </row>
    <row r="28" spans="1:88" ht="15.75" x14ac:dyDescent="0.25">
      <c r="A28" s="1" t="s">
        <v>74</v>
      </c>
      <c r="B28" s="13">
        <v>2.34</v>
      </c>
      <c r="C28" s="13"/>
      <c r="J28" s="1" t="s">
        <v>75</v>
      </c>
      <c r="M28" s="1" t="s">
        <v>50</v>
      </c>
      <c r="N28" s="1" t="s">
        <v>76</v>
      </c>
      <c r="O28" s="1" t="s">
        <v>77</v>
      </c>
      <c r="P28" s="1" t="s">
        <v>78</v>
      </c>
      <c r="Q28" s="1" t="s">
        <v>79</v>
      </c>
      <c r="Z28" s="1">
        <f>1.42/0.2298</f>
        <v>6.1792863359442993</v>
      </c>
      <c r="AQ28" s="46"/>
    </row>
    <row r="29" spans="1:88" x14ac:dyDescent="0.2">
      <c r="A29" s="1" t="s">
        <v>80</v>
      </c>
      <c r="B29" s="1">
        <v>0.623</v>
      </c>
      <c r="C29" s="1">
        <v>0.60699999999999998</v>
      </c>
      <c r="J29" s="21">
        <f>12*$B$31*$B$38^2+$M$29*N2</f>
        <v>37.047467519999998</v>
      </c>
      <c r="K29" s="21"/>
      <c r="L29" s="21"/>
      <c r="M29" s="1">
        <f>C34</f>
        <v>1.016974</v>
      </c>
      <c r="N29" s="1" t="s">
        <v>81</v>
      </c>
      <c r="O29" s="1">
        <f>36*$B$40*($B$38^2)*(4*$B$40*$B$38^2 + $M$29*N2)/J29^2</f>
        <v>0.99999999999999989</v>
      </c>
      <c r="P29" s="1">
        <f t="shared" ref="P29" si="27">36*$B$40*($B$38^2)*(4*$B$40*$B$38^2 + $M$29*O2)/M29^2</f>
        <v>1404.8933575347089</v>
      </c>
      <c r="Q29" s="14">
        <f t="shared" ref="Q29:Q50" si="28">-(12*$B$40*$M$29*$D$38^3)/(J29^2)</f>
        <v>-1.8893364969822288E-2</v>
      </c>
      <c r="AY29" s="66"/>
      <c r="BA29" s="66"/>
      <c r="BN29" s="21"/>
      <c r="BR29" s="14"/>
      <c r="BS29" s="14"/>
    </row>
    <row r="30" spans="1:88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29">12*$B$31*$B$38^2+$M$29*N3</f>
        <v>37.058016910958372</v>
      </c>
      <c r="K30" s="21"/>
      <c r="L30" s="21"/>
      <c r="O30" s="1">
        <f t="shared" ref="O30:O50" si="30">36*$B$40*($B$38^2)*(4*$B$40*$B$38^2 + $M$29*N3)/J30^2</f>
        <v>1.0002845102247351</v>
      </c>
      <c r="P30" s="14">
        <f t="shared" ref="P30:P50" si="31">(12*$M$29*N3*$D$38^3)/(J30^2)</f>
        <v>3.216342286749842E-5</v>
      </c>
      <c r="Q30" s="14">
        <f t="shared" si="28"/>
        <v>-1.8882609665535541E-2</v>
      </c>
      <c r="AO30" s="48"/>
      <c r="AP30" s="11"/>
      <c r="AQ30" s="49"/>
      <c r="AR30" s="11"/>
      <c r="AY30" s="66"/>
      <c r="BB30" s="46"/>
      <c r="BD30" s="46"/>
      <c r="BN30" s="21"/>
      <c r="BR30" s="14"/>
      <c r="BS30" s="14"/>
    </row>
    <row r="31" spans="1:88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29"/>
        <v>37.176532396808348</v>
      </c>
      <c r="K31" s="21"/>
      <c r="L31" s="21"/>
      <c r="O31" s="1">
        <f t="shared" si="30"/>
        <v>1.0034475709719031</v>
      </c>
      <c r="P31" s="14">
        <f t="shared" si="31"/>
        <v>3.9099349925811842E-4</v>
      </c>
      <c r="Q31" s="14">
        <f t="shared" si="28"/>
        <v>-1.876240939775797E-2</v>
      </c>
      <c r="AO31" s="48"/>
      <c r="AQ31" s="49"/>
      <c r="AZ31" s="47"/>
      <c r="BB31" s="46"/>
      <c r="BD31" s="46"/>
      <c r="BN31" s="21"/>
      <c r="BR31" s="14"/>
      <c r="BS31" s="14"/>
    </row>
    <row r="32" spans="1:88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29"/>
        <v>37.242145241051176</v>
      </c>
      <c r="K32" s="21"/>
      <c r="L32" s="21"/>
      <c r="O32" s="1">
        <f t="shared" si="30"/>
        <v>1.005172699443222</v>
      </c>
      <c r="P32" s="14">
        <f t="shared" si="31"/>
        <v>5.8768701919771464E-4</v>
      </c>
      <c r="Q32" s="14">
        <f t="shared" si="28"/>
        <v>-1.8696356778761164E-2</v>
      </c>
      <c r="AQ32" s="49"/>
      <c r="AS32" s="47"/>
      <c r="AT32" s="50"/>
      <c r="AZ32" s="51"/>
      <c r="BA32" s="51"/>
      <c r="BB32" s="46"/>
      <c r="BD32" s="46"/>
      <c r="BN32" s="21"/>
      <c r="BR32" s="14"/>
      <c r="BS32" s="14"/>
    </row>
    <row r="33" spans="1:71" x14ac:dyDescent="0.2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29"/>
        <v>37.312753224393568</v>
      </c>
      <c r="K33" s="21"/>
      <c r="L33" s="21"/>
      <c r="O33" s="1">
        <f t="shared" si="30"/>
        <v>1.007008688247931</v>
      </c>
      <c r="P33" s="14">
        <f t="shared" si="31"/>
        <v>7.9780816984004654E-4</v>
      </c>
      <c r="Q33" s="14">
        <f t="shared" si="28"/>
        <v>-1.8625664434119966E-2</v>
      </c>
      <c r="AT33" s="51"/>
      <c r="BN33" s="21"/>
      <c r="BR33" s="14"/>
      <c r="BS33" s="14"/>
    </row>
    <row r="34" spans="1:71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29"/>
        <v>37.384978991465204</v>
      </c>
      <c r="K34" s="21"/>
      <c r="L34" s="21"/>
      <c r="O34" s="1">
        <f t="shared" si="30"/>
        <v>1.0088649873672098</v>
      </c>
      <c r="P34" s="14">
        <f t="shared" si="31"/>
        <v>1.0110985323493469E-3</v>
      </c>
      <c r="Q34" s="14">
        <f t="shared" si="28"/>
        <v>-1.8553766390620546E-2</v>
      </c>
      <c r="AT34" s="14"/>
      <c r="BN34" s="21"/>
      <c r="BR34" s="14"/>
      <c r="BS34" s="14"/>
    </row>
    <row r="35" spans="1:71" x14ac:dyDescent="0.2">
      <c r="C35" s="1">
        <f>12*B31*(B29^2)</f>
        <v>28.364467319999999</v>
      </c>
      <c r="J35" s="21">
        <f t="shared" si="29"/>
        <v>37.434312308077239</v>
      </c>
      <c r="K35" s="21"/>
      <c r="L35" s="21"/>
      <c r="O35" s="1">
        <f t="shared" si="30"/>
        <v>1.0101203811550659</v>
      </c>
      <c r="P35" s="14">
        <f t="shared" si="31"/>
        <v>1.1558361009997142E-3</v>
      </c>
      <c r="Q35" s="14">
        <f t="shared" si="28"/>
        <v>-1.8504895948364637E-2</v>
      </c>
      <c r="AT35" s="12"/>
      <c r="BN35" s="21"/>
      <c r="BR35" s="14"/>
      <c r="BS35" s="14"/>
    </row>
    <row r="36" spans="1:71" ht="15.75" x14ac:dyDescent="0.25">
      <c r="B36" s="5" t="s">
        <v>96</v>
      </c>
      <c r="J36" s="21">
        <f t="shared" si="29"/>
        <v>37.47995518729148</v>
      </c>
      <c r="K36" s="21"/>
      <c r="L36" s="21"/>
      <c r="O36" s="1">
        <f t="shared" si="30"/>
        <v>1.0112728674729494</v>
      </c>
      <c r="P36" s="14">
        <f t="shared" si="31"/>
        <v>1.2890650251658339E-3</v>
      </c>
      <c r="Q36" s="14">
        <f t="shared" si="28"/>
        <v>-1.8459853074558275E-2</v>
      </c>
      <c r="AT36" s="12"/>
      <c r="BN36" s="21"/>
      <c r="BR36" s="14"/>
      <c r="BS36" s="14"/>
    </row>
    <row r="37" spans="1:71" x14ac:dyDescent="0.2">
      <c r="A37" s="1" t="s">
        <v>74</v>
      </c>
      <c r="B37" s="13">
        <v>2.34</v>
      </c>
      <c r="C37" s="13">
        <f>B37/2</f>
        <v>1.17</v>
      </c>
      <c r="J37" s="21">
        <f t="shared" si="29"/>
        <v>37.536959555805758</v>
      </c>
      <c r="K37" s="21"/>
      <c r="L37" s="21"/>
      <c r="O37" s="1">
        <f t="shared" si="30"/>
        <v>1.0127001714091406</v>
      </c>
      <c r="P37" s="14">
        <f t="shared" si="31"/>
        <v>1.4545433485638954E-3</v>
      </c>
      <c r="Q37" s="14">
        <f t="shared" si="28"/>
        <v>-1.8403828651487836E-2</v>
      </c>
      <c r="BN37" s="21"/>
      <c r="BR37" s="14"/>
      <c r="BS37" s="14"/>
    </row>
    <row r="38" spans="1:71" x14ac:dyDescent="0.2">
      <c r="A38" s="1" t="s">
        <v>80</v>
      </c>
      <c r="B38" s="1">
        <v>0.71199999999999997</v>
      </c>
      <c r="C38" s="1" t="s">
        <v>97</v>
      </c>
      <c r="D38" s="1">
        <v>0.70399999999999996</v>
      </c>
      <c r="J38" s="21">
        <f t="shared" si="29"/>
        <v>37.58423835360788</v>
      </c>
      <c r="K38" s="21"/>
      <c r="L38" s="21"/>
      <c r="O38" s="1">
        <f t="shared" si="30"/>
        <v>1.0138738668572038</v>
      </c>
      <c r="P38" s="14">
        <f t="shared" si="31"/>
        <v>1.5910236149942326E-3</v>
      </c>
      <c r="Q38" s="14">
        <f t="shared" si="28"/>
        <v>-1.8357555870284665E-2</v>
      </c>
      <c r="BN38" s="21"/>
      <c r="BR38" s="14"/>
      <c r="BS38" s="14"/>
    </row>
    <row r="39" spans="1:71" x14ac:dyDescent="0.2">
      <c r="A39" s="1" t="s">
        <v>83</v>
      </c>
      <c r="B39" s="1">
        <f>0.000046</f>
        <v>4.6E-5</v>
      </c>
      <c r="C39" s="1" t="s">
        <v>98</v>
      </c>
      <c r="J39" s="21">
        <f t="shared" si="29"/>
        <v>37.622202194673449</v>
      </c>
      <c r="K39" s="21"/>
      <c r="L39" s="21"/>
      <c r="O39" s="1">
        <f t="shared" si="30"/>
        <v>1.0148097347062721</v>
      </c>
      <c r="P39" s="14">
        <f t="shared" si="31"/>
        <v>1.7001145994121961E-3</v>
      </c>
      <c r="Q39" s="14">
        <f t="shared" si="28"/>
        <v>-1.8320526049231789E-2</v>
      </c>
      <c r="BN39" s="21"/>
      <c r="BR39" s="14"/>
      <c r="BS39" s="14"/>
    </row>
    <row r="40" spans="1:71" x14ac:dyDescent="0.2">
      <c r="A40" s="1" t="s">
        <v>89</v>
      </c>
      <c r="B40" s="1">
        <v>6.09</v>
      </c>
      <c r="C40" s="1" t="s">
        <v>99</v>
      </c>
      <c r="J40" s="21">
        <f t="shared" si="29"/>
        <v>37.668403558658724</v>
      </c>
      <c r="K40" s="21"/>
      <c r="L40" s="21"/>
      <c r="O40" s="1">
        <f t="shared" si="30"/>
        <v>1.0159408053028587</v>
      </c>
      <c r="P40" s="14">
        <f t="shared" si="31"/>
        <v>1.8322792401511139E-3</v>
      </c>
      <c r="Q40" s="14">
        <f t="shared" si="28"/>
        <v>-1.8275612321795472E-2</v>
      </c>
      <c r="BN40" s="21"/>
      <c r="BR40" s="14"/>
      <c r="BS40" s="14"/>
    </row>
    <row r="41" spans="1:71" x14ac:dyDescent="0.2">
      <c r="A41" s="1" t="s">
        <v>90</v>
      </c>
      <c r="B41" s="1">
        <v>1.23</v>
      </c>
      <c r="J41" s="21">
        <f t="shared" si="29"/>
        <v>37.708341296156703</v>
      </c>
      <c r="K41" s="21"/>
      <c r="L41" s="21"/>
      <c r="O41" s="1">
        <f t="shared" si="30"/>
        <v>1.0169116142009775</v>
      </c>
      <c r="P41" s="14">
        <f t="shared" si="31"/>
        <v>1.9460002164173587E-3</v>
      </c>
      <c r="Q41" s="14">
        <f t="shared" si="28"/>
        <v>-1.8236920612591068E-2</v>
      </c>
      <c r="BN41" s="21"/>
      <c r="BR41" s="14"/>
      <c r="BS41" s="14"/>
    </row>
    <row r="42" spans="1:71" x14ac:dyDescent="0.2">
      <c r="A42" s="1" t="s">
        <v>93</v>
      </c>
      <c r="B42" s="1">
        <v>300</v>
      </c>
      <c r="J42" s="21">
        <f t="shared" si="29"/>
        <v>37.736612829732501</v>
      </c>
      <c r="K42" s="21"/>
      <c r="L42" s="21"/>
      <c r="O42" s="1">
        <f t="shared" si="30"/>
        <v>1.017594981179291</v>
      </c>
      <c r="P42" s="14">
        <f t="shared" si="31"/>
        <v>2.0262087944895517E-3</v>
      </c>
      <c r="Q42" s="14">
        <f t="shared" si="28"/>
        <v>-1.8209605358709205E-2</v>
      </c>
      <c r="BN42" s="21"/>
      <c r="BR42" s="14"/>
      <c r="BS42" s="14"/>
    </row>
    <row r="43" spans="1:71" x14ac:dyDescent="0.2">
      <c r="A43" s="1" t="s">
        <v>95</v>
      </c>
      <c r="B43" s="1">
        <f>C43/C44</f>
        <v>2.7450567287790689E-2</v>
      </c>
      <c r="C43" s="1">
        <f>1+B39*B41*B42</f>
        <v>1.016974</v>
      </c>
      <c r="J43" s="21">
        <f t="shared" si="29"/>
        <v>37.77308416410046</v>
      </c>
      <c r="K43" s="21"/>
      <c r="L43" s="21"/>
      <c r="O43" s="1">
        <f t="shared" si="30"/>
        <v>1.0184718466437988</v>
      </c>
      <c r="P43" s="14">
        <f t="shared" si="31"/>
        <v>2.1293231059247787E-3</v>
      </c>
      <c r="Q43" s="14">
        <f t="shared" si="28"/>
        <v>-1.8174458216247635E-2</v>
      </c>
      <c r="BN43" s="21"/>
      <c r="BR43" s="14"/>
      <c r="BS43" s="14"/>
    </row>
    <row r="44" spans="1:71" x14ac:dyDescent="0.2">
      <c r="C44" s="1">
        <f>12*B40*(B38^2)</f>
        <v>37.047467519999998</v>
      </c>
      <c r="J44" s="21">
        <f t="shared" si="29"/>
        <v>37.806431392261111</v>
      </c>
      <c r="K44" s="21"/>
      <c r="L44" s="21"/>
      <c r="O44" s="1">
        <f t="shared" si="30"/>
        <v>1.0192689829617767</v>
      </c>
      <c r="P44" s="14">
        <f t="shared" si="31"/>
        <v>2.2232533516435573E-3</v>
      </c>
      <c r="Q44" s="14">
        <f t="shared" si="28"/>
        <v>-1.8142410731682351E-2</v>
      </c>
      <c r="BN44" s="21"/>
      <c r="BR44" s="14"/>
      <c r="BS44" s="14"/>
    </row>
    <row r="45" spans="1:71" x14ac:dyDescent="0.2">
      <c r="A45" s="1" t="s">
        <v>100</v>
      </c>
      <c r="B45" s="1">
        <v>3</v>
      </c>
      <c r="J45" s="21">
        <f t="shared" si="29"/>
        <v>37.825724277211577</v>
      </c>
      <c r="K45" s="21"/>
      <c r="L45" s="21"/>
      <c r="O45" s="1">
        <f t="shared" si="30"/>
        <v>1.0197281563102369</v>
      </c>
      <c r="P45" s="14">
        <f t="shared" si="31"/>
        <v>2.2774435365101255E-3</v>
      </c>
      <c r="Q45" s="14">
        <f t="shared" si="28"/>
        <v>-1.8123908498795589E-2</v>
      </c>
      <c r="BN45" s="21"/>
      <c r="BR45" s="14"/>
      <c r="BS45" s="14"/>
    </row>
    <row r="46" spans="1:71" x14ac:dyDescent="0.2">
      <c r="A46" s="1" t="s">
        <v>101</v>
      </c>
      <c r="B46" s="1">
        <v>1</v>
      </c>
      <c r="J46" s="21">
        <f t="shared" si="29"/>
        <v>37.839433429918323</v>
      </c>
      <c r="K46" s="21"/>
      <c r="L46" s="21"/>
      <c r="O46" s="1">
        <f t="shared" si="30"/>
        <v>1.020053544950108</v>
      </c>
      <c r="P46" s="14">
        <f t="shared" si="31"/>
        <v>2.3158821808556482E-3</v>
      </c>
      <c r="Q46" s="14">
        <f t="shared" si="28"/>
        <v>-1.8110778364550533E-2</v>
      </c>
      <c r="BN46" s="21"/>
      <c r="BR46" s="14"/>
      <c r="BS46" s="14"/>
    </row>
    <row r="47" spans="1:71" x14ac:dyDescent="0.2">
      <c r="J47" s="21">
        <f t="shared" si="29"/>
        <v>37.863979355001213</v>
      </c>
      <c r="K47" s="21"/>
      <c r="L47" s="21"/>
      <c r="O47" s="1">
        <f t="shared" si="30"/>
        <v>1.0206343011458208</v>
      </c>
      <c r="P47" s="14">
        <f t="shared" si="31"/>
        <v>2.3845651810444472E-3</v>
      </c>
      <c r="Q47" s="14">
        <f t="shared" si="28"/>
        <v>-1.8087304777010923E-2</v>
      </c>
      <c r="BN47" s="21"/>
      <c r="BR47" s="14"/>
      <c r="BS47" s="14"/>
    </row>
    <row r="48" spans="1:71" x14ac:dyDescent="0.2">
      <c r="A48" s="1" t="s">
        <v>50</v>
      </c>
      <c r="B48" s="1">
        <v>151.13999999999999</v>
      </c>
      <c r="J48" s="21">
        <f t="shared" si="29"/>
        <v>37.896429471205117</v>
      </c>
      <c r="K48" s="21"/>
      <c r="L48" s="21"/>
      <c r="O48" s="1">
        <f t="shared" si="30"/>
        <v>1.0213984482506981</v>
      </c>
      <c r="P48" s="14">
        <f t="shared" si="31"/>
        <v>2.4750892444029967E-3</v>
      </c>
      <c r="Q48" s="14">
        <f t="shared" si="28"/>
        <v>-1.8056342290130072E-2</v>
      </c>
      <c r="BN48" s="21"/>
      <c r="BR48" s="14"/>
      <c r="BS48" s="14"/>
    </row>
    <row r="49" spans="1:71" x14ac:dyDescent="0.2">
      <c r="A49" s="1" t="s">
        <v>102</v>
      </c>
      <c r="B49" s="1">
        <v>3.47</v>
      </c>
      <c r="J49" s="21">
        <f t="shared" si="29"/>
        <v>37.912512134712671</v>
      </c>
      <c r="K49" s="21"/>
      <c r="L49" s="21"/>
      <c r="O49" s="1">
        <f t="shared" si="30"/>
        <v>1.0217756449894608</v>
      </c>
      <c r="P49" s="14">
        <f t="shared" si="31"/>
        <v>2.5198379110623103E-3</v>
      </c>
      <c r="Q49" s="14">
        <f t="shared" si="28"/>
        <v>-1.8041026371050883E-2</v>
      </c>
      <c r="BN49" s="21"/>
      <c r="BR49" s="14"/>
      <c r="BS49" s="14"/>
    </row>
    <row r="50" spans="1:71" x14ac:dyDescent="0.2">
      <c r="J50" s="21">
        <f t="shared" si="29"/>
        <v>37.92317757612291</v>
      </c>
      <c r="K50" s="21"/>
      <c r="L50" s="21"/>
      <c r="O50" s="1">
        <f t="shared" si="30"/>
        <v>1.0220252328167616</v>
      </c>
      <c r="P50" s="14">
        <f t="shared" si="31"/>
        <v>2.5494712631169928E-3</v>
      </c>
      <c r="Q50" s="14">
        <f t="shared" si="28"/>
        <v>-1.8030880150994757E-2</v>
      </c>
      <c r="BN50" s="21"/>
      <c r="BR50" s="14"/>
      <c r="BS50" s="14"/>
    </row>
    <row r="51" spans="1:71" x14ac:dyDescent="0.2">
      <c r="B51" s="1" t="s">
        <v>103</v>
      </c>
      <c r="J51" s="21"/>
      <c r="K51" s="21"/>
      <c r="L51" s="21"/>
    </row>
    <row r="52" spans="1:71" x14ac:dyDescent="0.2">
      <c r="B52" s="1">
        <f>B38/B29</f>
        <v>1.1428571428571428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K52" s="21"/>
      <c r="L52" s="21"/>
    </row>
    <row r="53" spans="1:71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</row>
    <row r="54" spans="1:71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71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1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5:23" x14ac:dyDescent="0.2">
      <c r="O92" s="1" t="s">
        <v>108</v>
      </c>
      <c r="P92" s="1" t="s">
        <v>109</v>
      </c>
      <c r="Q92" s="1" t="s">
        <v>62</v>
      </c>
      <c r="R92" s="1" t="s">
        <v>71</v>
      </c>
      <c r="S92" s="1" t="s">
        <v>66</v>
      </c>
      <c r="T92" s="1" t="s">
        <v>53</v>
      </c>
      <c r="U92" s="1" t="s">
        <v>54</v>
      </c>
      <c r="V92" s="1" t="s">
        <v>55</v>
      </c>
      <c r="W92" s="1" t="s">
        <v>36</v>
      </c>
    </row>
    <row r="93" spans="15:23" x14ac:dyDescent="0.2">
      <c r="O93" s="1">
        <v>0</v>
      </c>
      <c r="P93" s="1">
        <v>6.09</v>
      </c>
      <c r="Q93" s="1">
        <v>231.75</v>
      </c>
      <c r="R93" s="1">
        <v>44.88</v>
      </c>
      <c r="S93" s="1">
        <v>118.9</v>
      </c>
      <c r="T93" s="1">
        <v>49.827574502628075</v>
      </c>
      <c r="U93" s="1">
        <v>49.126282218174318</v>
      </c>
      <c r="V93" s="1">
        <v>49.476928360401196</v>
      </c>
      <c r="W93" s="1">
        <v>155.51436376176827</v>
      </c>
    </row>
    <row r="94" spans="15:23" x14ac:dyDescent="0.2">
      <c r="O94" s="1">
        <v>2.4965695569728967</v>
      </c>
      <c r="P94" s="1">
        <v>6.1835553787144431</v>
      </c>
      <c r="Q94" s="1">
        <v>253.82</v>
      </c>
      <c r="R94" s="1">
        <v>47.35</v>
      </c>
      <c r="S94" s="1">
        <v>130.76</v>
      </c>
      <c r="T94" s="1">
        <v>53.022846247511119</v>
      </c>
      <c r="U94" s="1">
        <v>52.15929343774981</v>
      </c>
      <c r="V94" s="1">
        <v>52.591069842630461</v>
      </c>
      <c r="W94" s="1">
        <v>169.40814269214926</v>
      </c>
    </row>
    <row r="95" spans="15:23" x14ac:dyDescent="0.2">
      <c r="O95" s="1">
        <v>3.4435442165143506</v>
      </c>
      <c r="P95" s="1">
        <v>6.2176195922344819</v>
      </c>
      <c r="Q95" s="1">
        <v>259.48</v>
      </c>
      <c r="R95" s="1">
        <v>47.55</v>
      </c>
      <c r="S95" s="1">
        <v>132.75</v>
      </c>
      <c r="T95" s="1">
        <v>53.87816299398164</v>
      </c>
      <c r="U95" s="1">
        <v>52.82560135200422</v>
      </c>
      <c r="V95" s="1">
        <v>53.35188217299293</v>
      </c>
      <c r="W95" s="1">
        <v>173.40013684877243</v>
      </c>
    </row>
    <row r="96" spans="15:23" x14ac:dyDescent="0.2">
      <c r="O96" s="1">
        <v>4.4335631787622765</v>
      </c>
      <c r="P96" s="1">
        <v>6.2526864837134308</v>
      </c>
      <c r="Q96" s="1">
        <v>264.35000000000002</v>
      </c>
      <c r="R96" s="1">
        <v>47.64</v>
      </c>
      <c r="S96" s="1">
        <v>135.77000000000001</v>
      </c>
      <c r="T96" s="1">
        <v>54.2993192658558</v>
      </c>
      <c r="U96" s="1">
        <v>53.145293069855327</v>
      </c>
      <c r="V96" s="1">
        <v>53.722306167855564</v>
      </c>
      <c r="W96" s="1">
        <v>176.66716577084637</v>
      </c>
    </row>
    <row r="97" spans="15:23" x14ac:dyDescent="0.2">
      <c r="O97" s="1">
        <v>5.1222720220651237</v>
      </c>
      <c r="P97" s="1">
        <v>6.2767500978620676</v>
      </c>
      <c r="Q97" s="1">
        <v>268.17</v>
      </c>
      <c r="R97" s="1">
        <v>47.7</v>
      </c>
      <c r="S97" s="1">
        <v>137.56</v>
      </c>
      <c r="T97" s="1">
        <v>54.743656025969358</v>
      </c>
      <c r="U97" s="1">
        <v>53.467031925050378</v>
      </c>
      <c r="V97" s="1">
        <v>54.105343975509868</v>
      </c>
      <c r="W97" s="1">
        <v>179.89405510750507</v>
      </c>
    </row>
    <row r="98" spans="15:23" x14ac:dyDescent="0.2">
      <c r="O98" s="1">
        <v>5.7679365626615837</v>
      </c>
      <c r="P98" s="1">
        <v>6.2990029789173221</v>
      </c>
      <c r="Q98" s="1">
        <v>272.57</v>
      </c>
      <c r="R98" s="1">
        <v>47.95</v>
      </c>
      <c r="S98" s="1">
        <v>139.47999999999999</v>
      </c>
      <c r="T98" s="1">
        <v>55.38468759113259</v>
      </c>
      <c r="U98" s="1">
        <v>53.980934257892734</v>
      </c>
      <c r="V98" s="1">
        <v>54.682810924512665</v>
      </c>
      <c r="W98" s="1">
        <v>182.91443063380291</v>
      </c>
    </row>
    <row r="99" spans="15:23" x14ac:dyDescent="0.2">
      <c r="O99" s="1">
        <v>6.5857783140837629</v>
      </c>
      <c r="P99" s="1">
        <v>6.3268110392271186</v>
      </c>
      <c r="Q99" s="1">
        <v>275.56</v>
      </c>
      <c r="R99" s="1">
        <v>48.02</v>
      </c>
      <c r="S99" s="1">
        <v>142.68</v>
      </c>
      <c r="T99" s="1">
        <v>55.387254083527409</v>
      </c>
      <c r="U99" s="1">
        <v>54.00827916671831</v>
      </c>
      <c r="V99" s="1">
        <v>54.69776662512286</v>
      </c>
      <c r="W99" s="1">
        <v>186.30644891153995</v>
      </c>
    </row>
    <row r="100" spans="15:23" x14ac:dyDescent="0.2">
      <c r="O100" s="1">
        <v>7.274487157386611</v>
      </c>
      <c r="P100" s="1">
        <v>6.3498265755380325</v>
      </c>
      <c r="Q100" s="1">
        <v>280.14</v>
      </c>
      <c r="R100" s="1">
        <v>48</v>
      </c>
      <c r="S100" s="1">
        <v>145.84</v>
      </c>
      <c r="T100" s="1">
        <v>55.659480073994565</v>
      </c>
      <c r="U100" s="1">
        <v>54.180210970837322</v>
      </c>
      <c r="V100" s="1">
        <v>54.91984552241594</v>
      </c>
      <c r="W100" s="1">
        <v>190.89599129080392</v>
      </c>
    </row>
    <row r="101" spans="15:23" x14ac:dyDescent="0.2">
      <c r="O101" s="1">
        <v>7.834063092570239</v>
      </c>
      <c r="P101" s="1">
        <v>6.3682562025835372</v>
      </c>
      <c r="Q101" s="1">
        <v>283.11</v>
      </c>
      <c r="R101" s="1">
        <v>48.2</v>
      </c>
      <c r="S101" s="1">
        <v>147.26</v>
      </c>
      <c r="T101" s="1">
        <v>56.090017296460474</v>
      </c>
      <c r="U101" s="1">
        <v>54.534239902776605</v>
      </c>
      <c r="V101" s="1">
        <v>55.312128599618539</v>
      </c>
      <c r="W101" s="1">
        <v>193.05124696389046</v>
      </c>
    </row>
    <row r="102" spans="15:23" x14ac:dyDescent="0.2">
      <c r="O102" s="1">
        <v>8.5227719358730862</v>
      </c>
      <c r="P102" s="1">
        <v>6.390772157827894</v>
      </c>
      <c r="Q102" s="1">
        <v>285.64</v>
      </c>
      <c r="R102" s="1">
        <v>48.22</v>
      </c>
      <c r="S102" s="1">
        <v>149.13999999999999</v>
      </c>
      <c r="T102" s="1">
        <v>56.229761465667103</v>
      </c>
      <c r="U102" s="1">
        <v>54.631135789577115</v>
      </c>
      <c r="V102" s="1">
        <v>55.430448627622113</v>
      </c>
      <c r="W102" s="1">
        <v>194.98038486259503</v>
      </c>
    </row>
    <row r="103" spans="15:23" x14ac:dyDescent="0.2">
      <c r="O103" s="1">
        <v>9.1253921737631298</v>
      </c>
      <c r="P103" s="1">
        <v>6.4102593200063431</v>
      </c>
      <c r="Q103" s="1">
        <v>288.7</v>
      </c>
      <c r="R103" s="1">
        <v>48.19</v>
      </c>
      <c r="S103" s="1">
        <v>151.86000000000001</v>
      </c>
      <c r="T103" s="1">
        <v>56.283087322115435</v>
      </c>
      <c r="U103" s="1">
        <v>54.65458089507257</v>
      </c>
      <c r="V103" s="1">
        <v>55.468834108594002</v>
      </c>
      <c r="W103" s="1">
        <v>198.63342258751658</v>
      </c>
    </row>
    <row r="104" spans="15:23" x14ac:dyDescent="0.2">
      <c r="O104" s="1">
        <v>9.5558352008274561</v>
      </c>
      <c r="P104" s="1">
        <v>6.424046605345402</v>
      </c>
      <c r="Q104" s="1">
        <v>291.17</v>
      </c>
      <c r="R104" s="1">
        <v>48.34</v>
      </c>
      <c r="S104" s="1">
        <v>152.44</v>
      </c>
      <c r="T104" s="1">
        <v>56.748958957964888</v>
      </c>
      <c r="U104" s="1">
        <v>55.00858884079193</v>
      </c>
      <c r="V104" s="1">
        <v>55.878773899378409</v>
      </c>
      <c r="W104" s="1">
        <v>199.75557906583876</v>
      </c>
    </row>
    <row r="105" spans="15:23" x14ac:dyDescent="0.2">
      <c r="O105" s="1">
        <v>10.115411136011028</v>
      </c>
      <c r="P105" s="1">
        <v>6.4418606795757158</v>
      </c>
      <c r="Q105" s="1">
        <v>293.72000000000003</v>
      </c>
      <c r="R105" s="1">
        <v>48.5</v>
      </c>
      <c r="S105" s="1">
        <v>154.21</v>
      </c>
      <c r="T105" s="1">
        <v>57.000519791972451</v>
      </c>
      <c r="U105" s="1">
        <v>55.230677765291347</v>
      </c>
      <c r="V105" s="1">
        <v>56.115598778631899</v>
      </c>
      <c r="W105" s="1">
        <v>202.07635921636526</v>
      </c>
    </row>
    <row r="106" spans="15:23" x14ac:dyDescent="0.2">
      <c r="O106" s="1">
        <v>10.631942768488157</v>
      </c>
      <c r="P106" s="1">
        <v>6.4581639146036087</v>
      </c>
      <c r="Q106" s="1">
        <v>296.27999999999997</v>
      </c>
      <c r="R106" s="1">
        <v>48.31</v>
      </c>
      <c r="S106" s="1">
        <v>156.24</v>
      </c>
      <c r="T106" s="1">
        <v>56.993243185492986</v>
      </c>
      <c r="U106" s="1">
        <v>55.149192922862433</v>
      </c>
      <c r="V106" s="1">
        <v>56.071218054177706</v>
      </c>
      <c r="W106" s="1">
        <v>204.2926381864963</v>
      </c>
    </row>
    <row r="107" spans="15:23" x14ac:dyDescent="0.2">
      <c r="O107" s="1">
        <v>10.933252887433179</v>
      </c>
      <c r="P107" s="1">
        <v>6.4675938507853621</v>
      </c>
      <c r="Q107" s="1">
        <v>298.17</v>
      </c>
      <c r="R107" s="1">
        <v>48.18</v>
      </c>
      <c r="S107" s="1">
        <v>157.63999999999999</v>
      </c>
      <c r="T107" s="1">
        <v>57.014142236315003</v>
      </c>
      <c r="U107" s="1">
        <v>55.1087199490957</v>
      </c>
      <c r="V107" s="1">
        <v>56.061431092705348</v>
      </c>
      <c r="W107" s="1">
        <v>206.35231009424706</v>
      </c>
    </row>
    <row r="108" spans="15:23" x14ac:dyDescent="0.2">
      <c r="O108" s="1">
        <v>11.148474400965315</v>
      </c>
      <c r="P108" s="1">
        <v>6.4742537987026978</v>
      </c>
      <c r="Q108" s="1">
        <v>301.23</v>
      </c>
      <c r="R108" s="1">
        <v>48.12</v>
      </c>
      <c r="S108" s="1">
        <v>159.99</v>
      </c>
      <c r="T108" s="1">
        <v>57.121277181000309</v>
      </c>
      <c r="U108" s="1">
        <v>55.149347597271806</v>
      </c>
      <c r="V108" s="1">
        <v>56.135312389136061</v>
      </c>
      <c r="W108" s="1">
        <v>209.49171796940814</v>
      </c>
    </row>
    <row r="109" spans="15:23" x14ac:dyDescent="0.2">
      <c r="O109" s="1">
        <v>11.535873125323196</v>
      </c>
      <c r="P109" s="1">
        <v>6.4861335415119452</v>
      </c>
      <c r="Q109" s="1">
        <v>303.20999999999998</v>
      </c>
      <c r="R109" s="1">
        <v>48.23</v>
      </c>
      <c r="S109" s="1">
        <v>160.83000000000001</v>
      </c>
      <c r="T109" s="1">
        <v>57.41189795218552</v>
      </c>
      <c r="U109" s="1">
        <v>55.370764849901512</v>
      </c>
      <c r="V109" s="1">
        <v>56.391331401043516</v>
      </c>
      <c r="W109" s="1">
        <v>210.71938286075147</v>
      </c>
    </row>
    <row r="110" spans="15:23" x14ac:dyDescent="0.2">
      <c r="O110" s="1">
        <v>12.052404757800351</v>
      </c>
      <c r="P110" s="1">
        <v>6.5018138867626067</v>
      </c>
      <c r="Q110" s="1">
        <v>305.88</v>
      </c>
      <c r="R110" s="1">
        <v>48.15</v>
      </c>
      <c r="S110" s="1">
        <v>164.52</v>
      </c>
      <c r="T110" s="1">
        <v>57.162286422693228</v>
      </c>
      <c r="U110" s="1">
        <v>55.187069515005213</v>
      </c>
      <c r="V110" s="1">
        <v>56.174677968849224</v>
      </c>
      <c r="W110" s="1">
        <v>214.69594352276354</v>
      </c>
    </row>
    <row r="111" spans="15:23" x14ac:dyDescent="0.2">
      <c r="O111" s="1">
        <v>12.31067057403893</v>
      </c>
      <c r="P111" s="1">
        <v>6.5095435389576171</v>
      </c>
      <c r="Q111" s="1">
        <v>307.83999999999997</v>
      </c>
      <c r="R111" s="1">
        <v>47.94</v>
      </c>
      <c r="S111" s="1">
        <v>166.81</v>
      </c>
      <c r="T111" s="1">
        <v>56.970745984440008</v>
      </c>
      <c r="U111" s="1">
        <v>54.982189167081764</v>
      </c>
      <c r="V111" s="1">
        <v>55.976467575760886</v>
      </c>
      <c r="W111" s="1">
        <v>217.56225932118656</v>
      </c>
    </row>
    <row r="112" spans="15:23" x14ac:dyDescent="0.2">
      <c r="O112" s="1">
        <v>12.482847784864649</v>
      </c>
      <c r="P112" s="1">
        <v>6.5146527958905045</v>
      </c>
      <c r="Q112" s="1">
        <v>309.77</v>
      </c>
      <c r="R112" s="1">
        <v>47.99</v>
      </c>
      <c r="S112" s="1">
        <v>167.4</v>
      </c>
      <c r="T112" s="1">
        <v>57.269048967559023</v>
      </c>
      <c r="U112" s="1">
        <v>55.184091244401934</v>
      </c>
      <c r="V112" s="1">
        <v>56.226570105980478</v>
      </c>
      <c r="W112" s="1">
        <v>218.82038234753293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D5D-BAA3-4F4A-8A79-EF5AC24C5AC4}">
  <dimension ref="A1:EI112"/>
  <sheetViews>
    <sheetView tabSelected="1" zoomScale="85" zoomScaleNormal="85" workbookViewId="0">
      <pane xSplit="1" topLeftCell="AE1" activePane="topRight" state="frozen"/>
      <selection activeCell="BA26" sqref="BA26:BA28"/>
      <selection pane="topRight" activeCell="AM33" sqref="AM33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17" width="9.140625" style="1" hidden="1" customWidth="1"/>
    <col min="18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8" style="1" bestFit="1" customWidth="1"/>
    <col min="32" max="32" width="14.140625" style="1" bestFit="1" customWidth="1"/>
    <col min="33" max="34" width="11.85546875" style="1" bestFit="1" customWidth="1"/>
    <col min="35" max="35" width="9.5703125" style="1" bestFit="1" customWidth="1"/>
    <col min="36" max="36" width="9.5703125" style="1" customWidth="1"/>
    <col min="37" max="38" width="9.140625" style="1"/>
    <col min="39" max="39" width="22.7109375" style="1" bestFit="1" customWidth="1"/>
    <col min="40" max="40" width="20.140625" style="1" bestFit="1" customWidth="1"/>
    <col min="41" max="41" width="8.42578125" style="1" bestFit="1" customWidth="1"/>
    <col min="42" max="42" width="11.85546875" style="1" bestFit="1" customWidth="1"/>
    <col min="43" max="43" width="10.85546875" style="1" bestFit="1" customWidth="1"/>
    <col min="44" max="44" width="13.5703125" style="1" bestFit="1" customWidth="1"/>
    <col min="45" max="46" width="14" style="1" bestFit="1" customWidth="1"/>
    <col min="47" max="47" width="20.28515625" style="1" bestFit="1" customWidth="1"/>
    <col min="48" max="54" width="16.140625" style="1" customWidth="1"/>
    <col min="55" max="55" width="13.5703125" style="1" bestFit="1" customWidth="1"/>
    <col min="56" max="56" width="12.140625" style="1" bestFit="1" customWidth="1"/>
    <col min="57" max="57" width="12.5703125" style="1" bestFit="1" customWidth="1"/>
    <col min="58" max="58" width="10.85546875" style="1" bestFit="1" customWidth="1"/>
    <col min="59" max="59" width="16.140625" style="1" bestFit="1" customWidth="1"/>
    <col min="60" max="60" width="11.28515625" style="1" bestFit="1" customWidth="1"/>
    <col min="61" max="61" width="11.140625" style="1" customWidth="1"/>
    <col min="62" max="62" width="9.5703125" style="1" bestFit="1" customWidth="1"/>
    <col min="63" max="63" width="17" style="1" bestFit="1" customWidth="1"/>
    <col min="64" max="68" width="9.42578125" style="1" bestFit="1" customWidth="1"/>
    <col min="69" max="71" width="11.85546875" style="1" bestFit="1" customWidth="1"/>
    <col min="72" max="73" width="9.28515625" style="1" bestFit="1" customWidth="1"/>
    <col min="74" max="74" width="12.140625" style="1" bestFit="1" customWidth="1"/>
    <col min="75" max="75" width="12.28515625" style="1" bestFit="1" customWidth="1"/>
    <col min="76" max="76" width="20.7109375" style="1" bestFit="1" customWidth="1"/>
    <col min="77" max="77" width="9.140625" style="1"/>
    <col min="78" max="78" width="14" style="1" bestFit="1" customWidth="1"/>
    <col min="79" max="79" width="5.7109375" style="1" customWidth="1"/>
    <col min="80" max="80" width="4.7109375" style="1" customWidth="1"/>
    <col min="81" max="81" width="13.85546875" style="1" bestFit="1" customWidth="1"/>
    <col min="82" max="87" width="9.140625" style="1"/>
    <col min="88" max="88" width="15.42578125" style="1" bestFit="1" customWidth="1"/>
    <col min="89" max="89" width="16" style="1" bestFit="1" customWidth="1"/>
    <col min="90" max="90" width="12.7109375" style="1" bestFit="1" customWidth="1"/>
    <col min="91" max="91" width="12.7109375" style="1" customWidth="1"/>
    <col min="92" max="95" width="9.140625" style="1"/>
    <col min="96" max="96" width="16.7109375" style="1" bestFit="1" customWidth="1"/>
    <col min="97" max="16384" width="9.140625" style="1"/>
  </cols>
  <sheetData>
    <row r="1" spans="1:139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67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3" t="s">
        <v>29</v>
      </c>
      <c r="AE1" s="3" t="s">
        <v>30</v>
      </c>
      <c r="AF1" s="5" t="s">
        <v>32</v>
      </c>
      <c r="AG1" s="80" t="s">
        <v>33</v>
      </c>
      <c r="AH1" s="81" t="s">
        <v>34</v>
      </c>
      <c r="AI1" s="81" t="s">
        <v>35</v>
      </c>
      <c r="AJ1" s="7"/>
      <c r="AK1" s="1" t="s">
        <v>37</v>
      </c>
      <c r="AL1" s="1" t="s">
        <v>38</v>
      </c>
      <c r="AM1" s="1" t="s">
        <v>39</v>
      </c>
      <c r="AN1" s="3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75" t="s">
        <v>49</v>
      </c>
      <c r="AV1" s="75" t="s">
        <v>120</v>
      </c>
      <c r="AW1" s="75" t="s">
        <v>146</v>
      </c>
      <c r="AX1" s="7"/>
      <c r="AY1" s="3"/>
      <c r="AZ1" s="65"/>
      <c r="BA1" s="1" t="s">
        <v>4</v>
      </c>
      <c r="BB1" s="1" t="s">
        <v>5</v>
      </c>
      <c r="BC1" s="1" t="s">
        <v>6</v>
      </c>
      <c r="BD1" s="1" t="s">
        <v>7</v>
      </c>
      <c r="BE1" s="1" t="s">
        <v>37</v>
      </c>
      <c r="BF1" s="1" t="s">
        <v>38</v>
      </c>
      <c r="BG1" s="1" t="s">
        <v>39</v>
      </c>
      <c r="BH1" s="3" t="s">
        <v>40</v>
      </c>
      <c r="BI1" s="1" t="s">
        <v>41</v>
      </c>
      <c r="BJ1" s="1" t="s">
        <v>42</v>
      </c>
      <c r="BK1" s="1" t="s">
        <v>43</v>
      </c>
      <c r="BL1" s="76" t="s">
        <v>140</v>
      </c>
      <c r="BM1" s="76" t="s">
        <v>141</v>
      </c>
      <c r="BN1" s="76" t="s">
        <v>142</v>
      </c>
      <c r="BO1" s="5" t="s">
        <v>32</v>
      </c>
      <c r="BP1" s="79" t="s">
        <v>143</v>
      </c>
      <c r="BQ1" s="65" t="s">
        <v>144</v>
      </c>
      <c r="BR1" s="65" t="s">
        <v>145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P1" s="3"/>
      <c r="CQ1" s="3"/>
      <c r="CS1" s="3"/>
    </row>
    <row r="2" spans="1:139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68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2">(1-((V2/$B$40)^0.66666667))/2</f>
        <v>0</v>
      </c>
      <c r="Y2" s="12">
        <f t="shared" ref="Y2:Y23" si="3">(SQRT((Q2/M2)^2 + (0.0002/F2)^2))*AD2</f>
        <v>1.0357367298499618E-2</v>
      </c>
      <c r="Z2" s="12">
        <f t="shared" ref="Z2:Z23" si="4">SQRT((Q2/M2)^2 + (0.0002/G2)^2)*AE2</f>
        <v>4.1065127806317742E-3</v>
      </c>
      <c r="AA2" s="12">
        <f>SQRT((Q2/M2)^2 + (0.0002/H2)^2)*AC2</f>
        <v>9.7649912219819526E-3</v>
      </c>
      <c r="AB2" s="12" t="e">
        <f>SQRT((Q2/M2)^2 + (0.0002/I2)^2)*#REF!</f>
        <v>#REF!</v>
      </c>
      <c r="AC2" s="14">
        <f>2*0.712/H2</f>
        <v>5.9302602040809917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V2*AC2*AC2</f>
        <v>214.17303527656995</v>
      </c>
      <c r="AG2" s="15">
        <f t="shared" ref="AG2:AG23" si="6">V2*AD2^2</f>
        <v>235.07600000000099</v>
      </c>
      <c r="AH2" s="16">
        <f t="shared" ref="AH2:AH23" si="7">V2*AE2^2</f>
        <v>47.306378750310031</v>
      </c>
      <c r="AI2" s="15">
        <f t="shared" ref="AI2:AI23" si="8">1.5*AF2-AG2/2-2*AH2</f>
        <v>109.10879541423435</v>
      </c>
      <c r="AJ2" s="7"/>
      <c r="AK2" s="12">
        <f>M2</f>
        <v>0.70399999999999996</v>
      </c>
      <c r="AL2" s="14">
        <f t="shared" ref="AL2:AL23" si="9">AK2^3</f>
        <v>0.34891366399999996</v>
      </c>
      <c r="AM2" s="14">
        <f>$AL$2/AL2</f>
        <v>1</v>
      </c>
      <c r="AN2" s="11">
        <v>6.09</v>
      </c>
      <c r="AO2" s="11">
        <f>-3*$AP$31*((1-2*AP2)^2.5)*(1+3*(4-$AR$31)*AP2/2)*AP2</f>
        <v>0</v>
      </c>
      <c r="AP2" s="12">
        <f t="shared" ref="AP2:AP23" si="10">0.5*(1-AM2^0.666666667)</f>
        <v>0</v>
      </c>
      <c r="AQ2" s="18">
        <f>(1-2*AP2)^(3.5)*($AP$26-$AT$26*AP2)+AO2*3</f>
        <v>239.89360432346049</v>
      </c>
      <c r="AR2" s="18">
        <f>(1-2*AP2)^(3.5)*($AP$28-$AT$28*AP2)+AO2*1</f>
        <v>46.221889892405528</v>
      </c>
      <c r="AS2" s="18">
        <f>(1-2*AP2)^(3.5)*($AP$27-$AT$27*AP2)+AO2*1</f>
        <v>122.04281469011407</v>
      </c>
      <c r="AT2" s="11">
        <f t="shared" ref="AT2:AT23" si="11">AQ2-AG2</f>
        <v>4.8176043234595056</v>
      </c>
      <c r="AU2" s="11">
        <f t="shared" ref="AU2:AU23" si="12">AR2-AH2</f>
        <v>-1.0844888579045033</v>
      </c>
      <c r="AV2" s="11">
        <f t="shared" ref="AV2:AV23" si="13">AS2-AI2</f>
        <v>12.93401927587972</v>
      </c>
      <c r="AW2" s="11">
        <f t="shared" ref="AW2:AW23" si="14">AO2-A2</f>
        <v>0</v>
      </c>
      <c r="AX2" s="7"/>
      <c r="AY2" s="17"/>
      <c r="AZ2" s="65"/>
      <c r="BA2" s="12">
        <v>0.2291999346629835</v>
      </c>
      <c r="BB2" s="12">
        <v>0.51092691729323303</v>
      </c>
      <c r="BC2" s="12">
        <f>C2*0.712/0.623</f>
        <v>0.24012437076876564</v>
      </c>
      <c r="BD2" s="12">
        <f>D2*0.712/0.623</f>
        <v>0.47361978835900054</v>
      </c>
      <c r="BE2" s="12">
        <v>0.70399999999999996</v>
      </c>
      <c r="BF2" s="14">
        <f t="shared" ref="BF2:BF23" si="15">BE2^3</f>
        <v>0.34891366399999996</v>
      </c>
      <c r="BG2" s="14">
        <f t="shared" ref="BG2:BG23" si="16">$BF$2/BF2</f>
        <v>1</v>
      </c>
      <c r="BH2" s="11">
        <v>6.09</v>
      </c>
      <c r="BI2" s="11">
        <f t="shared" ref="BI2:BI23" si="17">-3*$BG$36*((1-2*BJ2)^2.5)*(1+3*(4-$BG$37)*BJ2/2)*BJ2</f>
        <v>0</v>
      </c>
      <c r="BJ2" s="12">
        <f t="shared" ref="BJ2:BJ23" si="18">0.5*(1-BG2^0.666666667)</f>
        <v>0</v>
      </c>
      <c r="BK2" s="11">
        <f t="shared" ref="BK2:BK23" si="19">BI2-E2</f>
        <v>0</v>
      </c>
      <c r="BL2" s="14">
        <f>2*0.712/BC2</f>
        <v>5.9302602040809917</v>
      </c>
      <c r="BM2" s="14">
        <f>2*0.712/BA2</f>
        <v>6.2129162562539788</v>
      </c>
      <c r="BN2" s="14">
        <f>2*0.712/BB2</f>
        <v>2.7870913663034367</v>
      </c>
      <c r="BO2" s="14">
        <f>BH2*BL2*BL2</f>
        <v>214.17303527656995</v>
      </c>
      <c r="BP2" s="15">
        <f>BH2*BM2^2</f>
        <v>235.07599999999999</v>
      </c>
      <c r="BQ2" s="16">
        <f>BH2*BN2^2</f>
        <v>47.306378750310031</v>
      </c>
      <c r="BR2" s="15">
        <f t="shared" ref="BR2:BR23" si="20">1.5*BO2-BP2/2-2*BQ2</f>
        <v>109.10879541423483</v>
      </c>
      <c r="BS2" s="18">
        <f t="shared" ref="BS2:BS23" si="21">(1-2*BJ2)^(3.5)*($BG$25-$BK$25*BJ2)+BI2*3</f>
        <v>239.51038215113027</v>
      </c>
      <c r="BT2" s="18">
        <f t="shared" ref="BT2:BT23" si="22">(1-2*BJ2)^(3.5)*($BG$27-$BK$27*BJ2)+BI2*1</f>
        <v>46.243127025353878</v>
      </c>
      <c r="BU2" s="18">
        <f t="shared" ref="BU2:BU23" si="23">(1-2*BJ2)^(3.5)*($BG$26-$BK$26*BJ2)+BI2*1</f>
        <v>121.79137885339955</v>
      </c>
      <c r="BV2" s="11">
        <f>BS2-BP2</f>
        <v>4.4343821511302792</v>
      </c>
      <c r="BW2" s="11">
        <f>BU2-BR2</f>
        <v>12.682583439164716</v>
      </c>
      <c r="BX2" s="11">
        <f>BT2-BQ2</f>
        <v>-1.0632517249561531</v>
      </c>
      <c r="BY2" s="11">
        <f t="shared" ref="BY2:BY23" si="24">(BS2+2*BU2)/3</f>
        <v>161.03104661930979</v>
      </c>
      <c r="BZ2" s="11">
        <f t="shared" ref="BZ2:BZ23" si="25">SQRT(BS2/BH2)</f>
        <v>6.2712415019320575</v>
      </c>
      <c r="CA2" s="11">
        <f t="shared" ref="CA2:CA23" si="26">SQRT(BT2/BH2)</f>
        <v>2.7555922248965512</v>
      </c>
      <c r="CB2" s="11">
        <f t="shared" ref="CB2:CB23" si="27">SQRT((0.33333334*(BS2+2*BU2+4*BT2))/BH2)</f>
        <v>6.0470046293555182</v>
      </c>
      <c r="CC2" s="11">
        <f t="shared" ref="CC2:CC23" si="28">SQRT((0.3333334*(BS2-BU2+BT2))/BH2)</f>
        <v>2.9957291540633704</v>
      </c>
      <c r="CD2" s="11">
        <f t="shared" ref="CD2:CD23" si="29">(BS2-BU2+3*BT2)/5</f>
        <v>51.28967687475847</v>
      </c>
      <c r="CE2" s="11">
        <f t="shared" ref="CE2:CE23" si="30">((5*(BS2-BU2)*BT2)/(3*(BS2-BU2)+4*BT2))</f>
        <v>50.579782754544624</v>
      </c>
      <c r="CF2" s="11">
        <f t="shared" ref="CF2:CF23" si="31">(CD2+CE2)/2</f>
        <v>50.934729814651547</v>
      </c>
      <c r="CG2" s="14">
        <f t="shared" ref="CG2:CG23" si="32">BZ2-AD2</f>
        <v>5.8325245678065407E-2</v>
      </c>
      <c r="CH2" s="14">
        <f t="shared" ref="CH2:CH23" si="33">CA2-AE2</f>
        <v>-3.1499141406885478E-2</v>
      </c>
      <c r="CI2" s="14">
        <f t="shared" ref="CI2:CI23" si="34">CB2-AC2</f>
        <v>0.11674442527452644</v>
      </c>
      <c r="CJ2" s="19"/>
      <c r="CK2" s="12"/>
      <c r="CL2" s="12"/>
      <c r="CM2" s="12"/>
      <c r="CP2" s="17" t="s">
        <v>60</v>
      </c>
      <c r="CQ2" s="20"/>
      <c r="CR2" s="20"/>
      <c r="CS2" s="21"/>
      <c r="CZ2" s="14"/>
      <c r="DA2" s="14"/>
      <c r="DB2" s="14"/>
      <c r="DC2" s="14"/>
      <c r="DH2" s="12"/>
      <c r="DP2" s="1" t="s">
        <v>61</v>
      </c>
      <c r="EI2" s="1">
        <v>0</v>
      </c>
    </row>
    <row r="3" spans="1:139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C3*$M$2/0.607</f>
        <v>0.23402119688428533</v>
      </c>
      <c r="I3" s="12">
        <f>D3*$M$2/0.607</f>
        <v>0.48010761643303401</v>
      </c>
      <c r="J3" s="12">
        <f t="shared" si="0"/>
        <v>7.6468795705802312E-2</v>
      </c>
      <c r="K3" s="13">
        <f t="shared" ref="K3:K23" si="35">(J3*(E3-E2)+0.5*(E3-E2)*(J2-J3))</f>
        <v>1.0214304272293568E-2</v>
      </c>
      <c r="L3" s="13">
        <f>SUM(K$3:$K3)</f>
        <v>1.0214304272293568E-2</v>
      </c>
      <c r="M3" s="69">
        <f>0.704/((L3*$B$43+1))</f>
        <v>0.70379815271771839</v>
      </c>
      <c r="N3" s="12">
        <f t="shared" ref="N3:N23" si="36">(6*F3*G3*SQRT(9*(G3^6)*(0.0002^2)+16*(F3^6)*(0.0002)^2))/((4*F3^2 - 3*G3^2)^2)</f>
        <v>1.6605783510823934E-4</v>
      </c>
      <c r="O3" s="21">
        <f t="shared" ref="O3:O23" si="37">(((E3-E2)/2)^2)*(N3^2+N4^2)</f>
        <v>2.216109036549626E-10</v>
      </c>
      <c r="P3" s="11">
        <f>SUM(O$2:$O3)</f>
        <v>2.216109036549626E-10</v>
      </c>
      <c r="Q3" s="12">
        <f t="shared" ref="Q3:Q23" si="38">SQRT(((M30*0.001)^2)+((N30*0.02)^2)+((O30*P3)^2))</f>
        <v>1.0002867699955033E-3</v>
      </c>
      <c r="R3" s="3">
        <f t="shared" si="1"/>
        <v>0.3486136338116016</v>
      </c>
      <c r="S3" s="1">
        <f t="shared" ref="S3:S23" si="39">3*Q3/M3*R3</f>
        <v>1.4864216582350079E-3</v>
      </c>
      <c r="T3" s="1">
        <f t="shared" ref="T3:T23" si="40">R3/$R$2</f>
        <v>0.99914010192390068</v>
      </c>
      <c r="U3" s="1">
        <f t="shared" ref="U3:U23" si="41">T3*3*SQRT((Q3/M3)^2)+(0.001/$M$2)^2</f>
        <v>4.2621594155596281E-3</v>
      </c>
      <c r="V3" s="11">
        <f t="shared" ref="V3:V23" si="42">$B$40/((M3/$M$2)^3)</f>
        <v>6.0952412862554119</v>
      </c>
      <c r="W3" s="12">
        <f t="shared" ref="W3:W23" si="43">(SQRT((0.02/$V$2)^2+(9*(0.001/$M$2)^2)+(9*(Q3/M3)^2))*V3)</f>
        <v>4.1842138068044897E-2</v>
      </c>
      <c r="X3" s="13">
        <f t="shared" si="2"/>
        <v>-2.868382463369068E-4</v>
      </c>
      <c r="Y3" s="12">
        <f t="shared" si="3"/>
        <v>1.0502388885310628E-2</v>
      </c>
      <c r="Z3" s="12">
        <f t="shared" si="4"/>
        <v>4.0930512505757922E-3</v>
      </c>
      <c r="AA3" s="12">
        <f t="shared" ref="AA3:AA23" si="44">SQRT((Q3/M3)^2 + (0.0002/H3)^2)*AC3</f>
        <v>9.9751605900456845E-3</v>
      </c>
      <c r="AB3" s="12" t="e">
        <f>SQRT((Q3/M3)^2 + (0.0002/I3)^2)*#REF!</f>
        <v>#REF!</v>
      </c>
      <c r="AC3" s="14">
        <f t="shared" ref="AC3:AC23" si="45">2*M3/H3</f>
        <v>6.0148239739643765</v>
      </c>
      <c r="AD3" s="1">
        <f t="shared" ref="AD3:AD23" si="46">2*M3/F3</f>
        <v>6.2630616729291972</v>
      </c>
      <c r="AE3" s="14">
        <f t="shared" ref="AE3:AE23" si="47">2*M3/G3</f>
        <v>2.7750452180356793</v>
      </c>
      <c r="AF3" s="14">
        <f t="shared" si="5"/>
        <v>220.51429411332001</v>
      </c>
      <c r="AG3" s="15">
        <f t="shared" si="6"/>
        <v>239.09157823832905</v>
      </c>
      <c r="AH3" s="16">
        <f t="shared" si="7"/>
        <v>46.938697104783998</v>
      </c>
      <c r="AI3" s="15">
        <f t="shared" si="8"/>
        <v>117.34825784124749</v>
      </c>
      <c r="AJ3" s="7"/>
      <c r="AK3" s="12">
        <f t="shared" ref="AK3:AK23" si="48">M3</f>
        <v>0.70379815271771839</v>
      </c>
      <c r="AL3" s="14">
        <f t="shared" si="9"/>
        <v>0.3486136338116016</v>
      </c>
      <c r="AM3" s="14">
        <f t="shared" ref="AM3:AM23" si="49">$AL$2/AL3</f>
        <v>1.0008606381371776</v>
      </c>
      <c r="AN3" s="11">
        <f>$AN$2/((AK3/$AK$2)^3)</f>
        <v>6.0952412862554119</v>
      </c>
      <c r="AO3" s="11">
        <f t="shared" ref="AO3:AO23" si="50">-3*$AP$31*((1-2*AP3)^2.5)*(1+3*(4-$AR$31)*AP3/2)*AP3</f>
        <v>0.13901184132402275</v>
      </c>
      <c r="AP3" s="12">
        <f t="shared" si="10"/>
        <v>-2.8683824504582844E-4</v>
      </c>
      <c r="AQ3" s="18">
        <f t="shared" ref="AQ3:AQ23" si="51">(1-2*AP3)^(3.5)*($AP$26-$AT$26*AP3)+AO3*3</f>
        <v>240.64165496236541</v>
      </c>
      <c r="AR3" s="18">
        <f t="shared" ref="AR3:AR23" si="52">(1-2*AP3)^(3.5)*($AP$28-$AT$28*AP3)+AO3*1</f>
        <v>46.262168313199837</v>
      </c>
      <c r="AS3" s="18">
        <f t="shared" ref="AS3:AS23" si="53">(1-2*AP3)^(3.5)*($AP$27-$AT$27*AP3)+AO3*1</f>
        <v>122.46383697461917</v>
      </c>
      <c r="AT3" s="11">
        <f t="shared" si="11"/>
        <v>1.5500767240363587</v>
      </c>
      <c r="AU3" s="11">
        <f t="shared" si="12"/>
        <v>-0.67652879158416113</v>
      </c>
      <c r="AV3" s="11">
        <f t="shared" si="13"/>
        <v>5.115579133371682</v>
      </c>
      <c r="AW3" s="11">
        <f t="shared" si="14"/>
        <v>9.8789332047474199E-3</v>
      </c>
      <c r="AX3" s="7"/>
      <c r="AY3" s="17"/>
      <c r="AZ3" s="65"/>
      <c r="BA3" s="12">
        <v>0.22474572005565327</v>
      </c>
      <c r="BB3" s="12">
        <v>0.50723364660407455</v>
      </c>
      <c r="BC3" s="12">
        <f t="shared" ref="BC3:BC23" si="54">C3*$BE$2/0.607</f>
        <v>0.23402119688428533</v>
      </c>
      <c r="BD3" s="12">
        <f t="shared" ref="BD3:BD23" si="55">D3*$BE$2/0.607</f>
        <v>0.48010761643303401</v>
      </c>
      <c r="BE3" s="12">
        <v>0.70410932872614851</v>
      </c>
      <c r="BF3" s="14">
        <f t="shared" si="15"/>
        <v>0.34907624444337426</v>
      </c>
      <c r="BG3" s="14">
        <f t="shared" si="16"/>
        <v>0.99953425520652783</v>
      </c>
      <c r="BH3" s="11">
        <f t="shared" ref="BH3:BH23" si="56">$BH$2/((BE3/$BE$2)^3)</f>
        <v>6.0871636142077525</v>
      </c>
      <c r="BI3" s="11">
        <f t="shared" si="17"/>
        <v>-7.4948487033878894E-2</v>
      </c>
      <c r="BJ3" s="12">
        <f t="shared" si="18"/>
        <v>1.5526031807538976E-4</v>
      </c>
      <c r="BK3" s="11">
        <f t="shared" si="19"/>
        <v>-0.20408139515315421</v>
      </c>
      <c r="BL3" s="14">
        <f t="shared" ref="BL3:BL23" si="57">2*BE3/BC3</f>
        <v>6.0174833570678992</v>
      </c>
      <c r="BM3" s="14">
        <f t="shared" ref="BM3:BM23" si="58">2*BE3/BA3</f>
        <v>6.2658308113880121</v>
      </c>
      <c r="BN3" s="14">
        <f t="shared" ref="BN3:BN23" si="59">2*BE3/BB3</f>
        <v>2.7762721713756773</v>
      </c>
      <c r="BO3" s="14">
        <f t="shared" ref="BO3:BO23" si="60">BH3*BL3*BL3</f>
        <v>220.41683942120824</v>
      </c>
      <c r="BP3" s="15">
        <f t="shared" ref="BP3:BP23" si="61">BH3*BM3^2</f>
        <v>238.98591345030505</v>
      </c>
      <c r="BQ3" s="16">
        <f t="shared" ref="BQ3:BQ23" si="62">BH3*BN3^2</f>
        <v>46.917952888211246</v>
      </c>
      <c r="BR3" s="15">
        <f t="shared" si="20"/>
        <v>117.29639663023735</v>
      </c>
      <c r="BS3" s="18">
        <f t="shared" si="21"/>
        <v>239.09687740689046</v>
      </c>
      <c r="BT3" s="18">
        <f t="shared" si="22"/>
        <v>46.221491542865969</v>
      </c>
      <c r="BU3" s="18">
        <f t="shared" si="23"/>
        <v>121.55803777577694</v>
      </c>
      <c r="BV3" s="11">
        <f t="shared" ref="BV3:BV23" si="63">BS3-BP3</f>
        <v>0.11096395658540814</v>
      </c>
      <c r="BW3" s="11">
        <f t="shared" ref="BW3:BW23" si="64">BU3-BR3</f>
        <v>4.2616411455395848</v>
      </c>
      <c r="BX3" s="11">
        <f t="shared" ref="BX3:BX23" si="65">BT3-BQ3</f>
        <v>-0.69646134534527704</v>
      </c>
      <c r="BY3" s="11">
        <f t="shared" si="24"/>
        <v>160.73765098614811</v>
      </c>
      <c r="BZ3" s="11">
        <f t="shared" si="25"/>
        <v>6.2672852918634518</v>
      </c>
      <c r="CA3" s="11">
        <f t="shared" si="26"/>
        <v>2.7555893040545194</v>
      </c>
      <c r="CB3" s="11">
        <f t="shared" si="27"/>
        <v>6.0440355192948401</v>
      </c>
      <c r="CC3" s="11">
        <f t="shared" si="28"/>
        <v>2.9945825012817697</v>
      </c>
      <c r="CD3" s="11">
        <f t="shared" si="29"/>
        <v>51.240662851942282</v>
      </c>
      <c r="CE3" s="11">
        <f t="shared" si="30"/>
        <v>50.537631294046768</v>
      </c>
      <c r="CF3" s="11">
        <f t="shared" si="31"/>
        <v>50.889147072994525</v>
      </c>
      <c r="CG3" s="14">
        <f t="shared" si="32"/>
        <v>4.2236189342546027E-3</v>
      </c>
      <c r="CH3" s="14">
        <f t="shared" si="33"/>
        <v>-1.9455913981159867E-2</v>
      </c>
      <c r="CI3" s="14">
        <f t="shared" si="34"/>
        <v>2.9211545330463551E-2</v>
      </c>
      <c r="CJ3" s="19"/>
      <c r="CK3" s="12"/>
      <c r="CL3" s="12"/>
      <c r="CM3" s="12"/>
      <c r="CP3" s="17"/>
      <c r="CQ3" s="20"/>
      <c r="CR3" s="20"/>
      <c r="CS3" s="21"/>
      <c r="CZ3" s="14"/>
      <c r="DA3" s="14"/>
      <c r="DB3" s="14"/>
      <c r="DC3" s="14"/>
      <c r="DH3" s="12"/>
    </row>
    <row r="4" spans="1:139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6">C4*$M$2/0.607</f>
        <v>0.23045788397015871</v>
      </c>
      <c r="I4" s="12">
        <f t="shared" ref="I4:I23" si="67">D4*$M$2/0.607</f>
        <v>0.46884969357888606</v>
      </c>
      <c r="J4" s="12">
        <f t="shared" si="0"/>
        <v>7.3434797024003337E-2</v>
      </c>
      <c r="K4" s="13">
        <f t="shared" si="35"/>
        <v>0.11291867338925345</v>
      </c>
      <c r="L4" s="13">
        <f>SUM(K$3:$K4)</f>
        <v>0.12313297766154702</v>
      </c>
      <c r="M4" s="69">
        <f t="shared" ref="M4:M23" si="68">$B$38/((L4*$B$43+1))</f>
        <v>0.7015744282501758</v>
      </c>
      <c r="N4" s="12">
        <f t="shared" si="36"/>
        <v>1.5994952484815503E-4</v>
      </c>
      <c r="O4" s="21">
        <f t="shared" si="37"/>
        <v>2.8357893464738583E-8</v>
      </c>
      <c r="P4" s="11">
        <f>SUM(O$2:$O4)</f>
        <v>2.8579504368393547E-8</v>
      </c>
      <c r="Q4" s="12">
        <f t="shared" si="38"/>
        <v>1.0034530730849299E-3</v>
      </c>
      <c r="R4" s="3">
        <f t="shared" si="1"/>
        <v>0.34531961896155083</v>
      </c>
      <c r="S4" s="1">
        <f t="shared" si="39"/>
        <v>1.4817189120236367E-3</v>
      </c>
      <c r="T4" s="1">
        <f t="shared" si="40"/>
        <v>0.98969932848932762</v>
      </c>
      <c r="U4" s="1">
        <f t="shared" si="41"/>
        <v>4.2486811637839367E-3</v>
      </c>
      <c r="V4" s="11">
        <f t="shared" si="42"/>
        <v>6.1533839871304625</v>
      </c>
      <c r="W4" s="12">
        <f t="shared" si="43"/>
        <v>4.2344872735731051E-2</v>
      </c>
      <c r="X4" s="13">
        <f t="shared" si="2"/>
        <v>-3.46330290946395E-3</v>
      </c>
      <c r="Y4" s="12">
        <f t="shared" si="3"/>
        <v>1.0749510694220641E-2</v>
      </c>
      <c r="Z4" s="12">
        <f t="shared" si="4"/>
        <v>4.1163273542916814E-3</v>
      </c>
      <c r="AA4" s="12">
        <f t="shared" si="44"/>
        <v>1.0185986092241757E-2</v>
      </c>
      <c r="AB4" s="12" t="e">
        <f>SQRT((Q4/M4)^2 + (0.0002/I4)^2)*#REF!</f>
        <v>#REF!</v>
      </c>
      <c r="AC4" s="14">
        <f t="shared" si="45"/>
        <v>6.0885261650759626</v>
      </c>
      <c r="AD4" s="1">
        <f t="shared" si="46"/>
        <v>6.3506496353353992</v>
      </c>
      <c r="AE4" s="14">
        <f t="shared" si="47"/>
        <v>2.7739334184675584</v>
      </c>
      <c r="AF4" s="14">
        <f t="shared" si="5"/>
        <v>228.10687271975388</v>
      </c>
      <c r="AG4" s="15">
        <f t="shared" si="6"/>
        <v>248.17059610496958</v>
      </c>
      <c r="AH4" s="16">
        <f t="shared" si="7"/>
        <v>47.348484440201588</v>
      </c>
      <c r="AI4" s="15">
        <f t="shared" si="8"/>
        <v>123.37804214674281</v>
      </c>
      <c r="AJ4" s="7"/>
      <c r="AK4" s="12">
        <f t="shared" si="48"/>
        <v>0.7015744282501758</v>
      </c>
      <c r="AL4" s="14">
        <f t="shared" si="9"/>
        <v>0.34531961896155083</v>
      </c>
      <c r="AM4" s="14">
        <f t="shared" si="49"/>
        <v>1.0104078796601745</v>
      </c>
      <c r="AN4" s="11">
        <f t="shared" ref="AN4:AN23" si="69">$AN$2/((AK4/$AK$2)^3)</f>
        <v>6.1533839871304625</v>
      </c>
      <c r="AO4" s="11">
        <f t="shared" si="50"/>
        <v>1.7036992728231735</v>
      </c>
      <c r="AP4" s="12">
        <f t="shared" si="10"/>
        <v>-3.4633028938252375E-3</v>
      </c>
      <c r="AQ4" s="18">
        <f t="shared" si="51"/>
        <v>249.0069169997135</v>
      </c>
      <c r="AR4" s="18">
        <f t="shared" si="52"/>
        <v>46.69058699807465</v>
      </c>
      <c r="AS4" s="18">
        <f t="shared" si="53"/>
        <v>127.18505899087354</v>
      </c>
      <c r="AT4" s="11">
        <f t="shared" si="11"/>
        <v>0.83632089474392046</v>
      </c>
      <c r="AU4" s="11">
        <f t="shared" si="12"/>
        <v>-0.6578974421269379</v>
      </c>
      <c r="AV4" s="11">
        <f t="shared" si="13"/>
        <v>3.8070168441307288</v>
      </c>
      <c r="AW4" s="11">
        <f t="shared" si="14"/>
        <v>6.8015769978871488E-2</v>
      </c>
      <c r="AX4" s="7"/>
      <c r="AY4" s="17"/>
      <c r="AZ4" s="65"/>
      <c r="BA4" s="12">
        <v>0.22094572005565327</v>
      </c>
      <c r="BB4" s="12">
        <v>0.50583364660407459</v>
      </c>
      <c r="BC4" s="12">
        <f t="shared" si="54"/>
        <v>0.23045788397015871</v>
      </c>
      <c r="BD4" s="12">
        <f t="shared" si="55"/>
        <v>0.46884969357888606</v>
      </c>
      <c r="BE4" s="12">
        <v>0.70169087286248266</v>
      </c>
      <c r="BF4" s="14">
        <f t="shared" si="15"/>
        <v>0.34549159194931922</v>
      </c>
      <c r="BG4" s="14">
        <f t="shared" si="16"/>
        <v>1.0099049358375782</v>
      </c>
      <c r="BH4" s="11">
        <f t="shared" si="56"/>
        <v>6.1503210592508504</v>
      </c>
      <c r="BI4" s="11">
        <f t="shared" si="17"/>
        <v>1.6180643479379337</v>
      </c>
      <c r="BJ4" s="12">
        <f t="shared" si="18"/>
        <v>-3.2962187061988946E-3</v>
      </c>
      <c r="BK4" s="11">
        <f t="shared" si="19"/>
        <v>-1.7619154906368228E-2</v>
      </c>
      <c r="BL4" s="14">
        <f t="shared" si="57"/>
        <v>6.0895367151192143</v>
      </c>
      <c r="BM4" s="14">
        <f t="shared" si="58"/>
        <v>6.351703691619246</v>
      </c>
      <c r="BN4" s="14">
        <f t="shared" si="59"/>
        <v>2.7743938252162539</v>
      </c>
      <c r="BO4" s="14">
        <f t="shared" si="60"/>
        <v>228.06901870542129</v>
      </c>
      <c r="BP4" s="15">
        <f t="shared" si="61"/>
        <v>248.12941254399274</v>
      </c>
      <c r="BQ4" s="16">
        <f t="shared" si="62"/>
        <v>47.340627025879705</v>
      </c>
      <c r="BR4" s="15">
        <f t="shared" si="20"/>
        <v>123.35756773437613</v>
      </c>
      <c r="BS4" s="18">
        <f t="shared" si="21"/>
        <v>248.38067117211787</v>
      </c>
      <c r="BT4" s="18">
        <f t="shared" si="22"/>
        <v>46.684986038514587</v>
      </c>
      <c r="BU4" s="18">
        <f t="shared" si="23"/>
        <v>126.80998157836464</v>
      </c>
      <c r="BV4" s="11">
        <f t="shared" si="63"/>
        <v>0.25125862812512878</v>
      </c>
      <c r="BW4" s="11">
        <f t="shared" si="64"/>
        <v>3.4524138439885093</v>
      </c>
      <c r="BX4" s="11">
        <f t="shared" si="65"/>
        <v>-0.65564098736511767</v>
      </c>
      <c r="BY4" s="11">
        <f t="shared" si="24"/>
        <v>167.33354477628237</v>
      </c>
      <c r="BZ4" s="11">
        <f t="shared" si="25"/>
        <v>6.354918781140805</v>
      </c>
      <c r="CA4" s="11">
        <f t="shared" si="26"/>
        <v>2.7551149471372152</v>
      </c>
      <c r="CB4" s="11">
        <f t="shared" si="27"/>
        <v>6.1096779533592205</v>
      </c>
      <c r="CC4" s="11">
        <f t="shared" si="28"/>
        <v>3.0197805515635241</v>
      </c>
      <c r="CD4" s="11">
        <f t="shared" si="29"/>
        <v>52.325129541859404</v>
      </c>
      <c r="CE4" s="11">
        <f t="shared" si="30"/>
        <v>51.459835246287014</v>
      </c>
      <c r="CF4" s="11">
        <f t="shared" si="31"/>
        <v>51.892482394073213</v>
      </c>
      <c r="CG4" s="14">
        <f t="shared" si="32"/>
        <v>4.2691458054058273E-3</v>
      </c>
      <c r="CH4" s="14">
        <f t="shared" si="33"/>
        <v>-1.8818471330343201E-2</v>
      </c>
      <c r="CI4" s="14">
        <f t="shared" si="34"/>
        <v>2.1151788283257922E-2</v>
      </c>
      <c r="CJ4" s="19"/>
      <c r="CK4" s="12"/>
      <c r="CL4" s="12"/>
      <c r="CM4" s="12"/>
      <c r="CP4" s="17"/>
      <c r="CQ4" s="20"/>
      <c r="CR4" s="20"/>
      <c r="CS4" s="21"/>
      <c r="CZ4" s="14"/>
      <c r="DA4" s="14"/>
      <c r="DB4" s="14"/>
      <c r="DC4" s="14"/>
      <c r="DH4" s="12"/>
    </row>
    <row r="5" spans="1:139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6"/>
        <v>0.22862378849011855</v>
      </c>
      <c r="I5" s="12">
        <f t="shared" si="67"/>
        <v>0.46500793877458718</v>
      </c>
      <c r="J5" s="12">
        <f t="shared" si="0"/>
        <v>7.1834787269226374E-2</v>
      </c>
      <c r="K5" s="13">
        <f t="shared" si="35"/>
        <v>6.2530279603549899E-2</v>
      </c>
      <c r="L5" s="13">
        <f>SUM(K$3:$K5)</f>
        <v>0.18566325726509691</v>
      </c>
      <c r="M5" s="69">
        <f t="shared" si="68"/>
        <v>0.700349044840749</v>
      </c>
      <c r="N5" s="12">
        <f t="shared" si="36"/>
        <v>1.5618171297467797E-4</v>
      </c>
      <c r="O5" s="21">
        <f t="shared" si="37"/>
        <v>8.8434243448866546E-9</v>
      </c>
      <c r="P5" s="11">
        <f>SUM(O$2:$O5)</f>
        <v>3.7422928713280205E-8</v>
      </c>
      <c r="Q5" s="12">
        <f t="shared" si="38"/>
        <v>1.0052029970622424E-3</v>
      </c>
      <c r="R5" s="3">
        <f t="shared" si="1"/>
        <v>0.34351335180625775</v>
      </c>
      <c r="S5" s="1">
        <f t="shared" si="39"/>
        <v>1.4791223889442043E-3</v>
      </c>
      <c r="T5" s="1">
        <f t="shared" si="40"/>
        <v>0.98452249725094687</v>
      </c>
      <c r="U5" s="1">
        <f t="shared" si="41"/>
        <v>4.2412394286289821E-3</v>
      </c>
      <c r="V5" s="11">
        <f t="shared" si="42"/>
        <v>6.1857398048342489</v>
      </c>
      <c r="W5" s="12">
        <f t="shared" si="43"/>
        <v>4.2625461615122595E-2</v>
      </c>
      <c r="X5" s="13">
        <f t="shared" si="2"/>
        <v>-5.2266387910415713E-3</v>
      </c>
      <c r="Y5" s="12">
        <f t="shared" si="3"/>
        <v>1.0896940585317113E-2</v>
      </c>
      <c r="Z5" s="12">
        <f t="shared" si="4"/>
        <v>4.1224874382217429E-3</v>
      </c>
      <c r="AA5" s="12">
        <f t="shared" si="44"/>
        <v>1.0298110158782171E-2</v>
      </c>
      <c r="AB5" s="12" t="e">
        <f>SQRT((Q5/M5)^2 + (0.0002/I5)^2)*#REF!</f>
        <v>#REF!</v>
      </c>
      <c r="AC5" s="14">
        <f t="shared" si="45"/>
        <v>6.1266506820310092</v>
      </c>
      <c r="AD5" s="1">
        <f t="shared" si="46"/>
        <v>6.4033165509484364</v>
      </c>
      <c r="AE5" s="14">
        <f t="shared" si="47"/>
        <v>2.7690884129300528</v>
      </c>
      <c r="AF5" s="14">
        <f t="shared" si="5"/>
        <v>232.18699266725477</v>
      </c>
      <c r="AG5" s="15">
        <f t="shared" si="6"/>
        <v>253.63056655769012</v>
      </c>
      <c r="AH5" s="16">
        <f t="shared" si="7"/>
        <v>47.431328912856969</v>
      </c>
      <c r="AI5" s="15">
        <f t="shared" si="8"/>
        <v>126.60254789632313</v>
      </c>
      <c r="AJ5" s="7"/>
      <c r="AK5" s="12">
        <f t="shared" si="48"/>
        <v>0.700349044840749</v>
      </c>
      <c r="AL5" s="14">
        <f t="shared" si="9"/>
        <v>0.34351335180625775</v>
      </c>
      <c r="AM5" s="14">
        <f t="shared" si="49"/>
        <v>1.0157208218118636</v>
      </c>
      <c r="AN5" s="11">
        <f t="shared" si="69"/>
        <v>6.1857398048342489</v>
      </c>
      <c r="AO5" s="11">
        <f t="shared" si="50"/>
        <v>2.5924334085672212</v>
      </c>
      <c r="AP5" s="12">
        <f t="shared" si="10"/>
        <v>-5.2266387673991499E-3</v>
      </c>
      <c r="AQ5" s="18">
        <f t="shared" si="51"/>
        <v>253.71523328928876</v>
      </c>
      <c r="AR5" s="18">
        <f t="shared" si="52"/>
        <v>46.914091782420741</v>
      </c>
      <c r="AS5" s="18">
        <f t="shared" si="53"/>
        <v>129.85281700578898</v>
      </c>
      <c r="AT5" s="11">
        <f t="shared" si="11"/>
        <v>8.4666731598645129E-2</v>
      </c>
      <c r="AU5" s="11">
        <f t="shared" si="12"/>
        <v>-0.51723713043622865</v>
      </c>
      <c r="AV5" s="11">
        <f t="shared" si="13"/>
        <v>3.2502691094658474</v>
      </c>
      <c r="AW5" s="11">
        <f t="shared" si="14"/>
        <v>9.5863851594324423E-2</v>
      </c>
      <c r="AX5" s="7"/>
      <c r="AY5" s="17"/>
      <c r="AZ5" s="65"/>
      <c r="BA5" s="12">
        <v>0.21874572005565329</v>
      </c>
      <c r="BB5" s="12">
        <v>0.50583364660407459</v>
      </c>
      <c r="BC5" s="12">
        <f t="shared" si="54"/>
        <v>0.22862378849011855</v>
      </c>
      <c r="BD5" s="12">
        <f t="shared" si="55"/>
        <v>0.46500793877458718</v>
      </c>
      <c r="BE5" s="12">
        <v>0.70031975779753886</v>
      </c>
      <c r="BF5" s="14">
        <f t="shared" si="15"/>
        <v>0.34347025870967884</v>
      </c>
      <c r="BG5" s="14">
        <f t="shared" si="16"/>
        <v>1.0158482580435653</v>
      </c>
      <c r="BH5" s="11">
        <f t="shared" si="56"/>
        <v>6.1865158914853113</v>
      </c>
      <c r="BI5" s="11">
        <f t="shared" si="17"/>
        <v>2.6111736587099781</v>
      </c>
      <c r="BJ5" s="12">
        <f t="shared" si="18"/>
        <v>-5.2688963322800042E-3</v>
      </c>
      <c r="BK5" s="11">
        <f t="shared" si="19"/>
        <v>0.11460410173708135</v>
      </c>
      <c r="BL5" s="14">
        <f t="shared" si="57"/>
        <v>6.1263944790925171</v>
      </c>
      <c r="BM5" s="14">
        <f t="shared" si="58"/>
        <v>6.403048778457137</v>
      </c>
      <c r="BN5" s="14">
        <f t="shared" si="59"/>
        <v>2.7689726157963239</v>
      </c>
      <c r="BO5" s="14">
        <f t="shared" si="60"/>
        <v>232.19670261818982</v>
      </c>
      <c r="BP5" s="15">
        <f t="shared" si="61"/>
        <v>253.6411732688095</v>
      </c>
      <c r="BQ5" s="16">
        <f t="shared" si="62"/>
        <v>47.43331246874542</v>
      </c>
      <c r="BR5" s="15">
        <f t="shared" si="20"/>
        <v>126.60784235538911</v>
      </c>
      <c r="BS5" s="18">
        <f t="shared" si="21"/>
        <v>253.77315156103009</v>
      </c>
      <c r="BT5" s="18">
        <f t="shared" si="22"/>
        <v>46.933033590350661</v>
      </c>
      <c r="BU5" s="18">
        <f t="shared" si="23"/>
        <v>129.87304093062511</v>
      </c>
      <c r="BV5" s="11">
        <f t="shared" si="63"/>
        <v>0.13197829222059454</v>
      </c>
      <c r="BW5" s="11">
        <f t="shared" si="64"/>
        <v>3.2651985752359991</v>
      </c>
      <c r="BX5" s="11">
        <f t="shared" si="65"/>
        <v>-0.50027887839475937</v>
      </c>
      <c r="BY5" s="11">
        <f t="shared" si="24"/>
        <v>171.17307780742678</v>
      </c>
      <c r="BZ5" s="11">
        <f t="shared" si="25"/>
        <v>6.4047144258982414</v>
      </c>
      <c r="CA5" s="11">
        <f t="shared" si="26"/>
        <v>2.7543317398964997</v>
      </c>
      <c r="CB5" s="11">
        <f t="shared" si="27"/>
        <v>6.1468578688842008</v>
      </c>
      <c r="CC5" s="11">
        <f t="shared" si="28"/>
        <v>3.0339080672759127</v>
      </c>
      <c r="CD5" s="11">
        <f t="shared" si="29"/>
        <v>52.939842280291394</v>
      </c>
      <c r="CE5" s="11">
        <f t="shared" si="30"/>
        <v>51.972386345549808</v>
      </c>
      <c r="CF5" s="11">
        <f t="shared" si="31"/>
        <v>52.456114312920604</v>
      </c>
      <c r="CG5" s="14">
        <f t="shared" si="32"/>
        <v>1.3978749498049226E-3</v>
      </c>
      <c r="CH5" s="14">
        <f t="shared" si="33"/>
        <v>-1.4756673033553103E-2</v>
      </c>
      <c r="CI5" s="14">
        <f t="shared" si="34"/>
        <v>2.0207186853191672E-2</v>
      </c>
      <c r="CJ5" s="19"/>
      <c r="CK5" s="12"/>
      <c r="CL5" s="12"/>
      <c r="CM5" s="12"/>
      <c r="CP5" s="17"/>
      <c r="CQ5" s="20"/>
      <c r="CR5" s="20"/>
      <c r="CS5" s="21"/>
      <c r="CZ5" s="14"/>
      <c r="DA5" s="14"/>
      <c r="DB5" s="14"/>
      <c r="DC5" s="14"/>
      <c r="DH5" s="12"/>
    </row>
    <row r="6" spans="1:139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66"/>
        <v>0.22676621932328164</v>
      </c>
      <c r="I6" s="12">
        <f t="shared" si="67"/>
        <v>0.46145041845044033</v>
      </c>
      <c r="J6" s="12">
        <f t="shared" si="0"/>
        <v>7.0307809725521794E-2</v>
      </c>
      <c r="K6" s="56">
        <f t="shared" si="35"/>
        <v>6.7302718697719865E-2</v>
      </c>
      <c r="L6" s="56">
        <f>SUM(K$3:$K6)</f>
        <v>0.25296597596281678</v>
      </c>
      <c r="M6" s="69">
        <f t="shared" si="68"/>
        <v>0.69903491175820132</v>
      </c>
      <c r="N6" s="55">
        <f t="shared" si="36"/>
        <v>1.5276458095088427E-4</v>
      </c>
      <c r="O6" s="57">
        <f t="shared" si="37"/>
        <v>1.0265500870415706E-8</v>
      </c>
      <c r="P6" s="53">
        <f>SUM(O$2:$O6)</f>
        <v>4.7688429583695914E-8</v>
      </c>
      <c r="Q6" s="55">
        <f t="shared" si="38"/>
        <v>1.0070833575766499E-3</v>
      </c>
      <c r="R6" s="54">
        <f t="shared" si="1"/>
        <v>0.3415832753158376</v>
      </c>
      <c r="S6" s="58">
        <f t="shared" si="39"/>
        <v>1.4763332675268217E-3</v>
      </c>
      <c r="T6" s="58">
        <f t="shared" si="40"/>
        <v>0.97899082368937451</v>
      </c>
      <c r="U6" s="58">
        <f t="shared" si="41"/>
        <v>4.233245699219226E-3</v>
      </c>
      <c r="V6" s="11">
        <f t="shared" si="42"/>
        <v>6.2206916067400284</v>
      </c>
      <c r="W6" s="55">
        <f t="shared" si="43"/>
        <v>4.2929216120925873E-2</v>
      </c>
      <c r="X6" s="56">
        <f t="shared" si="2"/>
        <v>-7.1280005294949156E-3</v>
      </c>
      <c r="Y6" s="55">
        <f t="shared" si="3"/>
        <v>1.1048600159353217E-2</v>
      </c>
      <c r="Z6" s="55">
        <f t="shared" si="4"/>
        <v>4.1343591000642327E-3</v>
      </c>
      <c r="AA6" s="55">
        <f t="shared" si="44"/>
        <v>1.0414365306794487E-2</v>
      </c>
      <c r="AB6" s="55" t="e">
        <f>SQRT((Q6/M6)^2 + (0.0002/I6)^2)*#REF!</f>
        <v>#REF!</v>
      </c>
      <c r="AC6" s="14">
        <f t="shared" si="45"/>
        <v>6.1652473092709252</v>
      </c>
      <c r="AD6" s="1">
        <f t="shared" si="46"/>
        <v>6.4562339221347438</v>
      </c>
      <c r="AE6" s="14">
        <f t="shared" si="47"/>
        <v>2.7671748168664578</v>
      </c>
      <c r="AF6" s="59">
        <f t="shared" si="5"/>
        <v>236.45019483337285</v>
      </c>
      <c r="AG6" s="60">
        <f t="shared" si="6"/>
        <v>259.29681737818163</v>
      </c>
      <c r="AH6" s="61">
        <f t="shared" si="7"/>
        <v>47.633431035544241</v>
      </c>
      <c r="AI6" s="60">
        <f t="shared" si="8"/>
        <v>129.76002148987999</v>
      </c>
      <c r="AJ6" s="7"/>
      <c r="AK6" s="12">
        <f t="shared" si="48"/>
        <v>0.69903491175820132</v>
      </c>
      <c r="AL6" s="28">
        <f t="shared" si="9"/>
        <v>0.3415832753158376</v>
      </c>
      <c r="AM6" s="28">
        <f t="shared" si="49"/>
        <v>1.0214600339474598</v>
      </c>
      <c r="AN6" s="22">
        <f t="shared" si="69"/>
        <v>6.2206916067400284</v>
      </c>
      <c r="AO6" s="22">
        <f t="shared" si="50"/>
        <v>3.5669827373839191</v>
      </c>
      <c r="AP6" s="24">
        <f t="shared" si="10"/>
        <v>-7.1280004971914224E-3</v>
      </c>
      <c r="AQ6" s="32">
        <f t="shared" si="51"/>
        <v>258.84390823897314</v>
      </c>
      <c r="AR6" s="32">
        <f t="shared" si="52"/>
        <v>47.143249997541901</v>
      </c>
      <c r="AS6" s="18">
        <f t="shared" si="53"/>
        <v>132.76725456986023</v>
      </c>
      <c r="AT6" s="22">
        <f t="shared" si="11"/>
        <v>-0.45290913920848652</v>
      </c>
      <c r="AU6" s="22">
        <f t="shared" si="12"/>
        <v>-0.49018103800234059</v>
      </c>
      <c r="AV6" s="22">
        <f t="shared" si="13"/>
        <v>3.0072330799802387</v>
      </c>
      <c r="AW6" s="22">
        <f t="shared" si="14"/>
        <v>0.12343852086956852</v>
      </c>
      <c r="AX6" s="7"/>
      <c r="AY6" s="31"/>
      <c r="AZ6" s="65"/>
      <c r="BA6" s="55">
        <v>0.21654572005565328</v>
      </c>
      <c r="BB6" s="55">
        <v>0.50523364660407455</v>
      </c>
      <c r="BC6" s="12">
        <f t="shared" si="54"/>
        <v>0.22676621932328164</v>
      </c>
      <c r="BD6" s="12">
        <f t="shared" si="55"/>
        <v>0.46145041845044033</v>
      </c>
      <c r="BE6" s="55">
        <v>0.6991692127510416</v>
      </c>
      <c r="BF6" s="59">
        <f t="shared" si="15"/>
        <v>0.34178019160626694</v>
      </c>
      <c r="BG6" s="59">
        <f t="shared" si="16"/>
        <v>1.0208715208456283</v>
      </c>
      <c r="BH6" s="53">
        <f t="shared" si="56"/>
        <v>6.2171075619498737</v>
      </c>
      <c r="BI6" s="53">
        <f t="shared" si="17"/>
        <v>3.4635885326597702</v>
      </c>
      <c r="BJ6" s="55">
        <f t="shared" si="18"/>
        <v>-6.9331942858743556E-3</v>
      </c>
      <c r="BK6" s="53">
        <f t="shared" si="19"/>
        <v>2.0044316145419572E-2</v>
      </c>
      <c r="BL6" s="14">
        <f t="shared" si="57"/>
        <v>6.1664317978004872</v>
      </c>
      <c r="BM6" s="14">
        <f t="shared" si="58"/>
        <v>6.4574743160137436</v>
      </c>
      <c r="BN6" s="14">
        <f t="shared" si="59"/>
        <v>2.7677064560149707</v>
      </c>
      <c r="BO6" s="14">
        <f t="shared" si="60"/>
        <v>236.40477593427903</v>
      </c>
      <c r="BP6" s="15">
        <f t="shared" si="61"/>
        <v>259.24700995048153</v>
      </c>
      <c r="BQ6" s="16">
        <f t="shared" si="62"/>
        <v>47.62428129473215</v>
      </c>
      <c r="BR6" s="60">
        <f t="shared" si="20"/>
        <v>129.73509633671347</v>
      </c>
      <c r="BS6" s="63">
        <f t="shared" si="21"/>
        <v>258.37176515362637</v>
      </c>
      <c r="BT6" s="63">
        <f t="shared" si="22"/>
        <v>47.132435319691773</v>
      </c>
      <c r="BU6" s="63">
        <f t="shared" si="23"/>
        <v>132.49232516024554</v>
      </c>
      <c r="BV6" s="11">
        <f t="shared" si="63"/>
        <v>-0.87524479685515644</v>
      </c>
      <c r="BW6" s="11">
        <f t="shared" si="64"/>
        <v>2.7572288235320741</v>
      </c>
      <c r="BX6" s="11">
        <f t="shared" si="65"/>
        <v>-0.49184597504037697</v>
      </c>
      <c r="BY6" s="53">
        <f t="shared" si="24"/>
        <v>174.45213849137249</v>
      </c>
      <c r="BZ6" s="53">
        <f t="shared" si="25"/>
        <v>6.4465645485450613</v>
      </c>
      <c r="CA6" s="53">
        <f t="shared" si="26"/>
        <v>2.7533774391403831</v>
      </c>
      <c r="CB6" s="53">
        <f t="shared" si="27"/>
        <v>6.1780363649449148</v>
      </c>
      <c r="CC6" s="53">
        <f t="shared" si="28"/>
        <v>3.0456723617717554</v>
      </c>
      <c r="CD6" s="53">
        <f t="shared" si="29"/>
        <v>53.455349190491233</v>
      </c>
      <c r="CE6" s="53">
        <f t="shared" si="30"/>
        <v>52.396143208561099</v>
      </c>
      <c r="CF6" s="53">
        <f t="shared" si="31"/>
        <v>52.925746199526166</v>
      </c>
      <c r="CG6" s="59">
        <f t="shared" si="32"/>
        <v>-9.6693735896824506E-3</v>
      </c>
      <c r="CH6" s="59">
        <f t="shared" si="33"/>
        <v>-1.37973777260747E-2</v>
      </c>
      <c r="CI6" s="59">
        <f t="shared" si="34"/>
        <v>1.278905567398958E-2</v>
      </c>
      <c r="CJ6" s="55"/>
      <c r="CK6" s="55"/>
      <c r="CL6" s="55"/>
      <c r="CM6" s="55"/>
      <c r="CP6" s="62"/>
      <c r="CQ6" s="64"/>
      <c r="CR6" s="64"/>
      <c r="CS6" s="57"/>
      <c r="CZ6" s="59"/>
      <c r="DA6" s="59"/>
      <c r="DB6" s="59"/>
      <c r="DC6" s="59"/>
      <c r="DH6" s="55"/>
    </row>
    <row r="7" spans="1:139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6"/>
        <v>0.22496299651535173</v>
      </c>
      <c r="I7" s="12">
        <f t="shared" si="67"/>
        <v>0.45795413466486506</v>
      </c>
      <c r="J7" s="12">
        <f t="shared" si="0"/>
        <v>6.8793892507287013E-2</v>
      </c>
      <c r="K7" s="13">
        <f t="shared" si="35"/>
        <v>6.8856661445722681E-2</v>
      </c>
      <c r="L7" s="13">
        <f>SUM(K$3:$K7)</f>
        <v>0.32182263740853945</v>
      </c>
      <c r="M7" s="69">
        <f t="shared" si="68"/>
        <v>0.69769553085384417</v>
      </c>
      <c r="N7" s="12">
        <f t="shared" si="36"/>
        <v>1.4984065271274547E-4</v>
      </c>
      <c r="O7" s="21">
        <f t="shared" si="37"/>
        <v>1.0840844214984978E-8</v>
      </c>
      <c r="P7" s="11">
        <f>SUM(O$2:$O7)</f>
        <v>5.8529273798680891E-8</v>
      </c>
      <c r="Q7" s="12">
        <f t="shared" si="38"/>
        <v>1.0090034764039212E-3</v>
      </c>
      <c r="R7" s="3">
        <f t="shared" si="1"/>
        <v>0.33962357033098339</v>
      </c>
      <c r="S7" s="1">
        <f t="shared" si="39"/>
        <v>1.4734852724939988E-3</v>
      </c>
      <c r="T7" s="1">
        <f t="shared" si="40"/>
        <v>0.97337423372156451</v>
      </c>
      <c r="U7" s="1">
        <f t="shared" si="41"/>
        <v>4.2250832357600045E-3</v>
      </c>
      <c r="V7" s="11">
        <f t="shared" si="42"/>
        <v>6.2565864073838373</v>
      </c>
      <c r="W7" s="12">
        <f t="shared" si="43"/>
        <v>4.3241865799697715E-2</v>
      </c>
      <c r="X7" s="13">
        <f t="shared" si="2"/>
        <v>-9.0769582243251934E-3</v>
      </c>
      <c r="Y7" s="12">
        <f t="shared" si="3"/>
        <v>1.1177218974881798E-2</v>
      </c>
      <c r="Z7" s="12">
        <f t="shared" si="4"/>
        <v>4.1411342488890607E-3</v>
      </c>
      <c r="AA7" s="12">
        <f t="shared" si="44"/>
        <v>1.0529832087588798E-2</v>
      </c>
      <c r="AB7" s="12" t="e">
        <f>SQRT((Q7/M7)^2 + (0.0002/I7)^2)*#REF!</f>
        <v>#REF!</v>
      </c>
      <c r="AC7" s="14">
        <f t="shared" si="45"/>
        <v>6.2027581572174926</v>
      </c>
      <c r="AD7" s="1">
        <f t="shared" si="46"/>
        <v>6.497876005845705</v>
      </c>
      <c r="AE7" s="14">
        <f t="shared" si="47"/>
        <v>2.761872791107248</v>
      </c>
      <c r="AF7" s="14">
        <f t="shared" si="5"/>
        <v>240.71721154344485</v>
      </c>
      <c r="AG7" s="15">
        <f t="shared" si="6"/>
        <v>264.16804754920889</v>
      </c>
      <c r="AH7" s="16">
        <f t="shared" si="7"/>
        <v>47.724873943111589</v>
      </c>
      <c r="AI7" s="15">
        <f t="shared" si="8"/>
        <v>133.54204565433966</v>
      </c>
      <c r="AJ7" s="7"/>
      <c r="AK7" s="12">
        <f t="shared" si="48"/>
        <v>0.69769553085384417</v>
      </c>
      <c r="AL7" s="14">
        <f t="shared" si="9"/>
        <v>0.33962357033098339</v>
      </c>
      <c r="AM7" s="14">
        <f t="shared" si="49"/>
        <v>1.0273540898824036</v>
      </c>
      <c r="AN7" s="11">
        <f t="shared" si="69"/>
        <v>6.2565864073838373</v>
      </c>
      <c r="AO7" s="11">
        <f t="shared" si="50"/>
        <v>4.5835518275944374</v>
      </c>
      <c r="AP7" s="12">
        <f t="shared" si="10"/>
        <v>-9.076958183110384E-3</v>
      </c>
      <c r="AQ7" s="18">
        <f t="shared" si="51"/>
        <v>264.1569225718041</v>
      </c>
      <c r="AR7" s="18">
        <f t="shared" si="52"/>
        <v>47.36504718643512</v>
      </c>
      <c r="AS7" s="18">
        <f t="shared" si="53"/>
        <v>135.79573299838376</v>
      </c>
      <c r="AT7" s="11">
        <f t="shared" si="11"/>
        <v>-1.112497740479057E-2</v>
      </c>
      <c r="AU7" s="11">
        <f t="shared" si="12"/>
        <v>-0.35982675667646902</v>
      </c>
      <c r="AV7" s="11">
        <f t="shared" si="13"/>
        <v>2.2536873440440957</v>
      </c>
      <c r="AW7" s="11">
        <f t="shared" si="14"/>
        <v>0.1499886488321609</v>
      </c>
      <c r="AX7" s="7"/>
      <c r="AY7" s="17"/>
      <c r="AZ7" s="65"/>
      <c r="BA7" s="12">
        <v>0.21474572005565329</v>
      </c>
      <c r="BB7" s="12">
        <v>0.50523364660407455</v>
      </c>
      <c r="BC7" s="12">
        <f t="shared" si="54"/>
        <v>0.22496299651535173</v>
      </c>
      <c r="BD7" s="12">
        <f t="shared" si="55"/>
        <v>0.45795413466486506</v>
      </c>
      <c r="BE7" s="12">
        <v>0.69785873556139133</v>
      </c>
      <c r="BF7" s="14">
        <f t="shared" si="15"/>
        <v>0.33986195998565083</v>
      </c>
      <c r="BG7" s="14">
        <f t="shared" si="16"/>
        <v>1.0266334720565118</v>
      </c>
      <c r="BH7" s="11">
        <f t="shared" si="56"/>
        <v>6.2521978448241553</v>
      </c>
      <c r="BI7" s="11">
        <f t="shared" si="17"/>
        <v>4.4561174815329894</v>
      </c>
      <c r="BJ7" s="12">
        <f t="shared" si="18"/>
        <v>-8.8388754976105322E-3</v>
      </c>
      <c r="BK7" s="11">
        <f t="shared" si="19"/>
        <v>2.2554302770712908E-2</v>
      </c>
      <c r="BL7" s="14">
        <f t="shared" si="57"/>
        <v>6.2042091043516896</v>
      </c>
      <c r="BM7" s="14">
        <f t="shared" si="58"/>
        <v>6.4993959868493301</v>
      </c>
      <c r="BN7" s="14">
        <f t="shared" si="59"/>
        <v>2.7625188474759961</v>
      </c>
      <c r="BO7" s="14">
        <f t="shared" si="60"/>
        <v>240.66091622161312</v>
      </c>
      <c r="BP7" s="15">
        <f t="shared" si="61"/>
        <v>264.10626789847646</v>
      </c>
      <c r="BQ7" s="16">
        <f t="shared" si="62"/>
        <v>47.713712767220677</v>
      </c>
      <c r="BR7" s="15">
        <f t="shared" si="20"/>
        <v>133.5108148487401</v>
      </c>
      <c r="BS7" s="18">
        <f t="shared" si="21"/>
        <v>263.69276983373243</v>
      </c>
      <c r="BT7" s="18">
        <f t="shared" si="22"/>
        <v>47.349369380190012</v>
      </c>
      <c r="BU7" s="18">
        <f t="shared" si="23"/>
        <v>135.53122442089833</v>
      </c>
      <c r="BV7" s="11">
        <f t="shared" si="63"/>
        <v>-0.41349806474403294</v>
      </c>
      <c r="BW7" s="11">
        <f t="shared" si="64"/>
        <v>2.0204095721582291</v>
      </c>
      <c r="BX7" s="11">
        <f t="shared" si="65"/>
        <v>-0.36434338703066516</v>
      </c>
      <c r="BY7" s="11">
        <f t="shared" si="24"/>
        <v>178.25173955850968</v>
      </c>
      <c r="BZ7" s="11">
        <f t="shared" si="25"/>
        <v>6.4943061030977658</v>
      </c>
      <c r="CA7" s="11">
        <f t="shared" si="26"/>
        <v>2.7519512955804148</v>
      </c>
      <c r="CB7" s="11">
        <f t="shared" si="27"/>
        <v>6.2135256686324425</v>
      </c>
      <c r="CC7" s="11">
        <f t="shared" si="28"/>
        <v>3.0589693450202091</v>
      </c>
      <c r="CD7" s="11">
        <f t="shared" si="29"/>
        <v>54.041930710680823</v>
      </c>
      <c r="CE7" s="11">
        <f t="shared" si="30"/>
        <v>52.871210032465811</v>
      </c>
      <c r="CF7" s="11">
        <f t="shared" si="31"/>
        <v>53.456570371573321</v>
      </c>
      <c r="CG7" s="14">
        <f t="shared" si="32"/>
        <v>-3.5699027479392242E-3</v>
      </c>
      <c r="CH7" s="14">
        <f t="shared" si="33"/>
        <v>-9.9214955268331906E-3</v>
      </c>
      <c r="CI7" s="14">
        <f t="shared" si="34"/>
        <v>1.0767511414949915E-2</v>
      </c>
      <c r="CJ7" s="19"/>
      <c r="CK7" s="12"/>
      <c r="CL7" s="12"/>
      <c r="CM7" s="12"/>
      <c r="CP7" s="17"/>
      <c r="CQ7" s="20"/>
      <c r="CR7" s="20"/>
      <c r="CS7" s="21"/>
      <c r="CZ7" s="14"/>
      <c r="DA7" s="14"/>
      <c r="DB7" s="14"/>
      <c r="DC7" s="14"/>
      <c r="DH7" s="12"/>
    </row>
    <row r="8" spans="1:139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6"/>
        <v>0.22376844444720004</v>
      </c>
      <c r="I8" s="12">
        <f t="shared" si="67"/>
        <v>0.45559644121199777</v>
      </c>
      <c r="J8" s="12">
        <f t="shared" si="0"/>
        <v>6.7807165094839389E-2</v>
      </c>
      <c r="K8" s="13">
        <f t="shared" si="35"/>
        <v>4.7039178187553043E-2</v>
      </c>
      <c r="L8" s="13">
        <f>SUM(K$3:$K8)</f>
        <v>0.36886181559609249</v>
      </c>
      <c r="M8" s="69">
        <f t="shared" si="68"/>
        <v>0.69678348463151085</v>
      </c>
      <c r="N8" s="12">
        <f t="shared" si="36"/>
        <v>1.4761406785215972E-4</v>
      </c>
      <c r="O8" s="21">
        <f t="shared" si="37"/>
        <v>5.0935317558639293E-9</v>
      </c>
      <c r="P8" s="11">
        <f>SUM(O$2:$O8)</f>
        <v>6.3622805554544815E-8</v>
      </c>
      <c r="Q8" s="12">
        <f t="shared" si="38"/>
        <v>1.0103129120707397E-3</v>
      </c>
      <c r="R8" s="13">
        <f t="shared" si="1"/>
        <v>0.3382934156696889</v>
      </c>
      <c r="S8" s="1">
        <f t="shared" si="39"/>
        <v>1.47154265331224E-3</v>
      </c>
      <c r="T8" s="1">
        <f t="shared" si="40"/>
        <v>0.96956195922922905</v>
      </c>
      <c r="U8" s="1">
        <f t="shared" si="41"/>
        <v>4.2195156143619529E-3</v>
      </c>
      <c r="V8" s="11">
        <f t="shared" si="42"/>
        <v>6.2811870268109073</v>
      </c>
      <c r="W8" s="12">
        <f t="shared" si="43"/>
        <v>4.3456547485372969E-2</v>
      </c>
      <c r="X8" s="13">
        <f t="shared" si="2"/>
        <v>-1.0410530561288933E-2</v>
      </c>
      <c r="Y8" s="12">
        <f t="shared" si="3"/>
        <v>1.1278206440085342E-2</v>
      </c>
      <c r="Z8" s="12">
        <f t="shared" si="4"/>
        <v>4.145757408750725E-3</v>
      </c>
      <c r="AA8" s="12">
        <f t="shared" si="44"/>
        <v>1.060770540737495E-2</v>
      </c>
      <c r="AB8" s="12" t="e">
        <f>SQRT((Q8/M8)^2 + (0.0002/I8)^2)*#REF!</f>
        <v>#REF!</v>
      </c>
      <c r="AC8" s="14">
        <f t="shared" si="45"/>
        <v>6.2277188935450862</v>
      </c>
      <c r="AD8" s="1">
        <f t="shared" si="46"/>
        <v>6.5319659044460625</v>
      </c>
      <c r="AE8" s="14">
        <f t="shared" si="47"/>
        <v>2.7582623972688185</v>
      </c>
      <c r="AF8" s="14">
        <f t="shared" si="5"/>
        <v>243.61258905558932</v>
      </c>
      <c r="AG8" s="15">
        <f t="shared" si="6"/>
        <v>267.99675983529244</v>
      </c>
      <c r="AH8" s="16">
        <f t="shared" si="7"/>
        <v>47.78734283330661</v>
      </c>
      <c r="AI8" s="15">
        <f t="shared" si="8"/>
        <v>135.84581799912456</v>
      </c>
      <c r="AJ8" s="7"/>
      <c r="AK8" s="12">
        <f t="shared" si="48"/>
        <v>0.69678348463151085</v>
      </c>
      <c r="AL8" s="14">
        <f t="shared" si="9"/>
        <v>0.3382934156696889</v>
      </c>
      <c r="AM8" s="14">
        <f t="shared" si="49"/>
        <v>1.0313936004615611</v>
      </c>
      <c r="AN8" s="11">
        <f t="shared" si="69"/>
        <v>6.2811870268109073</v>
      </c>
      <c r="AO8" s="11">
        <f t="shared" si="50"/>
        <v>5.289486483485935</v>
      </c>
      <c r="AP8" s="12">
        <f t="shared" si="10"/>
        <v>-1.0410530513957128E-2</v>
      </c>
      <c r="AQ8" s="18">
        <f t="shared" si="51"/>
        <v>267.8250710522164</v>
      </c>
      <c r="AR8" s="18">
        <f t="shared" si="52"/>
        <v>47.508983858893686</v>
      </c>
      <c r="AS8" s="18">
        <f t="shared" si="53"/>
        <v>137.89210161621207</v>
      </c>
      <c r="AT8" s="11">
        <f t="shared" si="11"/>
        <v>-0.17168878307603563</v>
      </c>
      <c r="AU8" s="11">
        <f t="shared" si="12"/>
        <v>-0.27835897441292445</v>
      </c>
      <c r="AV8" s="11">
        <f t="shared" si="13"/>
        <v>2.0462836170875107</v>
      </c>
      <c r="AW8" s="11">
        <f t="shared" si="14"/>
        <v>0.16721446142081131</v>
      </c>
      <c r="AX8" s="7"/>
      <c r="AY8" s="17"/>
      <c r="AZ8" s="65"/>
      <c r="BA8" s="12">
        <v>0.21334572005565328</v>
      </c>
      <c r="BB8" s="12">
        <v>0.50523364660407455</v>
      </c>
      <c r="BC8" s="12">
        <f t="shared" si="54"/>
        <v>0.22376844444720004</v>
      </c>
      <c r="BD8" s="12">
        <f t="shared" si="55"/>
        <v>0.45559644121199777</v>
      </c>
      <c r="BE8" s="12">
        <v>0.69691659170467424</v>
      </c>
      <c r="BF8" s="14">
        <f t="shared" si="15"/>
        <v>0.33848732604475734</v>
      </c>
      <c r="BG8" s="14">
        <f t="shared" si="16"/>
        <v>1.0308027425341886</v>
      </c>
      <c r="BH8" s="11">
        <f t="shared" si="56"/>
        <v>6.2775887020332082</v>
      </c>
      <c r="BI8" s="11">
        <f t="shared" si="17"/>
        <v>5.1841634767805989</v>
      </c>
      <c r="BJ8" s="12">
        <f t="shared" si="18"/>
        <v>-1.0215578163368155E-2</v>
      </c>
      <c r="BK8" s="11">
        <f t="shared" si="19"/>
        <v>6.1891454715475192E-2</v>
      </c>
      <c r="BL8" s="14">
        <f t="shared" si="57"/>
        <v>6.2289085793695751</v>
      </c>
      <c r="BM8" s="14">
        <f t="shared" si="58"/>
        <v>6.533213710805887</v>
      </c>
      <c r="BN8" s="14">
        <f t="shared" si="59"/>
        <v>2.7587893102092296</v>
      </c>
      <c r="BO8" s="14">
        <f t="shared" si="60"/>
        <v>243.56606044786076</v>
      </c>
      <c r="BP8" s="15">
        <f t="shared" si="61"/>
        <v>267.94557399075444</v>
      </c>
      <c r="BQ8" s="16">
        <f t="shared" si="62"/>
        <v>47.778215724819724</v>
      </c>
      <c r="BR8" s="15">
        <f t="shared" si="20"/>
        <v>135.81987222677446</v>
      </c>
      <c r="BS8" s="18">
        <f t="shared" si="21"/>
        <v>267.57371843445844</v>
      </c>
      <c r="BT8" s="18">
        <f t="shared" si="22"/>
        <v>47.498346047803523</v>
      </c>
      <c r="BU8" s="18">
        <f t="shared" si="23"/>
        <v>137.75316288183407</v>
      </c>
      <c r="BV8" s="11">
        <f t="shared" si="63"/>
        <v>-0.37185555629599776</v>
      </c>
      <c r="BW8" s="11">
        <f t="shared" si="64"/>
        <v>1.9332906550596078</v>
      </c>
      <c r="BX8" s="11">
        <f t="shared" si="65"/>
        <v>-0.27986967701620102</v>
      </c>
      <c r="BY8" s="11">
        <f t="shared" si="24"/>
        <v>181.02668139937555</v>
      </c>
      <c r="BZ8" s="11">
        <f t="shared" si="25"/>
        <v>6.528678731455388</v>
      </c>
      <c r="CA8" s="11">
        <f t="shared" si="26"/>
        <v>2.7506973851886443</v>
      </c>
      <c r="CB8" s="11">
        <f t="shared" si="27"/>
        <v>6.2390244413229565</v>
      </c>
      <c r="CC8" s="11">
        <f t="shared" si="28"/>
        <v>3.06846026156337</v>
      </c>
      <c r="CD8" s="11">
        <f t="shared" si="29"/>
        <v>54.46311873920699</v>
      </c>
      <c r="CE8" s="11">
        <f t="shared" si="30"/>
        <v>53.207420167630822</v>
      </c>
      <c r="CF8" s="11">
        <f t="shared" si="31"/>
        <v>53.835269453418903</v>
      </c>
      <c r="CG8" s="14">
        <f t="shared" si="32"/>
        <v>-3.2871729906744918E-3</v>
      </c>
      <c r="CH8" s="14">
        <f t="shared" si="33"/>
        <v>-7.5650120801742382E-3</v>
      </c>
      <c r="CI8" s="14">
        <f t="shared" si="34"/>
        <v>1.1305547777870295E-2</v>
      </c>
      <c r="CJ8" s="19"/>
      <c r="CK8" s="12"/>
      <c r="CL8" s="12"/>
      <c r="CM8" s="12"/>
      <c r="CP8" s="17"/>
      <c r="CQ8" s="20"/>
      <c r="CR8" s="20"/>
      <c r="CS8" s="21"/>
      <c r="CZ8" s="14"/>
      <c r="DA8" s="14"/>
      <c r="DB8" s="14"/>
      <c r="DC8" s="14"/>
      <c r="DH8" s="12"/>
    </row>
    <row r="9" spans="1:139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6"/>
        <v>0.22268123353394198</v>
      </c>
      <c r="I9" s="12">
        <f t="shared" si="67"/>
        <v>0.4534778579370875</v>
      </c>
      <c r="J9" s="12">
        <f t="shared" si="0"/>
        <v>6.7013107359622848E-2</v>
      </c>
      <c r="K9" s="13">
        <f t="shared" si="35"/>
        <v>4.3524334638699966E-2</v>
      </c>
      <c r="L9" s="13">
        <f>SUM(K$3:$K9)</f>
        <v>0.41238615023479247</v>
      </c>
      <c r="M9" s="69">
        <f t="shared" si="68"/>
        <v>0.69594170931186849</v>
      </c>
      <c r="N9" s="12">
        <f t="shared" si="36"/>
        <v>1.4548020576010275E-4</v>
      </c>
      <c r="O9" s="21">
        <f t="shared" si="37"/>
        <v>4.3650510903554069E-9</v>
      </c>
      <c r="P9" s="11">
        <f>SUM(O$2:$O9)</f>
        <v>6.7987856644900228E-8</v>
      </c>
      <c r="Q9" s="12">
        <f t="shared" si="38"/>
        <v>1.0115227535893519E-3</v>
      </c>
      <c r="R9" s="3">
        <f t="shared" si="1"/>
        <v>0.33706883226847162</v>
      </c>
      <c r="S9" s="1">
        <f t="shared" si="39"/>
        <v>1.4697472021147214E-3</v>
      </c>
      <c r="T9" s="1">
        <f t="shared" si="40"/>
        <v>0.96605225603452338</v>
      </c>
      <c r="U9" s="1">
        <f t="shared" si="41"/>
        <v>4.2143697820751485E-3</v>
      </c>
      <c r="V9" s="11">
        <f t="shared" si="42"/>
        <v>6.3040068091123667</v>
      </c>
      <c r="W9" s="12">
        <f t="shared" si="43"/>
        <v>4.3655981616949911E-2</v>
      </c>
      <c r="X9" s="13">
        <f t="shared" si="2"/>
        <v>-1.164600998661125E-2</v>
      </c>
      <c r="Y9" s="12">
        <f t="shared" si="3"/>
        <v>1.1394288644153329E-2</v>
      </c>
      <c r="Z9" s="12">
        <f t="shared" si="4"/>
        <v>4.1588312946318241E-3</v>
      </c>
      <c r="AA9" s="12">
        <f t="shared" si="44"/>
        <v>1.0679519383003475E-2</v>
      </c>
      <c r="AB9" s="12" t="e">
        <f>SQRT((Q9/M9)^2 + (0.0002/I9)^2)*#REF!</f>
        <v>#REF!</v>
      </c>
      <c r="AC9" s="14">
        <f t="shared" si="45"/>
        <v>6.2505645246103798</v>
      </c>
      <c r="AD9" s="1">
        <f t="shared" si="46"/>
        <v>6.5733721477718996</v>
      </c>
      <c r="AE9" s="14">
        <f t="shared" si="47"/>
        <v>2.7603937737948043</v>
      </c>
      <c r="AF9" s="14">
        <f t="shared" si="5"/>
        <v>246.29475257731019</v>
      </c>
      <c r="AG9" s="15">
        <f t="shared" si="6"/>
        <v>272.3912258785673</v>
      </c>
      <c r="AH9" s="16">
        <f t="shared" si="7"/>
        <v>48.0351058333938</v>
      </c>
      <c r="AI9" s="15">
        <f t="shared" si="8"/>
        <v>137.17630425989404</v>
      </c>
      <c r="AJ9" s="7"/>
      <c r="AK9" s="12">
        <f t="shared" si="48"/>
        <v>0.69594170931186849</v>
      </c>
      <c r="AL9" s="14">
        <f t="shared" si="9"/>
        <v>0.33706883226847162</v>
      </c>
      <c r="AM9" s="14">
        <f t="shared" si="49"/>
        <v>1.0351406911514562</v>
      </c>
      <c r="AN9" s="11">
        <f t="shared" si="69"/>
        <v>6.3040068091123667</v>
      </c>
      <c r="AO9" s="11">
        <f t="shared" si="50"/>
        <v>5.9510408366639078</v>
      </c>
      <c r="AP9" s="12">
        <f t="shared" si="10"/>
        <v>-1.1646009933598656E-2</v>
      </c>
      <c r="AQ9" s="18">
        <f t="shared" si="51"/>
        <v>271.24718191872671</v>
      </c>
      <c r="AR9" s="18">
        <f t="shared" si="52"/>
        <v>47.636537753710527</v>
      </c>
      <c r="AS9" s="18">
        <f t="shared" si="53"/>
        <v>139.85187538631234</v>
      </c>
      <c r="AT9" s="11">
        <f t="shared" si="11"/>
        <v>-1.1440439598405874</v>
      </c>
      <c r="AU9" s="11">
        <f t="shared" si="12"/>
        <v>-0.39856807968327246</v>
      </c>
      <c r="AV9" s="11">
        <f t="shared" si="13"/>
        <v>2.6755711264183049</v>
      </c>
      <c r="AW9" s="11">
        <f t="shared" si="14"/>
        <v>0.1831042740023241</v>
      </c>
      <c r="AX9" s="7"/>
      <c r="AY9" s="17"/>
      <c r="AZ9" s="65"/>
      <c r="BA9" s="12">
        <v>0.21174572005565329</v>
      </c>
      <c r="BB9" s="12">
        <v>0.50423364660407455</v>
      </c>
      <c r="BC9" s="12">
        <f t="shared" si="54"/>
        <v>0.22268123353394198</v>
      </c>
      <c r="BD9" s="12">
        <f t="shared" si="55"/>
        <v>0.4534778579370875</v>
      </c>
      <c r="BE9" s="12">
        <v>0.69599233570310903</v>
      </c>
      <c r="BF9" s="14">
        <f t="shared" si="15"/>
        <v>0.33714239799852347</v>
      </c>
      <c r="BG9" s="14">
        <f t="shared" si="16"/>
        <v>1.0349148195876807</v>
      </c>
      <c r="BH9" s="11">
        <f t="shared" si="56"/>
        <v>6.3026312512889744</v>
      </c>
      <c r="BI9" s="11">
        <f t="shared" si="17"/>
        <v>5.9103578191630648</v>
      </c>
      <c r="BJ9" s="12">
        <f t="shared" si="18"/>
        <v>-1.1571578513374647E-2</v>
      </c>
      <c r="BK9" s="11">
        <f t="shared" si="19"/>
        <v>0.14242125650148107</v>
      </c>
      <c r="BL9" s="14">
        <f t="shared" si="57"/>
        <v>6.2510192229290222</v>
      </c>
      <c r="BM9" s="14">
        <f t="shared" si="58"/>
        <v>6.5738503287828518</v>
      </c>
      <c r="BN9" s="14">
        <f t="shared" si="59"/>
        <v>2.7605945790825177</v>
      </c>
      <c r="BO9" s="14">
        <f t="shared" si="60"/>
        <v>246.2768371293019</v>
      </c>
      <c r="BP9" s="15">
        <f t="shared" si="61"/>
        <v>272.37141217651282</v>
      </c>
      <c r="BQ9" s="16">
        <f t="shared" si="62"/>
        <v>48.031611766093853</v>
      </c>
      <c r="BR9" s="15">
        <f t="shared" si="20"/>
        <v>137.16632607350874</v>
      </c>
      <c r="BS9" s="18">
        <f t="shared" si="21"/>
        <v>271.42670497404788</v>
      </c>
      <c r="BT9" s="18">
        <f t="shared" si="22"/>
        <v>47.638597802288977</v>
      </c>
      <c r="BU9" s="18">
        <f t="shared" si="23"/>
        <v>139.96362842375379</v>
      </c>
      <c r="BV9" s="11">
        <f t="shared" si="63"/>
        <v>-0.94470720246494011</v>
      </c>
      <c r="BW9" s="11">
        <f t="shared" si="64"/>
        <v>2.7973023502450474</v>
      </c>
      <c r="BX9" s="11">
        <f t="shared" si="65"/>
        <v>-0.39301396380487574</v>
      </c>
      <c r="BY9" s="11">
        <f t="shared" si="24"/>
        <v>183.7846539405185</v>
      </c>
      <c r="BZ9" s="11">
        <f t="shared" si="25"/>
        <v>6.5624398834823614</v>
      </c>
      <c r="CA9" s="11">
        <f t="shared" si="26"/>
        <v>2.7492772332400754</v>
      </c>
      <c r="CB9" s="11">
        <f t="shared" si="27"/>
        <v>6.2640260924993081</v>
      </c>
      <c r="CC9" s="11">
        <f t="shared" si="28"/>
        <v>3.0777142103289767</v>
      </c>
      <c r="CD9" s="11">
        <f t="shared" si="29"/>
        <v>54.875773991432197</v>
      </c>
      <c r="CE9" s="11">
        <f t="shared" si="30"/>
        <v>53.532651748752833</v>
      </c>
      <c r="CF9" s="11">
        <f t="shared" si="31"/>
        <v>54.204212870092519</v>
      </c>
      <c r="CG9" s="14">
        <f t="shared" si="32"/>
        <v>-1.0932264289538196E-2</v>
      </c>
      <c r="CH9" s="14">
        <f t="shared" si="33"/>
        <v>-1.1116540554728882E-2</v>
      </c>
      <c r="CI9" s="14">
        <f t="shared" si="34"/>
        <v>1.3461567888928272E-2</v>
      </c>
      <c r="CJ9" s="19"/>
      <c r="CK9" s="12"/>
      <c r="CL9" s="12"/>
      <c r="CM9" s="12"/>
      <c r="CP9" s="17"/>
      <c r="CQ9" s="20"/>
      <c r="CR9" s="20"/>
      <c r="CS9" s="21"/>
      <c r="CZ9" s="14"/>
      <c r="DA9" s="14"/>
      <c r="DB9" s="14"/>
      <c r="DC9" s="14"/>
      <c r="DH9" s="12"/>
    </row>
    <row r="10" spans="1:139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6"/>
        <v>0.22134156987383763</v>
      </c>
      <c r="I10" s="12">
        <f t="shared" si="67"/>
        <v>0.45099458602459414</v>
      </c>
      <c r="J10" s="12">
        <f t="shared" si="0"/>
        <v>6.5931277191928872E-2</v>
      </c>
      <c r="K10" s="13">
        <f t="shared" si="35"/>
        <v>5.4363734151692378E-2</v>
      </c>
      <c r="L10" s="13">
        <f>SUM(K$3:$K10)</f>
        <v>0.46674988438648485</v>
      </c>
      <c r="M10" s="69">
        <f t="shared" si="68"/>
        <v>0.69489314877420816</v>
      </c>
      <c r="N10" s="12">
        <f t="shared" si="36"/>
        <v>1.4393847616358112E-4</v>
      </c>
      <c r="O10" s="21">
        <f t="shared" si="37"/>
        <v>6.8066340632979484E-9</v>
      </c>
      <c r="P10" s="11">
        <f>SUM(O$2:$O10)</f>
        <v>7.4794490708198178E-8</v>
      </c>
      <c r="Q10" s="12">
        <f t="shared" si="38"/>
        <v>1.0130314161884931E-3</v>
      </c>
      <c r="R10" s="3">
        <f t="shared" si="1"/>
        <v>0.33554756336359531</v>
      </c>
      <c r="S10" s="1">
        <f t="shared" si="39"/>
        <v>1.4675071580966394E-3</v>
      </c>
      <c r="T10" s="1">
        <f t="shared" si="40"/>
        <v>0.96169224075900728</v>
      </c>
      <c r="U10" s="1">
        <f t="shared" si="41"/>
        <v>4.2079497296403949E-3</v>
      </c>
      <c r="V10" s="11">
        <f t="shared" si="42"/>
        <v>6.3325872268591041</v>
      </c>
      <c r="W10" s="12">
        <f t="shared" si="43"/>
        <v>4.3906156474283795E-2</v>
      </c>
      <c r="X10" s="13">
        <f t="shared" si="2"/>
        <v>-1.3191273713008433E-2</v>
      </c>
      <c r="Y10" s="12">
        <f t="shared" si="3"/>
        <v>1.1471347479583966E-2</v>
      </c>
      <c r="Z10" s="12">
        <f t="shared" si="4"/>
        <v>4.1641710847941998E-3</v>
      </c>
      <c r="AA10" s="12">
        <f t="shared" si="44"/>
        <v>1.0769232456070317E-2</v>
      </c>
      <c r="AB10" s="12" t="e">
        <f>SQRT((Q10/M10)^2 + (0.0002/I10)^2)*#REF!</f>
        <v>#REF!</v>
      </c>
      <c r="AC10" s="14">
        <f t="shared" si="45"/>
        <v>6.2789212995126942</v>
      </c>
      <c r="AD10" s="1">
        <f t="shared" si="46"/>
        <v>6.5946122046103923</v>
      </c>
      <c r="AE10" s="14">
        <f t="shared" si="47"/>
        <v>2.7562347473406108</v>
      </c>
      <c r="AF10" s="14">
        <f t="shared" si="5"/>
        <v>249.66131853683567</v>
      </c>
      <c r="AG10" s="15">
        <f t="shared" si="6"/>
        <v>275.39731679417224</v>
      </c>
      <c r="AH10" s="16">
        <f t="shared" si="7"/>
        <v>48.107588511468961</v>
      </c>
      <c r="AI10" s="15">
        <f t="shared" si="8"/>
        <v>140.57814238522946</v>
      </c>
      <c r="AJ10" s="7"/>
      <c r="AK10" s="12">
        <f t="shared" si="48"/>
        <v>0.69489314877420816</v>
      </c>
      <c r="AL10" s="14">
        <f t="shared" si="9"/>
        <v>0.33554756336359531</v>
      </c>
      <c r="AM10" s="14">
        <f t="shared" si="49"/>
        <v>1.0398336989916428</v>
      </c>
      <c r="AN10" s="11">
        <f t="shared" si="69"/>
        <v>6.3325872268591041</v>
      </c>
      <c r="AO10" s="11">
        <f t="shared" si="50"/>
        <v>6.7887413282469273</v>
      </c>
      <c r="AP10" s="12">
        <f t="shared" si="10"/>
        <v>-1.3191273652871427E-2</v>
      </c>
      <c r="AQ10" s="18">
        <f t="shared" si="51"/>
        <v>275.55960728887516</v>
      </c>
      <c r="AR10" s="18">
        <f t="shared" si="52"/>
        <v>47.788080250691323</v>
      </c>
      <c r="AS10" s="18">
        <f t="shared" si="53"/>
        <v>142.32701105092784</v>
      </c>
      <c r="AT10" s="11">
        <f t="shared" si="11"/>
        <v>0.16229049470291557</v>
      </c>
      <c r="AU10" s="11">
        <f t="shared" si="12"/>
        <v>-0.3195082607776385</v>
      </c>
      <c r="AV10" s="11">
        <f t="shared" si="13"/>
        <v>1.7488686656983816</v>
      </c>
      <c r="AW10" s="11">
        <f t="shared" si="14"/>
        <v>0.20296301416316442</v>
      </c>
      <c r="AX10" s="7"/>
      <c r="AY10" s="17"/>
      <c r="AZ10" s="65"/>
      <c r="BA10" s="12">
        <v>0.21074572005565329</v>
      </c>
      <c r="BB10" s="12">
        <v>0.50423364660407455</v>
      </c>
      <c r="BC10" s="12">
        <f t="shared" si="54"/>
        <v>0.22134156987383763</v>
      </c>
      <c r="BD10" s="12">
        <f t="shared" si="55"/>
        <v>0.45099458602459414</v>
      </c>
      <c r="BE10" s="12">
        <v>0.69510664838476588</v>
      </c>
      <c r="BF10" s="14">
        <f t="shared" si="15"/>
        <v>0.33585694022390317</v>
      </c>
      <c r="BG10" s="14">
        <f t="shared" si="16"/>
        <v>1.0388758492451946</v>
      </c>
      <c r="BH10" s="11">
        <f t="shared" si="56"/>
        <v>6.3267539219032338</v>
      </c>
      <c r="BI10" s="11">
        <f t="shared" si="17"/>
        <v>6.6175347071294093</v>
      </c>
      <c r="BJ10" s="12">
        <f t="shared" si="18"/>
        <v>-1.287607220588427E-2</v>
      </c>
      <c r="BK10" s="11">
        <f t="shared" si="19"/>
        <v>3.1756393045646369E-2</v>
      </c>
      <c r="BL10" s="14">
        <f t="shared" si="57"/>
        <v>6.2808504410714114</v>
      </c>
      <c r="BM10" s="14">
        <f t="shared" si="58"/>
        <v>6.5966383393333308</v>
      </c>
      <c r="BN10" s="14">
        <f t="shared" si="59"/>
        <v>2.7570815754410187</v>
      </c>
      <c r="BO10" s="14">
        <f t="shared" si="60"/>
        <v>249.58463592359516</v>
      </c>
      <c r="BP10" s="15">
        <f t="shared" si="61"/>
        <v>275.31272945779614</v>
      </c>
      <c r="BQ10" s="16">
        <f t="shared" si="62"/>
        <v>48.092812431516428</v>
      </c>
      <c r="BR10" s="15">
        <f t="shared" si="20"/>
        <v>140.53496429346177</v>
      </c>
      <c r="BS10" s="18">
        <f t="shared" si="21"/>
        <v>275.16189123824773</v>
      </c>
      <c r="BT10" s="18">
        <f t="shared" si="22"/>
        <v>47.767336101373687</v>
      </c>
      <c r="BU10" s="18">
        <f t="shared" si="23"/>
        <v>142.11079978374997</v>
      </c>
      <c r="BV10" s="11">
        <f t="shared" si="63"/>
        <v>-0.1508382195484046</v>
      </c>
      <c r="BW10" s="11">
        <f t="shared" si="64"/>
        <v>1.575835490288199</v>
      </c>
      <c r="BX10" s="11">
        <f t="shared" si="65"/>
        <v>-0.32547633014274169</v>
      </c>
      <c r="BY10" s="11">
        <f t="shared" si="24"/>
        <v>186.4611636019159</v>
      </c>
      <c r="BZ10" s="11">
        <f t="shared" si="25"/>
        <v>6.5948310100647047</v>
      </c>
      <c r="CA10" s="11">
        <f t="shared" si="26"/>
        <v>2.7477362265786169</v>
      </c>
      <c r="CB10" s="11">
        <f t="shared" si="27"/>
        <v>6.2879721115537768</v>
      </c>
      <c r="CC10" s="11">
        <f t="shared" si="28"/>
        <v>3.0865284802486661</v>
      </c>
      <c r="CD10" s="11">
        <f t="shared" si="29"/>
        <v>55.270619951723759</v>
      </c>
      <c r="CE10" s="11">
        <f t="shared" si="30"/>
        <v>53.83982248441356</v>
      </c>
      <c r="CF10" s="11">
        <f t="shared" si="31"/>
        <v>54.55522121806866</v>
      </c>
      <c r="CG10" s="14">
        <f t="shared" si="32"/>
        <v>2.1880545431240961E-4</v>
      </c>
      <c r="CH10" s="14">
        <f t="shared" si="33"/>
        <v>-8.4985207619938663E-3</v>
      </c>
      <c r="CI10" s="14">
        <f t="shared" si="34"/>
        <v>9.050812041082601E-3</v>
      </c>
      <c r="CJ10" s="19"/>
      <c r="CK10" s="12"/>
      <c r="CL10" s="12"/>
      <c r="CM10" s="12"/>
      <c r="CP10" s="17"/>
      <c r="CQ10" s="20"/>
      <c r="CR10" s="20"/>
      <c r="CS10" s="21"/>
      <c r="CZ10" s="14"/>
      <c r="DA10" s="14"/>
      <c r="DB10" s="14"/>
      <c r="DC10" s="14"/>
      <c r="DH10" s="12"/>
    </row>
    <row r="11" spans="1:139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6"/>
        <v>0.22024501494487403</v>
      </c>
      <c r="I11" s="12">
        <f t="shared" si="67"/>
        <v>0.44912514961026817</v>
      </c>
      <c r="J11" s="12">
        <f t="shared" si="0"/>
        <v>6.50221549004492E-2</v>
      </c>
      <c r="K11" s="13">
        <f t="shared" si="35"/>
        <v>4.5094393371439889E-2</v>
      </c>
      <c r="L11" s="13">
        <f>SUM(K$3:$K11)</f>
        <v>0.51184427775792474</v>
      </c>
      <c r="M11" s="69">
        <f t="shared" si="68"/>
        <v>0.6940257685658715</v>
      </c>
      <c r="N11" s="12">
        <f t="shared" si="36"/>
        <v>1.4137639436247103E-4</v>
      </c>
      <c r="O11" s="21">
        <f t="shared" si="37"/>
        <v>4.6994311607138134E-9</v>
      </c>
      <c r="P11" s="11">
        <f>SUM(O$2:$O11)</f>
        <v>7.9493921868911995E-8</v>
      </c>
      <c r="Q11" s="12">
        <f t="shared" si="38"/>
        <v>1.0142806575692159E-3</v>
      </c>
      <c r="R11" s="3">
        <f t="shared" si="1"/>
        <v>0.33429261858948089</v>
      </c>
      <c r="S11" s="1">
        <f t="shared" si="39"/>
        <v>1.465651071014774E-3</v>
      </c>
      <c r="T11" s="1">
        <f t="shared" si="40"/>
        <v>0.9580955207001608</v>
      </c>
      <c r="U11" s="1">
        <f t="shared" si="41"/>
        <v>4.2026301125735631E-3</v>
      </c>
      <c r="V11" s="11">
        <f t="shared" si="42"/>
        <v>6.3563599541197364</v>
      </c>
      <c r="W11" s="12">
        <f t="shared" si="43"/>
        <v>4.4114580764170713E-2</v>
      </c>
      <c r="X11" s="13">
        <f t="shared" si="2"/>
        <v>-1.4474828690472008E-2</v>
      </c>
      <c r="Y11" s="12">
        <f t="shared" si="3"/>
        <v>1.1591141756812581E-2</v>
      </c>
      <c r="Z11" s="12">
        <f t="shared" si="4"/>
        <v>4.1650641697307724E-3</v>
      </c>
      <c r="AA11" s="12">
        <f t="shared" si="44"/>
        <v>1.0843686537276222E-2</v>
      </c>
      <c r="AB11" s="12" t="e">
        <f>SQRT((Q11/M11)^2 + (0.0002/I11)^2)*#REF!</f>
        <v>#REF!</v>
      </c>
      <c r="AC11" s="14">
        <f t="shared" si="45"/>
        <v>6.3023062632276323</v>
      </c>
      <c r="AD11" s="1">
        <f t="shared" si="46"/>
        <v>6.6367675932473542</v>
      </c>
      <c r="AE11" s="14">
        <f t="shared" si="47"/>
        <v>2.7506123431773082</v>
      </c>
      <c r="AF11" s="14">
        <f t="shared" si="5"/>
        <v>252.4686693217576</v>
      </c>
      <c r="AG11" s="15">
        <f t="shared" si="6"/>
        <v>279.97657884096049</v>
      </c>
      <c r="AH11" s="16">
        <f t="shared" si="7"/>
        <v>48.091382041515033</v>
      </c>
      <c r="AI11" s="15">
        <f t="shared" si="8"/>
        <v>142.5319504791261</v>
      </c>
      <c r="AJ11" s="7"/>
      <c r="AK11" s="12">
        <f t="shared" si="48"/>
        <v>0.6940257685658715</v>
      </c>
      <c r="AL11" s="14">
        <f t="shared" si="9"/>
        <v>0.33429261858948089</v>
      </c>
      <c r="AM11" s="14">
        <f t="shared" si="49"/>
        <v>1.043737266686328</v>
      </c>
      <c r="AN11" s="11">
        <f t="shared" si="69"/>
        <v>6.3563599541197364</v>
      </c>
      <c r="AO11" s="11">
        <f t="shared" si="50"/>
        <v>7.4932874227091162</v>
      </c>
      <c r="AP11" s="12">
        <f t="shared" si="10"/>
        <v>-1.4474828624401415E-2</v>
      </c>
      <c r="AQ11" s="18">
        <f t="shared" si="51"/>
        <v>279.16897827158095</v>
      </c>
      <c r="AR11" s="18">
        <f t="shared" si="52"/>
        <v>47.907077121008307</v>
      </c>
      <c r="AS11" s="18">
        <f t="shared" si="53"/>
        <v>144.40331636145788</v>
      </c>
      <c r="AT11" s="11">
        <f t="shared" si="11"/>
        <v>-0.80760056937953095</v>
      </c>
      <c r="AU11" s="11">
        <f t="shared" si="12"/>
        <v>-0.18430492050672598</v>
      </c>
      <c r="AV11" s="11">
        <f t="shared" si="13"/>
        <v>1.8713658823317871</v>
      </c>
      <c r="AW11" s="11">
        <f t="shared" si="14"/>
        <v>0.21880026532250518</v>
      </c>
      <c r="AX11" s="7"/>
      <c r="AY11" s="17"/>
      <c r="AZ11" s="65"/>
      <c r="BA11" s="12">
        <v>0.20914572005565329</v>
      </c>
      <c r="BB11" s="12">
        <v>0.5046336466040745</v>
      </c>
      <c r="BC11" s="12">
        <f t="shared" si="54"/>
        <v>0.22024501494487403</v>
      </c>
      <c r="BD11" s="12">
        <f t="shared" si="55"/>
        <v>0.44912514961026817</v>
      </c>
      <c r="BE11" s="12">
        <v>0.69410363713153511</v>
      </c>
      <c r="BF11" s="14">
        <f t="shared" si="15"/>
        <v>0.33440515248360903</v>
      </c>
      <c r="BG11" s="14">
        <f t="shared" si="16"/>
        <v>1.0433860286201841</v>
      </c>
      <c r="BH11" s="11">
        <f t="shared" si="56"/>
        <v>6.3542209142969215</v>
      </c>
      <c r="BI11" s="11">
        <f t="shared" si="17"/>
        <v>7.4319243225006799</v>
      </c>
      <c r="BJ11" s="12">
        <f t="shared" si="18"/>
        <v>-1.4359401568004748E-2</v>
      </c>
      <c r="BK11" s="11">
        <f t="shared" si="19"/>
        <v>0.15743716511406891</v>
      </c>
      <c r="BL11" s="14">
        <f t="shared" si="57"/>
        <v>6.3030133717692998</v>
      </c>
      <c r="BM11" s="14">
        <f t="shared" si="58"/>
        <v>6.6375122278078216</v>
      </c>
      <c r="BN11" s="14">
        <f t="shared" si="59"/>
        <v>2.7509209574212754</v>
      </c>
      <c r="BO11" s="14">
        <f t="shared" si="60"/>
        <v>252.44034592435213</v>
      </c>
      <c r="BP11" s="15">
        <f t="shared" si="61"/>
        <v>279.94516944696312</v>
      </c>
      <c r="BQ11" s="16">
        <f t="shared" si="62"/>
        <v>48.08598687177377</v>
      </c>
      <c r="BR11" s="15">
        <f t="shared" si="20"/>
        <v>142.51596041949907</v>
      </c>
      <c r="BS11" s="18">
        <f t="shared" si="21"/>
        <v>279.44326195849555</v>
      </c>
      <c r="BT11" s="18">
        <f t="shared" si="22"/>
        <v>47.906213846501593</v>
      </c>
      <c r="BU11" s="18">
        <f t="shared" si="23"/>
        <v>144.57710541993086</v>
      </c>
      <c r="BV11" s="11">
        <f t="shared" si="63"/>
        <v>-0.50190748846756605</v>
      </c>
      <c r="BW11" s="11">
        <f t="shared" si="64"/>
        <v>2.0611450004317931</v>
      </c>
      <c r="BX11" s="11">
        <f t="shared" si="65"/>
        <v>-0.17977302527217631</v>
      </c>
      <c r="BY11" s="11">
        <f t="shared" si="24"/>
        <v>189.53249093278578</v>
      </c>
      <c r="BZ11" s="11">
        <f t="shared" si="25"/>
        <v>6.6315594341865767</v>
      </c>
      <c r="CA11" s="11">
        <f t="shared" si="26"/>
        <v>2.7457738813087706</v>
      </c>
      <c r="CB11" s="11">
        <f t="shared" si="27"/>
        <v>6.3150752888777237</v>
      </c>
      <c r="CC11" s="11">
        <f t="shared" si="28"/>
        <v>3.0964461623209316</v>
      </c>
      <c r="CD11" s="11">
        <f t="shared" si="29"/>
        <v>55.716959615613895</v>
      </c>
      <c r="CE11" s="11">
        <f t="shared" si="30"/>
        <v>54.182104799185886</v>
      </c>
      <c r="CF11" s="11">
        <f t="shared" si="31"/>
        <v>54.949532207399891</v>
      </c>
      <c r="CG11" s="14">
        <f t="shared" si="32"/>
        <v>-5.2081590607775397E-3</v>
      </c>
      <c r="CH11" s="14">
        <f t="shared" si="33"/>
        <v>-4.8384618685375358E-3</v>
      </c>
      <c r="CI11" s="14">
        <f t="shared" si="34"/>
        <v>1.2769025650091415E-2</v>
      </c>
      <c r="CJ11" s="19"/>
      <c r="CK11" s="12"/>
      <c r="CL11" s="12"/>
      <c r="CM11" s="12"/>
      <c r="CP11" s="17"/>
      <c r="CQ11" s="20"/>
      <c r="CR11" s="20"/>
      <c r="CS11" s="21"/>
      <c r="CZ11" s="14"/>
      <c r="DA11" s="14"/>
      <c r="DB11" s="14"/>
      <c r="DC11" s="14"/>
      <c r="DH11" s="12"/>
    </row>
    <row r="12" spans="1:139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6"/>
        <v>0.21937759640869217</v>
      </c>
      <c r="I12" s="12">
        <f t="shared" si="67"/>
        <v>0.44776499001184611</v>
      </c>
      <c r="J12" s="12">
        <f t="shared" si="0"/>
        <v>6.4407756455996668E-2</v>
      </c>
      <c r="K12" s="13">
        <f t="shared" si="35"/>
        <v>3.6212931844008638E-2</v>
      </c>
      <c r="L12" s="13">
        <f>SUM(K$3:$K12)</f>
        <v>0.54805720960193338</v>
      </c>
      <c r="M12" s="69">
        <f t="shared" si="68"/>
        <v>0.6933307872929303</v>
      </c>
      <c r="N12" s="12">
        <f t="shared" si="36"/>
        <v>1.4015569129308025E-4</v>
      </c>
      <c r="O12" s="21">
        <f t="shared" si="37"/>
        <v>3.0482080873313215E-9</v>
      </c>
      <c r="P12" s="11">
        <f>SUM(O$2:$O12)</f>
        <v>8.2542129956243318E-8</v>
      </c>
      <c r="Q12" s="12">
        <f t="shared" si="38"/>
        <v>1.0152823653699968E-3</v>
      </c>
      <c r="R12" s="3">
        <f t="shared" si="1"/>
        <v>0.33328936532078701</v>
      </c>
      <c r="S12" s="1">
        <f t="shared" si="39"/>
        <v>1.4641617884736504E-3</v>
      </c>
      <c r="T12" s="1">
        <f t="shared" si="40"/>
        <v>0.95522015819015638</v>
      </c>
      <c r="U12" s="1">
        <f t="shared" si="41"/>
        <v>4.1983617714485685E-3</v>
      </c>
      <c r="V12" s="11">
        <f t="shared" si="42"/>
        <v>6.3754935946270725</v>
      </c>
      <c r="W12" s="12">
        <f t="shared" si="43"/>
        <v>4.428255072125057E-2</v>
      </c>
      <c r="X12" s="13">
        <f t="shared" si="2"/>
        <v>-1.5506744712230458E-2</v>
      </c>
      <c r="Y12" s="12">
        <f t="shared" si="3"/>
        <v>1.1668154881392565E-2</v>
      </c>
      <c r="Z12" s="12">
        <f t="shared" si="4"/>
        <v>4.1756824562262313E-3</v>
      </c>
      <c r="AA12" s="12">
        <f t="shared" si="44"/>
        <v>1.090326493702074E-2</v>
      </c>
      <c r="AB12" s="12" t="e">
        <f>SQRT((Q12/M12)^2 + (0.0002/I12)^2)*#REF!</f>
        <v>#REF!</v>
      </c>
      <c r="AC12" s="14">
        <f t="shared" si="45"/>
        <v>6.3208896317861125</v>
      </c>
      <c r="AD12" s="1">
        <f t="shared" si="46"/>
        <v>6.6619749578088836</v>
      </c>
      <c r="AE12" s="14">
        <f t="shared" si="47"/>
        <v>2.7522210633057123</v>
      </c>
      <c r="AF12" s="14">
        <f t="shared" si="5"/>
        <v>254.72421247965286</v>
      </c>
      <c r="AG12" s="15">
        <f t="shared" si="6"/>
        <v>282.95658508024559</v>
      </c>
      <c r="AH12" s="16">
        <f t="shared" si="7"/>
        <v>48.292583822289842</v>
      </c>
      <c r="AI12" s="15">
        <f t="shared" si="8"/>
        <v>144.02285853477684</v>
      </c>
      <c r="AJ12" s="7"/>
      <c r="AK12" s="12">
        <f t="shared" si="48"/>
        <v>0.6933307872929303</v>
      </c>
      <c r="AL12" s="14">
        <f t="shared" si="9"/>
        <v>0.33328936532078701</v>
      </c>
      <c r="AM12" s="14">
        <f t="shared" si="49"/>
        <v>1.0468790795775158</v>
      </c>
      <c r="AN12" s="11">
        <f t="shared" si="69"/>
        <v>6.3754935946270725</v>
      </c>
      <c r="AO12" s="11">
        <f t="shared" si="50"/>
        <v>8.0654740585564699</v>
      </c>
      <c r="AP12" s="12">
        <f t="shared" si="10"/>
        <v>-1.5506744641379022E-2</v>
      </c>
      <c r="AQ12" s="18">
        <f t="shared" si="51"/>
        <v>282.08873846876031</v>
      </c>
      <c r="AR12" s="18">
        <f t="shared" si="52"/>
        <v>47.998138686011515</v>
      </c>
      <c r="AS12" s="18">
        <f t="shared" si="53"/>
        <v>146.08603457683466</v>
      </c>
      <c r="AT12" s="11">
        <f t="shared" si="11"/>
        <v>-0.86784661148527675</v>
      </c>
      <c r="AU12" s="11">
        <f t="shared" si="12"/>
        <v>-0.29444513627832691</v>
      </c>
      <c r="AV12" s="11">
        <f t="shared" si="13"/>
        <v>2.0631760420578189</v>
      </c>
      <c r="AW12" s="11">
        <f t="shared" si="14"/>
        <v>0.2314109659862309</v>
      </c>
      <c r="AX12" s="7"/>
      <c r="AY12" s="17"/>
      <c r="AZ12" s="65"/>
      <c r="BA12" s="12">
        <v>0.20814572005565329</v>
      </c>
      <c r="BB12" s="12">
        <v>0.50383364660407459</v>
      </c>
      <c r="BC12" s="12">
        <f t="shared" si="54"/>
        <v>0.21937759640869217</v>
      </c>
      <c r="BD12" s="12">
        <f t="shared" si="55"/>
        <v>0.44776499001184611</v>
      </c>
      <c r="BE12" s="12">
        <v>0.69344191955463752</v>
      </c>
      <c r="BF12" s="14">
        <f t="shared" si="15"/>
        <v>0.33344965737281318</v>
      </c>
      <c r="BG12" s="14">
        <f t="shared" si="16"/>
        <v>1.0463758360078244</v>
      </c>
      <c r="BH12" s="11">
        <f t="shared" si="56"/>
        <v>6.3724288412876513</v>
      </c>
      <c r="BI12" s="11">
        <f t="shared" si="17"/>
        <v>7.9771790545498975</v>
      </c>
      <c r="BJ12" s="12">
        <f t="shared" si="18"/>
        <v>-1.5341525786803145E-2</v>
      </c>
      <c r="BK12" s="11">
        <f t="shared" si="19"/>
        <v>0.14311596197965848</v>
      </c>
      <c r="BL12" s="14">
        <f t="shared" si="57"/>
        <v>6.3219027914115848</v>
      </c>
      <c r="BM12" s="14">
        <f t="shared" si="58"/>
        <v>6.6630427891500954</v>
      </c>
      <c r="BN12" s="14">
        <f t="shared" si="59"/>
        <v>2.7526622099518572</v>
      </c>
      <c r="BO12" s="14">
        <f t="shared" si="60"/>
        <v>254.68338991463887</v>
      </c>
      <c r="BP12" s="15">
        <f t="shared" si="61"/>
        <v>282.91123794391285</v>
      </c>
      <c r="BQ12" s="16">
        <f t="shared" si="62"/>
        <v>48.284844365080062</v>
      </c>
      <c r="BR12" s="15">
        <f t="shared" si="20"/>
        <v>143.99977716984176</v>
      </c>
      <c r="BS12" s="18">
        <f t="shared" si="21"/>
        <v>282.29802345139655</v>
      </c>
      <c r="BT12" s="18">
        <f t="shared" si="22"/>
        <v>47.993694312087989</v>
      </c>
      <c r="BU12" s="18">
        <f t="shared" si="23"/>
        <v>146.22465113659251</v>
      </c>
      <c r="BV12" s="11">
        <f t="shared" si="63"/>
        <v>-0.61321449251630611</v>
      </c>
      <c r="BW12" s="11">
        <f t="shared" si="64"/>
        <v>2.2248739667507493</v>
      </c>
      <c r="BX12" s="11">
        <f t="shared" si="65"/>
        <v>-0.29115005299207297</v>
      </c>
      <c r="BY12" s="11">
        <f t="shared" si="24"/>
        <v>191.58244190819383</v>
      </c>
      <c r="BZ12" s="11">
        <f t="shared" si="25"/>
        <v>6.6558177476776468</v>
      </c>
      <c r="CA12" s="11">
        <f t="shared" si="26"/>
        <v>2.74435060046949</v>
      </c>
      <c r="CB12" s="11">
        <f t="shared" si="27"/>
        <v>6.3329472604144703</v>
      </c>
      <c r="CC12" s="11">
        <f t="shared" si="28"/>
        <v>3.1029513351928779</v>
      </c>
      <c r="CD12" s="11">
        <f t="shared" si="29"/>
        <v>56.010891050213601</v>
      </c>
      <c r="CE12" s="11">
        <f t="shared" si="30"/>
        <v>54.404526746891932</v>
      </c>
      <c r="CF12" s="11">
        <f t="shared" si="31"/>
        <v>55.207708898552767</v>
      </c>
      <c r="CG12" s="14">
        <f t="shared" si="32"/>
        <v>-6.1572101312368233E-3</v>
      </c>
      <c r="CH12" s="14">
        <f t="shared" si="33"/>
        <v>-7.8704628362222806E-3</v>
      </c>
      <c r="CI12" s="14">
        <f t="shared" si="34"/>
        <v>1.2057628628357797E-2</v>
      </c>
      <c r="CJ12" s="19"/>
      <c r="CK12" s="12"/>
      <c r="CL12" s="12"/>
      <c r="CM12" s="12"/>
      <c r="CP12" s="17"/>
      <c r="CQ12" s="20"/>
      <c r="CR12" s="20"/>
      <c r="CS12" s="21"/>
      <c r="CZ12" s="14"/>
      <c r="DA12" s="14"/>
      <c r="DB12" s="14"/>
      <c r="DC12" s="14"/>
      <c r="DH12" s="12"/>
    </row>
    <row r="13" spans="1:139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6"/>
        <v>0.21834293437005509</v>
      </c>
      <c r="I13" s="12">
        <f t="shared" si="67"/>
        <v>0.44626509021859395</v>
      </c>
      <c r="J13" s="12">
        <f t="shared" si="0"/>
        <v>6.3582325213876231E-2</v>
      </c>
      <c r="K13" s="13">
        <f t="shared" si="35"/>
        <v>4.407395055054756E-2</v>
      </c>
      <c r="L13" s="13">
        <f>SUM(K$3:$K13)</f>
        <v>0.59213116015248091</v>
      </c>
      <c r="M13" s="69">
        <f t="shared" si="68"/>
        <v>0.69248681671030432</v>
      </c>
      <c r="N13" s="12">
        <f t="shared" si="36"/>
        <v>1.3890838379065608E-4</v>
      </c>
      <c r="O13" s="21">
        <f t="shared" si="37"/>
        <v>4.5241558546774555E-9</v>
      </c>
      <c r="P13" s="11">
        <f>SUM(O$2:$O13)</f>
        <v>8.7066285810920778E-8</v>
      </c>
      <c r="Q13" s="12">
        <f t="shared" si="38"/>
        <v>1.0164996659044819E-3</v>
      </c>
      <c r="R13" s="3">
        <f t="shared" si="1"/>
        <v>0.33207373709915805</v>
      </c>
      <c r="S13" s="1">
        <f t="shared" si="39"/>
        <v>1.4623506238884507E-3</v>
      </c>
      <c r="T13" s="1">
        <f t="shared" si="40"/>
        <v>0.95173612088507398</v>
      </c>
      <c r="U13" s="1">
        <f t="shared" si="41"/>
        <v>4.1931709039874435E-3</v>
      </c>
      <c r="V13" s="11">
        <f t="shared" si="42"/>
        <v>6.3988324771540244</v>
      </c>
      <c r="W13" s="12">
        <f t="shared" si="43"/>
        <v>4.4487699609290852E-2</v>
      </c>
      <c r="X13" s="13">
        <f t="shared" si="2"/>
        <v>-1.6764061508428685E-2</v>
      </c>
      <c r="Y13" s="12">
        <f t="shared" si="3"/>
        <v>1.1732287521457522E-2</v>
      </c>
      <c r="Z13" s="12">
        <f t="shared" si="4"/>
        <v>4.1782275363312161E-3</v>
      </c>
      <c r="AA13" s="12">
        <f t="shared" si="44"/>
        <v>1.0975162054274496E-2</v>
      </c>
      <c r="AB13" s="12" t="e">
        <f>SQRT((Q13/M13)^2 + (0.0002/I13)^2)*#REF!</f>
        <v>#REF!</v>
      </c>
      <c r="AC13" s="14">
        <f t="shared" si="45"/>
        <v>6.3431117540689819</v>
      </c>
      <c r="AD13" s="1">
        <f t="shared" si="46"/>
        <v>6.6795380828158422</v>
      </c>
      <c r="AE13" s="14">
        <f t="shared" si="47"/>
        <v>2.7477801189501236</v>
      </c>
      <c r="AF13" s="14">
        <f t="shared" si="5"/>
        <v>257.45745167788135</v>
      </c>
      <c r="AG13" s="15">
        <f t="shared" si="6"/>
        <v>285.49177513197918</v>
      </c>
      <c r="AH13" s="16">
        <f t="shared" si="7"/>
        <v>48.313076582838384</v>
      </c>
      <c r="AI13" s="15">
        <f t="shared" si="8"/>
        <v>146.81413678515565</v>
      </c>
      <c r="AJ13" s="7"/>
      <c r="AK13" s="12">
        <f t="shared" si="48"/>
        <v>0.69248681671030432</v>
      </c>
      <c r="AL13" s="14">
        <f t="shared" si="9"/>
        <v>0.33207373709915805</v>
      </c>
      <c r="AM13" s="14">
        <f t="shared" si="49"/>
        <v>1.0507114083996756</v>
      </c>
      <c r="AN13" s="11">
        <f t="shared" si="69"/>
        <v>6.3988324771540244</v>
      </c>
      <c r="AO13" s="11">
        <f t="shared" si="50"/>
        <v>8.7696190756684569</v>
      </c>
      <c r="AP13" s="12">
        <f t="shared" si="10"/>
        <v>-1.6764061431739696E-2</v>
      </c>
      <c r="AQ13" s="18">
        <f t="shared" si="51"/>
        <v>285.66797928635941</v>
      </c>
      <c r="AR13" s="18">
        <f t="shared" si="52"/>
        <v>48.103453816399828</v>
      </c>
      <c r="AS13" s="18">
        <f t="shared" si="53"/>
        <v>148.15261057105383</v>
      </c>
      <c r="AT13" s="11">
        <f t="shared" si="11"/>
        <v>0.17620415438022974</v>
      </c>
      <c r="AU13" s="11">
        <f t="shared" si="12"/>
        <v>-0.2096227664385566</v>
      </c>
      <c r="AV13" s="11">
        <f t="shared" si="13"/>
        <v>1.3384737858981737</v>
      </c>
      <c r="AW13" s="11">
        <f t="shared" si="14"/>
        <v>0.24684713979537065</v>
      </c>
      <c r="AX13" s="7"/>
      <c r="AY13" s="17"/>
      <c r="AZ13" s="65"/>
      <c r="BA13" s="12">
        <v>0.20734572005565327</v>
      </c>
      <c r="BB13" s="12">
        <v>0.50403364660407457</v>
      </c>
      <c r="BC13" s="12">
        <f t="shared" si="54"/>
        <v>0.21834293437005509</v>
      </c>
      <c r="BD13" s="12">
        <f t="shared" si="55"/>
        <v>0.44626509021859395</v>
      </c>
      <c r="BE13" s="12">
        <v>0.6927274253950646</v>
      </c>
      <c r="BF13" s="14">
        <f t="shared" si="15"/>
        <v>0.33242000039869851</v>
      </c>
      <c r="BG13" s="14">
        <f t="shared" si="16"/>
        <v>1.0496169411633454</v>
      </c>
      <c r="BH13" s="11">
        <f t="shared" si="56"/>
        <v>6.3921671716847728</v>
      </c>
      <c r="BI13" s="11">
        <f t="shared" si="17"/>
        <v>8.5731311222525584</v>
      </c>
      <c r="BJ13" s="12">
        <f t="shared" si="18"/>
        <v>-1.640514297930673E-2</v>
      </c>
      <c r="BK13" s="11">
        <f t="shared" si="19"/>
        <v>5.0359186379472121E-2</v>
      </c>
      <c r="BL13" s="14">
        <f t="shared" si="57"/>
        <v>6.3453157061726246</v>
      </c>
      <c r="BM13" s="14">
        <f t="shared" si="58"/>
        <v>6.681858928258861</v>
      </c>
      <c r="BN13" s="14">
        <f t="shared" si="59"/>
        <v>2.7487348515810952</v>
      </c>
      <c r="BO13" s="14">
        <f t="shared" si="60"/>
        <v>257.36802761791341</v>
      </c>
      <c r="BP13" s="15">
        <f t="shared" si="61"/>
        <v>285.39261376199994</v>
      </c>
      <c r="BQ13" s="16">
        <f t="shared" si="62"/>
        <v>48.296295746123725</v>
      </c>
      <c r="BR13" s="15">
        <f t="shared" si="20"/>
        <v>146.76314305362268</v>
      </c>
      <c r="BS13" s="18">
        <f t="shared" si="21"/>
        <v>285.40770732866656</v>
      </c>
      <c r="BT13" s="18">
        <f t="shared" si="22"/>
        <v>48.084352330649878</v>
      </c>
      <c r="BU13" s="18">
        <f t="shared" si="23"/>
        <v>148.02207662037495</v>
      </c>
      <c r="BV13" s="11">
        <f t="shared" si="63"/>
        <v>1.5093566666621427E-2</v>
      </c>
      <c r="BW13" s="11">
        <f t="shared" si="64"/>
        <v>1.2589335667522619</v>
      </c>
      <c r="BX13" s="11">
        <f t="shared" si="65"/>
        <v>-0.2119434154738471</v>
      </c>
      <c r="BY13" s="11">
        <f t="shared" si="24"/>
        <v>193.81728685647215</v>
      </c>
      <c r="BZ13" s="11">
        <f t="shared" si="25"/>
        <v>6.6820356177471449</v>
      </c>
      <c r="CA13" s="11">
        <f t="shared" si="26"/>
        <v>2.742696947491412</v>
      </c>
      <c r="CB13" s="11">
        <f t="shared" si="27"/>
        <v>6.3522366083123654</v>
      </c>
      <c r="CC13" s="11">
        <f t="shared" si="28"/>
        <v>3.1099411438262043</v>
      </c>
      <c r="CD13" s="11">
        <f t="shared" si="29"/>
        <v>56.327737540048247</v>
      </c>
      <c r="CE13" s="11">
        <f t="shared" si="30"/>
        <v>54.641533065966073</v>
      </c>
      <c r="CF13" s="11">
        <f t="shared" si="31"/>
        <v>55.48463530300716</v>
      </c>
      <c r="CG13" s="14">
        <f t="shared" si="32"/>
        <v>2.4975349313027806E-3</v>
      </c>
      <c r="CH13" s="14">
        <f t="shared" si="33"/>
        <v>-5.0831714587116217E-3</v>
      </c>
      <c r="CI13" s="14">
        <f t="shared" si="34"/>
        <v>9.1248542433834956E-3</v>
      </c>
      <c r="CJ13" s="19"/>
      <c r="CK13" s="12"/>
      <c r="CL13" s="12"/>
      <c r="CM13" s="12"/>
      <c r="CP13" s="17"/>
      <c r="CQ13" s="20"/>
      <c r="CR13" s="20"/>
      <c r="CS13" s="21"/>
      <c r="CZ13" s="14"/>
      <c r="DA13" s="14"/>
      <c r="DB13" s="14"/>
      <c r="DC13" s="14"/>
      <c r="DH13" s="12"/>
    </row>
    <row r="14" spans="1:139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6"/>
        <v>0.21746956626893954</v>
      </c>
      <c r="I14" s="12">
        <f t="shared" si="67"/>
        <v>0.44506680642534358</v>
      </c>
      <c r="J14" s="12">
        <f t="shared" si="0"/>
        <v>6.2874177611697807E-2</v>
      </c>
      <c r="K14" s="13">
        <f t="shared" si="35"/>
        <v>3.8102623907745201E-2</v>
      </c>
      <c r="L14" s="13">
        <f>SUM(K$3:$K14)</f>
        <v>0.63023378406022612</v>
      </c>
      <c r="M14" s="69">
        <f t="shared" si="68"/>
        <v>0.69175884509037111</v>
      </c>
      <c r="N14" s="12">
        <f t="shared" si="36"/>
        <v>1.3732168282651387E-4</v>
      </c>
      <c r="O14" s="21">
        <f t="shared" si="37"/>
        <v>3.400095117608118E-9</v>
      </c>
      <c r="P14" s="11">
        <f>SUM(O$2:$O14)</f>
        <v>9.0466380928528898E-8</v>
      </c>
      <c r="Q14" s="12">
        <f t="shared" si="38"/>
        <v>1.0175503483713353E-3</v>
      </c>
      <c r="R14" s="3">
        <f t="shared" si="1"/>
        <v>0.33102756750325524</v>
      </c>
      <c r="S14" s="1">
        <f t="shared" si="39"/>
        <v>1.460786019683415E-3</v>
      </c>
      <c r="T14" s="1">
        <f t="shared" si="40"/>
        <v>0.94873775852829678</v>
      </c>
      <c r="U14" s="1">
        <f t="shared" si="41"/>
        <v>4.1886866880725413E-3</v>
      </c>
      <c r="V14" s="11">
        <f t="shared" si="42"/>
        <v>6.4190551553960971</v>
      </c>
      <c r="W14" s="12">
        <f t="shared" si="43"/>
        <v>4.4665688694352355E-2</v>
      </c>
      <c r="X14" s="13">
        <f t="shared" si="2"/>
        <v>-1.7852265922046695E-2</v>
      </c>
      <c r="Y14" s="12">
        <f t="shared" si="3"/>
        <v>1.181113940155303E-2</v>
      </c>
      <c r="Z14" s="12">
        <f t="shared" si="4"/>
        <v>4.1784128206378921E-3</v>
      </c>
      <c r="AA14" s="12">
        <f t="shared" si="44"/>
        <v>1.103658370927338E-2</v>
      </c>
      <c r="AB14" s="12" t="e">
        <f>SQRT((Q14/M14)^2 + (0.0002/I14)^2)*#REF!</f>
        <v>#REF!</v>
      </c>
      <c r="AC14" s="14">
        <f t="shared" si="45"/>
        <v>6.3618910632753929</v>
      </c>
      <c r="AD14" s="1">
        <f t="shared" si="46"/>
        <v>6.7048528547507322</v>
      </c>
      <c r="AE14" s="14">
        <f t="shared" si="47"/>
        <v>2.7427149229532919</v>
      </c>
      <c r="AF14" s="14">
        <f t="shared" si="5"/>
        <v>259.80264240704486</v>
      </c>
      <c r="AG14" s="15">
        <f t="shared" si="6"/>
        <v>288.56895704265997</v>
      </c>
      <c r="AH14" s="16">
        <f t="shared" si="7"/>
        <v>48.287247074451592</v>
      </c>
      <c r="AI14" s="15">
        <f t="shared" si="8"/>
        <v>148.84499094033407</v>
      </c>
      <c r="AJ14" s="7"/>
      <c r="AK14" s="12">
        <f t="shared" si="48"/>
        <v>0.69175884509037111</v>
      </c>
      <c r="AL14" s="14">
        <f t="shared" si="9"/>
        <v>0.33102756750325524</v>
      </c>
      <c r="AM14" s="14">
        <f t="shared" si="49"/>
        <v>1.0540320452210339</v>
      </c>
      <c r="AN14" s="11">
        <f t="shared" si="69"/>
        <v>6.4190551553960971</v>
      </c>
      <c r="AO14" s="11">
        <f t="shared" si="50"/>
        <v>9.3852665136084088</v>
      </c>
      <c r="AP14" s="12">
        <f t="shared" si="10"/>
        <v>-1.7852265840293979E-2</v>
      </c>
      <c r="AQ14" s="18">
        <f t="shared" si="51"/>
        <v>288.78509211694814</v>
      </c>
      <c r="AR14" s="18">
        <f t="shared" si="52"/>
        <v>48.189530589411142</v>
      </c>
      <c r="AS14" s="18">
        <f t="shared" si="53"/>
        <v>149.95574844461828</v>
      </c>
      <c r="AT14" s="11">
        <f t="shared" si="11"/>
        <v>0.21613507428816092</v>
      </c>
      <c r="AU14" s="11">
        <f t="shared" si="12"/>
        <v>-9.7716485040450607E-2</v>
      </c>
      <c r="AV14" s="11">
        <f t="shared" si="13"/>
        <v>1.1107575042842086</v>
      </c>
      <c r="AW14" s="11">
        <f t="shared" si="14"/>
        <v>0.25987433984527897</v>
      </c>
      <c r="AX14" s="7"/>
      <c r="AY14" s="17"/>
      <c r="AZ14" s="65"/>
      <c r="BA14" s="12">
        <v>0.20634572005565327</v>
      </c>
      <c r="BB14" s="12">
        <v>0.50443364660407453</v>
      </c>
      <c r="BC14" s="12">
        <f t="shared" si="54"/>
        <v>0.21746956626893954</v>
      </c>
      <c r="BD14" s="12">
        <f t="shared" si="55"/>
        <v>0.44506680642534358</v>
      </c>
      <c r="BE14" s="12">
        <v>0.69200359156363167</v>
      </c>
      <c r="BF14" s="14">
        <f t="shared" si="15"/>
        <v>0.33137904763835979</v>
      </c>
      <c r="BG14" s="14">
        <f t="shared" si="16"/>
        <v>1.0529140767547138</v>
      </c>
      <c r="BH14" s="11">
        <f t="shared" si="56"/>
        <v>6.4122467274362061</v>
      </c>
      <c r="BI14" s="11">
        <f t="shared" si="17"/>
        <v>9.1845911841314294</v>
      </c>
      <c r="BJ14" s="12">
        <f t="shared" si="18"/>
        <v>-1.7486024669524314E-2</v>
      </c>
      <c r="BK14" s="11">
        <f t="shared" si="19"/>
        <v>5.9199010368299554E-2</v>
      </c>
      <c r="BL14" s="14">
        <f t="shared" si="57"/>
        <v>6.3641419205098977</v>
      </c>
      <c r="BM14" s="14">
        <f t="shared" si="58"/>
        <v>6.7072250529547421</v>
      </c>
      <c r="BN14" s="14">
        <f t="shared" si="59"/>
        <v>2.7436853041913722</v>
      </c>
      <c r="BO14" s="14">
        <f t="shared" si="60"/>
        <v>259.71075591794545</v>
      </c>
      <c r="BP14" s="15">
        <f t="shared" si="61"/>
        <v>288.46689653981036</v>
      </c>
      <c r="BQ14" s="16">
        <f t="shared" si="62"/>
        <v>48.270168935596494</v>
      </c>
      <c r="BR14" s="15">
        <f t="shared" si="20"/>
        <v>148.79234773581999</v>
      </c>
      <c r="BS14" s="18">
        <f t="shared" si="21"/>
        <v>288.58713193874348</v>
      </c>
      <c r="BT14" s="18">
        <f t="shared" si="22"/>
        <v>48.172074350521093</v>
      </c>
      <c r="BU14" s="18">
        <f t="shared" si="23"/>
        <v>149.86277305788894</v>
      </c>
      <c r="BV14" s="11">
        <f t="shared" si="63"/>
        <v>0.12023539893311863</v>
      </c>
      <c r="BW14" s="11">
        <f t="shared" si="64"/>
        <v>1.0704253220689566</v>
      </c>
      <c r="BX14" s="11">
        <f t="shared" si="65"/>
        <v>-9.8094585075401142E-2</v>
      </c>
      <c r="BY14" s="11">
        <f t="shared" si="24"/>
        <v>196.10422601817379</v>
      </c>
      <c r="BZ14" s="11">
        <f t="shared" si="25"/>
        <v>6.7086227208913778</v>
      </c>
      <c r="CA14" s="11">
        <f t="shared" si="26"/>
        <v>2.7408960292272457</v>
      </c>
      <c r="CB14" s="11">
        <f t="shared" si="27"/>
        <v>6.3717694430320462</v>
      </c>
      <c r="CC14" s="11">
        <f t="shared" si="28"/>
        <v>3.1169857042019427</v>
      </c>
      <c r="CD14" s="11">
        <f t="shared" si="29"/>
        <v>56.648116386483572</v>
      </c>
      <c r="CE14" s="11">
        <f t="shared" si="30"/>
        <v>54.878174368693458</v>
      </c>
      <c r="CF14" s="11">
        <f t="shared" si="31"/>
        <v>55.763145377588515</v>
      </c>
      <c r="CG14" s="14">
        <f t="shared" si="32"/>
        <v>3.7698661406455614E-3</v>
      </c>
      <c r="CH14" s="14">
        <f t="shared" si="33"/>
        <v>-1.8188937260461557E-3</v>
      </c>
      <c r="CI14" s="14">
        <f t="shared" si="34"/>
        <v>9.8783797566532883E-3</v>
      </c>
      <c r="CJ14" s="19"/>
      <c r="CK14" s="12"/>
      <c r="CL14" s="12"/>
      <c r="CM14" s="12"/>
      <c r="CP14" s="17"/>
      <c r="CQ14" s="20"/>
      <c r="CR14" s="20"/>
      <c r="CS14" s="21"/>
      <c r="CZ14" s="14"/>
      <c r="DA14" s="14"/>
      <c r="DB14" s="14"/>
      <c r="DC14" s="14"/>
      <c r="DH14" s="12"/>
    </row>
    <row r="15" spans="1:139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6"/>
        <v>0.216863224419231</v>
      </c>
      <c r="I15" s="12">
        <f t="shared" si="67"/>
        <v>0.44424358753123327</v>
      </c>
      <c r="J15" s="12">
        <f t="shared" si="0"/>
        <v>6.2458237951210013E-2</v>
      </c>
      <c r="K15" s="13">
        <f t="shared" si="35"/>
        <v>2.6974232172091057E-2</v>
      </c>
      <c r="L15" s="13">
        <f>SUM(K$3:$K15)</f>
        <v>0.65720801623231717</v>
      </c>
      <c r="M15" s="69">
        <f t="shared" si="68"/>
        <v>0.69124441213842269</v>
      </c>
      <c r="N15" s="12">
        <f t="shared" si="36"/>
        <v>1.3635898908012113E-4</v>
      </c>
      <c r="O15" s="21">
        <f t="shared" si="37"/>
        <v>1.7104900764775685E-9</v>
      </c>
      <c r="P15" s="11">
        <f>SUM(O$2:$O15)</f>
        <v>9.2176871005006468E-8</v>
      </c>
      <c r="Q15" s="12">
        <f t="shared" si="38"/>
        <v>1.0182931896831821E-3</v>
      </c>
      <c r="R15" s="3">
        <f t="shared" si="1"/>
        <v>0.33028960130680834</v>
      </c>
      <c r="S15" s="1">
        <f t="shared" si="39"/>
        <v>1.4596790038132509E-3</v>
      </c>
      <c r="T15" s="1">
        <f t="shared" si="40"/>
        <v>0.94662271898531436</v>
      </c>
      <c r="U15" s="1">
        <f t="shared" si="41"/>
        <v>4.1855139379501378E-3</v>
      </c>
      <c r="V15" s="11">
        <f t="shared" si="42"/>
        <v>6.4333972530554471</v>
      </c>
      <c r="W15" s="12">
        <f t="shared" si="43"/>
        <v>4.479204980597197E-2</v>
      </c>
      <c r="X15" s="13">
        <f t="shared" si="2"/>
        <v>-1.8623337328145362E-2</v>
      </c>
      <c r="Y15" s="12">
        <f t="shared" si="3"/>
        <v>1.1874443200891866E-2</v>
      </c>
      <c r="Z15" s="12">
        <f t="shared" si="4"/>
        <v>4.1863623830211503E-3</v>
      </c>
      <c r="AA15" s="12">
        <f t="shared" si="44"/>
        <v>1.1079629417478146E-2</v>
      </c>
      <c r="AB15" s="12" t="e">
        <f>SQRT((Q15/M15)^2 + (0.0002/I15)^2)*#REF!</f>
        <v>#REF!</v>
      </c>
      <c r="AC15" s="14">
        <f t="shared" si="45"/>
        <v>6.3749343761682491</v>
      </c>
      <c r="AD15" s="1">
        <f t="shared" si="46"/>
        <v>6.7259431327615316</v>
      </c>
      <c r="AE15" s="14">
        <f t="shared" si="47"/>
        <v>2.7439390632107599</v>
      </c>
      <c r="AF15" s="14">
        <f t="shared" si="5"/>
        <v>261.45190241688061</v>
      </c>
      <c r="AG15" s="15">
        <f t="shared" si="6"/>
        <v>291.03602588201653</v>
      </c>
      <c r="AH15" s="16">
        <f t="shared" si="7"/>
        <v>48.43834477928926</v>
      </c>
      <c r="AI15" s="15">
        <f t="shared" si="8"/>
        <v>149.78315112573415</v>
      </c>
      <c r="AJ15" s="7"/>
      <c r="AK15" s="12">
        <f t="shared" si="48"/>
        <v>0.69124441213842269</v>
      </c>
      <c r="AL15" s="14">
        <f t="shared" si="9"/>
        <v>0.33028960130680834</v>
      </c>
      <c r="AM15" s="14">
        <f t="shared" si="49"/>
        <v>1.0563870694672328</v>
      </c>
      <c r="AN15" s="11">
        <f t="shared" si="69"/>
        <v>6.4333972530554471</v>
      </c>
      <c r="AO15" s="11">
        <f t="shared" si="50"/>
        <v>9.8249994590233136</v>
      </c>
      <c r="AP15" s="12">
        <f t="shared" si="10"/>
        <v>-1.8623337242798632E-2</v>
      </c>
      <c r="AQ15" s="18">
        <f t="shared" si="51"/>
        <v>291.00464093262923</v>
      </c>
      <c r="AR15" s="18">
        <f t="shared" si="52"/>
        <v>48.24763387675992</v>
      </c>
      <c r="AS15" s="18">
        <f t="shared" si="53"/>
        <v>151.24159206214085</v>
      </c>
      <c r="AT15" s="11">
        <f t="shared" si="11"/>
        <v>-3.1384949387302186E-2</v>
      </c>
      <c r="AU15" s="11">
        <f t="shared" si="12"/>
        <v>-0.19071090252933942</v>
      </c>
      <c r="AV15" s="11">
        <f t="shared" si="13"/>
        <v>1.4584409364067028</v>
      </c>
      <c r="AW15" s="11">
        <f t="shared" si="14"/>
        <v>0.26916425819585754</v>
      </c>
      <c r="AX15" s="7"/>
      <c r="AY15" s="17"/>
      <c r="AZ15" s="65"/>
      <c r="BA15" s="12">
        <v>0.20554572005565327</v>
      </c>
      <c r="BB15" s="12">
        <v>0.50383364660407459</v>
      </c>
      <c r="BC15" s="12">
        <f t="shared" si="54"/>
        <v>0.216863224419231</v>
      </c>
      <c r="BD15" s="12">
        <f t="shared" si="55"/>
        <v>0.44424358753123327</v>
      </c>
      <c r="BE15" s="12">
        <v>0.69150147474952484</v>
      </c>
      <c r="BF15" s="14">
        <f t="shared" si="15"/>
        <v>0.33065822643240722</v>
      </c>
      <c r="BG15" s="14">
        <f t="shared" si="16"/>
        <v>1.0552093857290572</v>
      </c>
      <c r="BH15" s="11">
        <f t="shared" si="56"/>
        <v>6.4262251590899586</v>
      </c>
      <c r="BI15" s="11">
        <f t="shared" si="17"/>
        <v>9.6133652965171521</v>
      </c>
      <c r="BJ15" s="12">
        <f t="shared" si="18"/>
        <v>-1.8237817055578143E-2</v>
      </c>
      <c r="BK15" s="11">
        <f t="shared" si="19"/>
        <v>5.7530095689696026E-2</v>
      </c>
      <c r="BL15" s="14">
        <f t="shared" si="57"/>
        <v>6.3773051111030501</v>
      </c>
      <c r="BM15" s="14">
        <f t="shared" si="58"/>
        <v>6.7284444021728582</v>
      </c>
      <c r="BN15" s="14">
        <f t="shared" si="59"/>
        <v>2.7449594897457272</v>
      </c>
      <c r="BO15" s="14">
        <f t="shared" si="60"/>
        <v>261.35470882992945</v>
      </c>
      <c r="BP15" s="15">
        <f t="shared" si="61"/>
        <v>290.92783452817292</v>
      </c>
      <c r="BQ15" s="16">
        <f t="shared" si="62"/>
        <v>48.42033803911427</v>
      </c>
      <c r="BR15" s="15">
        <f t="shared" si="20"/>
        <v>149.72746990257917</v>
      </c>
      <c r="BS15" s="18">
        <f t="shared" si="21"/>
        <v>290.8100107584637</v>
      </c>
      <c r="BT15" s="18">
        <f t="shared" si="22"/>
        <v>48.230435228624096</v>
      </c>
      <c r="BU15" s="18">
        <f t="shared" si="23"/>
        <v>151.15145702879923</v>
      </c>
      <c r="BV15" s="11">
        <f t="shared" si="63"/>
        <v>-0.1178237697092186</v>
      </c>
      <c r="BW15" s="11">
        <f t="shared" si="64"/>
        <v>1.4239871262200552</v>
      </c>
      <c r="BX15" s="11">
        <f t="shared" si="65"/>
        <v>-0.18990281049017455</v>
      </c>
      <c r="BY15" s="11">
        <f t="shared" si="24"/>
        <v>197.70430827202071</v>
      </c>
      <c r="BZ15" s="11">
        <f t="shared" si="25"/>
        <v>6.7270817773694374</v>
      </c>
      <c r="CA15" s="11">
        <f t="shared" si="26"/>
        <v>2.7395713857632562</v>
      </c>
      <c r="CB15" s="11">
        <f t="shared" si="27"/>
        <v>6.3853139867741104</v>
      </c>
      <c r="CC15" s="11">
        <f t="shared" si="28"/>
        <v>3.1218505728920434</v>
      </c>
      <c r="CD15" s="11">
        <f t="shared" si="29"/>
        <v>56.869971883107361</v>
      </c>
      <c r="CE15" s="11">
        <f t="shared" si="30"/>
        <v>55.040214312289891</v>
      </c>
      <c r="CF15" s="11">
        <f t="shared" si="31"/>
        <v>55.955093097698622</v>
      </c>
      <c r="CG15" s="14">
        <f t="shared" si="32"/>
        <v>1.1386446079058032E-3</v>
      </c>
      <c r="CH15" s="14">
        <f t="shared" si="33"/>
        <v>-4.3676774475036595E-3</v>
      </c>
      <c r="CI15" s="14">
        <f t="shared" si="34"/>
        <v>1.0379610605861345E-2</v>
      </c>
      <c r="CJ15" s="19"/>
      <c r="CK15" s="12"/>
      <c r="CL15" s="12"/>
      <c r="CM15" s="12"/>
      <c r="CP15" s="17"/>
      <c r="CQ15" s="20"/>
      <c r="CR15" s="20"/>
      <c r="CS15" s="21"/>
      <c r="CZ15" s="14"/>
      <c r="DA15" s="14"/>
      <c r="DB15" s="14"/>
      <c r="DC15" s="14"/>
      <c r="DH15" s="12"/>
    </row>
    <row r="16" spans="1:139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66"/>
        <v>0.2160919159128894</v>
      </c>
      <c r="I16" s="12">
        <f t="shared" si="67"/>
        <v>0.44317113824361481</v>
      </c>
      <c r="J16" s="12">
        <f t="shared" si="0"/>
        <v>6.1918629238749787E-2</v>
      </c>
      <c r="K16" s="56">
        <f t="shared" si="35"/>
        <v>3.4799150886512351E-2</v>
      </c>
      <c r="L16" s="56">
        <f>SUM(K$3:$K16)</f>
        <v>0.69200716711882948</v>
      </c>
      <c r="M16" s="69">
        <f t="shared" si="68"/>
        <v>0.69058187719080544</v>
      </c>
      <c r="N16" s="55">
        <f t="shared" si="36"/>
        <v>1.3540186741751415E-4</v>
      </c>
      <c r="O16" s="57">
        <f t="shared" si="37"/>
        <v>2.8387457116006314E-9</v>
      </c>
      <c r="P16" s="53">
        <f>SUM(O$2:$O16)</f>
        <v>9.5015616716607097E-8</v>
      </c>
      <c r="Q16" s="55">
        <f t="shared" si="38"/>
        <v>1.0192502984531226E-3</v>
      </c>
      <c r="R16" s="54">
        <f t="shared" si="1"/>
        <v>0.32934079625144491</v>
      </c>
      <c r="S16" s="58">
        <f t="shared" si="39"/>
        <v>1.458251581568771E-3</v>
      </c>
      <c r="T16" s="58">
        <f t="shared" si="40"/>
        <v>0.94390340715187626</v>
      </c>
      <c r="U16" s="58">
        <f t="shared" si="41"/>
        <v>4.1814228908179738E-3</v>
      </c>
      <c r="V16" s="11">
        <f t="shared" si="42"/>
        <v>6.4519313669773659</v>
      </c>
      <c r="W16" s="55">
        <f t="shared" si="43"/>
        <v>4.4955503426311751E-2</v>
      </c>
      <c r="X16" s="56">
        <f t="shared" si="2"/>
        <v>-1.9618935168832841E-2</v>
      </c>
      <c r="Y16" s="55">
        <f t="shared" si="3"/>
        <v>1.1939310377574588E-2</v>
      </c>
      <c r="Z16" s="55">
        <f t="shared" si="4"/>
        <v>4.1950926500362818E-3</v>
      </c>
      <c r="AA16" s="55">
        <f t="shared" si="44"/>
        <v>1.1134851581915821E-2</v>
      </c>
      <c r="AB16" s="55" t="e">
        <f>SQRT((Q16/M16)^2 + (0.0002/I16)^2)*#REF!</f>
        <v>#REF!</v>
      </c>
      <c r="AC16" s="14">
        <f t="shared" si="45"/>
        <v>6.3915567990909166</v>
      </c>
      <c r="AD16" s="1">
        <f t="shared" si="46"/>
        <v>6.7457515302697786</v>
      </c>
      <c r="AE16" s="14">
        <f t="shared" si="47"/>
        <v>2.7445775212011192</v>
      </c>
      <c r="AF16" s="59">
        <f t="shared" si="5"/>
        <v>263.57428933874127</v>
      </c>
      <c r="AG16" s="60">
        <f t="shared" si="6"/>
        <v>293.5961930879696</v>
      </c>
      <c r="AH16" s="61">
        <f t="shared" si="7"/>
        <v>48.600500634916159</v>
      </c>
      <c r="AI16" s="60">
        <f t="shared" si="8"/>
        <v>151.36233619429481</v>
      </c>
      <c r="AJ16" s="7"/>
      <c r="AK16" s="12">
        <f t="shared" si="48"/>
        <v>0.69058187719080544</v>
      </c>
      <c r="AL16" s="40">
        <f t="shared" si="9"/>
        <v>0.32934079625144491</v>
      </c>
      <c r="AM16" s="28">
        <f t="shared" si="49"/>
        <v>1.0594304379273183</v>
      </c>
      <c r="AN16" s="22">
        <f t="shared" si="69"/>
        <v>6.4519313669773659</v>
      </c>
      <c r="AO16" s="22">
        <f t="shared" si="50"/>
        <v>10.397088958647371</v>
      </c>
      <c r="AP16" s="24">
        <f t="shared" si="10"/>
        <v>-1.961893507883794E-2</v>
      </c>
      <c r="AQ16" s="32">
        <f t="shared" si="51"/>
        <v>293.88382219733484</v>
      </c>
      <c r="AR16" s="32">
        <f t="shared" si="52"/>
        <v>48.319068651166695</v>
      </c>
      <c r="AS16" s="18">
        <f t="shared" si="53"/>
        <v>152.91194370194242</v>
      </c>
      <c r="AT16" s="22">
        <f t="shared" si="11"/>
        <v>0.28762910936524122</v>
      </c>
      <c r="AU16" s="22">
        <f t="shared" si="12"/>
        <v>-0.28143198374946365</v>
      </c>
      <c r="AV16" s="22">
        <f t="shared" si="13"/>
        <v>1.5496075076476075</v>
      </c>
      <c r="AW16" s="22">
        <f t="shared" si="14"/>
        <v>0.28167782263634322</v>
      </c>
      <c r="AX16" s="7"/>
      <c r="AY16" s="43"/>
      <c r="AZ16" s="65"/>
      <c r="BA16" s="55">
        <v>0.20474572005565328</v>
      </c>
      <c r="BB16" s="55">
        <v>0.50323364660407455</v>
      </c>
      <c r="BC16" s="12">
        <f t="shared" si="54"/>
        <v>0.2160919159128894</v>
      </c>
      <c r="BD16" s="12">
        <f t="shared" si="55"/>
        <v>0.44317113824361481</v>
      </c>
      <c r="BE16" s="55">
        <v>0.69092556274806982</v>
      </c>
      <c r="BF16" s="59">
        <f t="shared" si="15"/>
        <v>0.3298327553654159</v>
      </c>
      <c r="BG16" s="59">
        <f t="shared" si="16"/>
        <v>1.0578502538762249</v>
      </c>
      <c r="BH16" s="53">
        <f t="shared" si="56"/>
        <v>6.4423080461062083</v>
      </c>
      <c r="BI16" s="53">
        <f t="shared" si="17"/>
        <v>10.109849155658738</v>
      </c>
      <c r="BJ16" s="55">
        <f t="shared" si="18"/>
        <v>-1.9102117880909653E-2</v>
      </c>
      <c r="BK16" s="53">
        <f t="shared" si="19"/>
        <v>-5.5619803522901634E-3</v>
      </c>
      <c r="BL16" s="14">
        <f t="shared" si="57"/>
        <v>6.3947377191712675</v>
      </c>
      <c r="BM16" s="14">
        <f t="shared" si="58"/>
        <v>6.7491087243265921</v>
      </c>
      <c r="BN16" s="14">
        <f t="shared" si="59"/>
        <v>2.7459434296994227</v>
      </c>
      <c r="BO16" s="14">
        <f t="shared" si="60"/>
        <v>263.44318016953986</v>
      </c>
      <c r="BP16" s="15">
        <f t="shared" si="61"/>
        <v>293.45015019033707</v>
      </c>
      <c r="BQ16" s="16">
        <f t="shared" si="62"/>
        <v>48.576325396591507</v>
      </c>
      <c r="BR16" s="60">
        <f t="shared" si="20"/>
        <v>151.28704436595825</v>
      </c>
      <c r="BS16" s="63">
        <f t="shared" si="21"/>
        <v>293.37720487395956</v>
      </c>
      <c r="BT16" s="63">
        <f t="shared" si="22"/>
        <v>48.29480905175663</v>
      </c>
      <c r="BU16" s="63">
        <f t="shared" si="23"/>
        <v>152.64155882782839</v>
      </c>
      <c r="BV16" s="11">
        <f t="shared" si="63"/>
        <v>-7.2945316377513336E-2</v>
      </c>
      <c r="BW16" s="11">
        <f t="shared" si="64"/>
        <v>1.3545144618701386</v>
      </c>
      <c r="BX16" s="11">
        <f t="shared" si="65"/>
        <v>-0.28151634483487697</v>
      </c>
      <c r="BY16" s="53">
        <f t="shared" si="24"/>
        <v>199.55344084320544</v>
      </c>
      <c r="BZ16" s="53">
        <f t="shared" si="25"/>
        <v>6.748269831469667</v>
      </c>
      <c r="CA16" s="53">
        <f t="shared" si="26"/>
        <v>2.7379750294720515</v>
      </c>
      <c r="CB16" s="53">
        <f t="shared" si="27"/>
        <v>6.4008438200359432</v>
      </c>
      <c r="CC16" s="53">
        <f t="shared" si="28"/>
        <v>3.1274081413803501</v>
      </c>
      <c r="CD16" s="53">
        <f t="shared" si="29"/>
        <v>57.124014640280208</v>
      </c>
      <c r="CE16" s="53">
        <f t="shared" si="30"/>
        <v>55.223869465406828</v>
      </c>
      <c r="CF16" s="53">
        <f t="shared" si="31"/>
        <v>56.173942052843515</v>
      </c>
      <c r="CG16" s="59">
        <f t="shared" si="32"/>
        <v>2.5183011998883842E-3</v>
      </c>
      <c r="CH16" s="59">
        <f t="shared" si="33"/>
        <v>-6.6024917290676832E-3</v>
      </c>
      <c r="CI16" s="59">
        <f t="shared" si="34"/>
        <v>9.2870209450266472E-3</v>
      </c>
      <c r="CJ16" s="55"/>
      <c r="CK16" s="55"/>
      <c r="CL16" s="55"/>
      <c r="CM16" s="55"/>
      <c r="CP16" s="62"/>
      <c r="CQ16" s="64"/>
      <c r="CR16" s="64"/>
      <c r="CS16" s="57"/>
      <c r="CZ16" s="59"/>
      <c r="DA16" s="59"/>
      <c r="DB16" s="59"/>
      <c r="DC16" s="59"/>
      <c r="DH16" s="55"/>
    </row>
    <row r="17" spans="1:112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6"/>
        <v>0.21538705444410439</v>
      </c>
      <c r="I17" s="12">
        <f t="shared" si="67"/>
        <v>0.44213982994496276</v>
      </c>
      <c r="J17" s="12">
        <f t="shared" si="0"/>
        <v>6.129087648946549E-2</v>
      </c>
      <c r="K17" s="13">
        <f t="shared" si="35"/>
        <v>3.1820803565247607E-2</v>
      </c>
      <c r="L17" s="13">
        <f>SUM(K$3:$K17)</f>
        <v>0.72382797068407712</v>
      </c>
      <c r="M17" s="69">
        <f t="shared" si="68"/>
        <v>0.68997715714342744</v>
      </c>
      <c r="N17" s="12">
        <f t="shared" si="36"/>
        <v>1.3390192775030208E-4</v>
      </c>
      <c r="O17" s="21">
        <f t="shared" si="37"/>
        <v>2.3727186493252283E-9</v>
      </c>
      <c r="P17" s="11">
        <f>SUM(O$2:$O17)</f>
        <v>9.7388335365932324E-8</v>
      </c>
      <c r="Q17" s="12">
        <f t="shared" si="38"/>
        <v>1.0201242601241022E-3</v>
      </c>
      <c r="R17" s="13">
        <f t="shared" si="1"/>
        <v>0.32847637462806339</v>
      </c>
      <c r="S17" s="1">
        <f t="shared" si="39"/>
        <v>1.4569470097662023E-3</v>
      </c>
      <c r="T17" s="1">
        <f t="shared" si="40"/>
        <v>0.94142594148466319</v>
      </c>
      <c r="U17" s="1">
        <f t="shared" si="41"/>
        <v>4.1776839377841123E-3</v>
      </c>
      <c r="V17" s="11">
        <f t="shared" si="42"/>
        <v>6.4689103323367592</v>
      </c>
      <c r="W17" s="12">
        <f t="shared" si="43"/>
        <v>4.5105398503328419E-2</v>
      </c>
      <c r="X17" s="13">
        <f t="shared" si="2"/>
        <v>-2.0530158631359652E-2</v>
      </c>
      <c r="Y17" s="12">
        <f t="shared" si="3"/>
        <v>1.2004408593322895E-2</v>
      </c>
      <c r="Z17" s="12">
        <f t="shared" si="4"/>
        <v>4.1875408237733412E-3</v>
      </c>
      <c r="AA17" s="12">
        <f t="shared" si="44"/>
        <v>1.1185717118330208E-2</v>
      </c>
      <c r="AB17" s="12" t="e">
        <f>SQRT((Q17/M17)^2 + (0.0002/I17)^2)*#REF!</f>
        <v>#REF!</v>
      </c>
      <c r="AC17" s="14">
        <f t="shared" si="45"/>
        <v>6.4068581923291505</v>
      </c>
      <c r="AD17" s="1">
        <f t="shared" si="46"/>
        <v>6.7662822927114581</v>
      </c>
      <c r="AE17" s="14">
        <f t="shared" si="47"/>
        <v>2.7356508107199455</v>
      </c>
      <c r="AF17" s="14">
        <f t="shared" si="5"/>
        <v>265.53474387603615</v>
      </c>
      <c r="AG17" s="15">
        <f t="shared" si="6"/>
        <v>296.16337934567673</v>
      </c>
      <c r="AH17" s="16">
        <f t="shared" si="7"/>
        <v>48.411936428603283</v>
      </c>
      <c r="AI17" s="15">
        <f t="shared" si="8"/>
        <v>153.39655328400929</v>
      </c>
      <c r="AJ17" s="7"/>
      <c r="AK17" s="12">
        <f t="shared" si="48"/>
        <v>0.68997715714342744</v>
      </c>
      <c r="AL17" s="14">
        <f t="shared" si="9"/>
        <v>0.32847637462806339</v>
      </c>
      <c r="AM17" s="14">
        <f t="shared" si="49"/>
        <v>1.0622184453754944</v>
      </c>
      <c r="AN17" s="11">
        <f t="shared" si="69"/>
        <v>6.4689103323367592</v>
      </c>
      <c r="AO17" s="11">
        <f t="shared" si="50"/>
        <v>10.924968578078815</v>
      </c>
      <c r="AP17" s="12">
        <f t="shared" si="10"/>
        <v>-2.0530158537102716E-2</v>
      </c>
      <c r="AQ17" s="18">
        <f t="shared" si="51"/>
        <v>296.53218101150151</v>
      </c>
      <c r="AR17" s="18">
        <f t="shared" si="52"/>
        <v>48.380864748894723</v>
      </c>
      <c r="AS17" s="18">
        <f t="shared" si="53"/>
        <v>154.45073633309985</v>
      </c>
      <c r="AT17" s="11">
        <f t="shared" si="11"/>
        <v>0.36880166582477614</v>
      </c>
      <c r="AU17" s="11">
        <f t="shared" si="12"/>
        <v>-3.1071679708560396E-2</v>
      </c>
      <c r="AV17" s="11">
        <f t="shared" si="13"/>
        <v>1.0541830490905681</v>
      </c>
      <c r="AW17" s="11">
        <f t="shared" si="14"/>
        <v>0.29302580959065772</v>
      </c>
      <c r="AX17" s="7"/>
      <c r="AY17" s="17"/>
      <c r="AZ17" s="65"/>
      <c r="BA17" s="12">
        <v>0.20394572005565328</v>
      </c>
      <c r="BB17" s="12">
        <v>0.50443364660407453</v>
      </c>
      <c r="BC17" s="12">
        <f t="shared" si="54"/>
        <v>0.21538705444410439</v>
      </c>
      <c r="BD17" s="12">
        <f t="shared" si="55"/>
        <v>0.44213982994496276</v>
      </c>
      <c r="BE17" s="12">
        <v>0.70076247745953202</v>
      </c>
      <c r="BF17" s="14">
        <f t="shared" si="15"/>
        <v>0.34412206318973526</v>
      </c>
      <c r="BG17" s="14">
        <f t="shared" si="16"/>
        <v>1.0139241313557474</v>
      </c>
      <c r="BH17" s="11">
        <f t="shared" si="56"/>
        <v>6.1747979599565026</v>
      </c>
      <c r="BI17" s="11">
        <f t="shared" si="17"/>
        <v>2.2878297946045856</v>
      </c>
      <c r="BJ17" s="12">
        <f t="shared" si="18"/>
        <v>-4.6306720512305777E-3</v>
      </c>
      <c r="BK17" s="11">
        <f t="shared" si="19"/>
        <v>-8.344112973883572</v>
      </c>
      <c r="BL17" s="14">
        <f t="shared" si="57"/>
        <v>6.5070064611649032</v>
      </c>
      <c r="BM17" s="14">
        <f t="shared" si="58"/>
        <v>6.8720488693590234</v>
      </c>
      <c r="BN17" s="14">
        <f t="shared" si="59"/>
        <v>2.7784129079302051</v>
      </c>
      <c r="BO17" s="14">
        <f t="shared" si="60"/>
        <v>261.44794219946772</v>
      </c>
      <c r="BP17" s="15">
        <f t="shared" si="61"/>
        <v>291.60517736585177</v>
      </c>
      <c r="BQ17" s="16">
        <f t="shared" si="62"/>
        <v>47.666836258003002</v>
      </c>
      <c r="BR17" s="15">
        <f t="shared" si="20"/>
        <v>151.03565210026971</v>
      </c>
      <c r="BS17" s="18">
        <f t="shared" si="21"/>
        <v>252.02161276586293</v>
      </c>
      <c r="BT17" s="18">
        <f t="shared" si="22"/>
        <v>46.854155717195709</v>
      </c>
      <c r="BU17" s="18">
        <f t="shared" si="23"/>
        <v>128.8771269896304</v>
      </c>
      <c r="BV17" s="11">
        <f t="shared" si="63"/>
        <v>-39.583564599988847</v>
      </c>
      <c r="BW17" s="11">
        <f t="shared" si="64"/>
        <v>-22.158525110639317</v>
      </c>
      <c r="BX17" s="11">
        <f t="shared" si="65"/>
        <v>-0.81268054080729257</v>
      </c>
      <c r="BY17" s="11">
        <f t="shared" si="24"/>
        <v>169.92528891504125</v>
      </c>
      <c r="BZ17" s="11">
        <f t="shared" si="25"/>
        <v>6.3886267738081148</v>
      </c>
      <c r="CA17" s="11">
        <f t="shared" si="26"/>
        <v>2.7546262534095818</v>
      </c>
      <c r="CB17" s="11">
        <f t="shared" si="27"/>
        <v>6.1348556863707993</v>
      </c>
      <c r="CC17" s="11">
        <f t="shared" si="28"/>
        <v>3.0293591548299008</v>
      </c>
      <c r="CD17" s="11">
        <f t="shared" si="29"/>
        <v>52.741390585563934</v>
      </c>
      <c r="CE17" s="11">
        <f t="shared" si="30"/>
        <v>51.807758654065267</v>
      </c>
      <c r="CF17" s="11">
        <f t="shared" si="31"/>
        <v>52.274574619814601</v>
      </c>
      <c r="CG17" s="14">
        <f t="shared" si="32"/>
        <v>-0.37765551890334326</v>
      </c>
      <c r="CH17" s="14">
        <f t="shared" si="33"/>
        <v>1.8975442689636246E-2</v>
      </c>
      <c r="CI17" s="14">
        <f t="shared" si="34"/>
        <v>-0.27200250595835129</v>
      </c>
      <c r="CJ17" s="19"/>
      <c r="CK17" s="12"/>
      <c r="CL17" s="12"/>
      <c r="CM17" s="12"/>
      <c r="CP17" s="17"/>
      <c r="CQ17" s="20"/>
      <c r="CR17" s="20"/>
      <c r="CS17" s="21"/>
      <c r="CZ17" s="14"/>
      <c r="DA17" s="14"/>
      <c r="DB17" s="14"/>
      <c r="DC17" s="14"/>
      <c r="DH17" s="12"/>
    </row>
    <row r="18" spans="1:112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6"/>
        <v>0.21497259919151673</v>
      </c>
      <c r="I18" s="12">
        <f t="shared" si="67"/>
        <v>0.44150718106829961</v>
      </c>
      <c r="J18" s="12">
        <f t="shared" si="0"/>
        <v>6.091833382282659E-2</v>
      </c>
      <c r="K18" s="13">
        <f t="shared" si="35"/>
        <v>1.8411435847686956E-2</v>
      </c>
      <c r="L18" s="13">
        <f>SUM(K$3:$K18)</f>
        <v>0.74223940653176412</v>
      </c>
      <c r="M18" s="69">
        <f t="shared" si="68"/>
        <v>0.68962775108165864</v>
      </c>
      <c r="N18" s="12">
        <f t="shared" si="36"/>
        <v>1.3282548711181843E-4</v>
      </c>
      <c r="O18" s="21">
        <f t="shared" si="37"/>
        <v>7.919065595810542E-10</v>
      </c>
      <c r="P18" s="11">
        <f>SUM(O$2:$O18)</f>
        <v>9.8180241925513379E-8</v>
      </c>
      <c r="Q18" s="12">
        <f t="shared" si="38"/>
        <v>1.0206293849027404E-3</v>
      </c>
      <c r="R18" s="3">
        <f t="shared" si="1"/>
        <v>0.32797760365671319</v>
      </c>
      <c r="S18" s="1">
        <f t="shared" si="39"/>
        <v>1.4561924720560835E-3</v>
      </c>
      <c r="T18" s="1">
        <f t="shared" si="40"/>
        <v>0.93999644466980015</v>
      </c>
      <c r="U18" s="1">
        <f t="shared" si="41"/>
        <v>4.1755214036446669E-3</v>
      </c>
      <c r="V18" s="11">
        <f t="shared" si="42"/>
        <v>6.4787479086043573</v>
      </c>
      <c r="W18" s="12">
        <f t="shared" si="43"/>
        <v>4.5192315565787469E-2</v>
      </c>
      <c r="X18" s="13">
        <f t="shared" si="2"/>
        <v>-2.1057754767198733E-2</v>
      </c>
      <c r="Y18" s="12">
        <f t="shared" si="3"/>
        <v>1.2052959932294034E-2</v>
      </c>
      <c r="Z18" s="12">
        <f t="shared" si="4"/>
        <v>4.1822564039299022E-3</v>
      </c>
      <c r="AA18" s="12">
        <f t="shared" si="44"/>
        <v>1.1215766633482843E-2</v>
      </c>
      <c r="AB18" s="12" t="e">
        <f>SQRT((Q18/M18)^2 + (0.0002/I18)^2)*#REF!</f>
        <v>#REF!</v>
      </c>
      <c r="AC18" s="14">
        <f t="shared" si="45"/>
        <v>6.4159595564760963</v>
      </c>
      <c r="AD18" s="1">
        <f t="shared" si="46"/>
        <v>6.7828105837970503</v>
      </c>
      <c r="AE18" s="14">
        <f t="shared" si="47"/>
        <v>2.7299359641504011</v>
      </c>
      <c r="AF18" s="14">
        <f t="shared" si="5"/>
        <v>266.69465819396208</v>
      </c>
      <c r="AG18" s="15">
        <f t="shared" si="6"/>
        <v>298.06464144643314</v>
      </c>
      <c r="AH18" s="16">
        <f t="shared" si="7"/>
        <v>48.283195112792512</v>
      </c>
      <c r="AI18" s="15">
        <f t="shared" si="8"/>
        <v>154.4432763421415</v>
      </c>
      <c r="AJ18" s="7"/>
      <c r="AK18" s="12">
        <f t="shared" si="48"/>
        <v>0.68962775108165864</v>
      </c>
      <c r="AL18" s="14">
        <f t="shared" si="9"/>
        <v>0.32797760365671319</v>
      </c>
      <c r="AM18" s="14">
        <f t="shared" si="49"/>
        <v>1.0638338109366763</v>
      </c>
      <c r="AN18" s="11">
        <f t="shared" si="69"/>
        <v>6.4787479086043573</v>
      </c>
      <c r="AO18" s="11">
        <f t="shared" si="50"/>
        <v>11.232482005669151</v>
      </c>
      <c r="AP18" s="12">
        <f t="shared" si="10"/>
        <v>-2.1057754670470885E-2</v>
      </c>
      <c r="AQ18" s="18">
        <f t="shared" si="51"/>
        <v>298.07133882124884</v>
      </c>
      <c r="AR18" s="18">
        <f t="shared" si="52"/>
        <v>48.415062097306631</v>
      </c>
      <c r="AS18" s="18">
        <f t="shared" si="53"/>
        <v>155.34607594312706</v>
      </c>
      <c r="AT18" s="11">
        <f t="shared" si="11"/>
        <v>6.6973748157010959E-3</v>
      </c>
      <c r="AU18" s="11">
        <f t="shared" si="12"/>
        <v>0.13186698451411871</v>
      </c>
      <c r="AV18" s="11">
        <f t="shared" si="13"/>
        <v>0.90279960098555989</v>
      </c>
      <c r="AW18" s="11">
        <f t="shared" si="14"/>
        <v>0.29922911823597254</v>
      </c>
      <c r="AX18" s="7"/>
      <c r="AY18" s="17"/>
      <c r="AZ18" s="65"/>
      <c r="BA18" s="12">
        <v>0.2033457200556533</v>
      </c>
      <c r="BB18" s="12">
        <v>0.50523364660407455</v>
      </c>
      <c r="BC18" s="12">
        <f t="shared" si="54"/>
        <v>0.21497259919151673</v>
      </c>
      <c r="BD18" s="12">
        <f t="shared" si="55"/>
        <v>0.44150718106829961</v>
      </c>
      <c r="BE18" s="12">
        <v>0.70047969348942407</v>
      </c>
      <c r="BF18" s="14">
        <f t="shared" si="15"/>
        <v>0.34370563276210564</v>
      </c>
      <c r="BG18" s="14">
        <f t="shared" si="16"/>
        <v>1.0151525920481468</v>
      </c>
      <c r="BH18" s="11">
        <f t="shared" si="56"/>
        <v>6.1822792855732125</v>
      </c>
      <c r="BI18" s="11">
        <f t="shared" si="17"/>
        <v>2.4940667273104364</v>
      </c>
      <c r="BJ18" s="12">
        <f t="shared" si="18"/>
        <v>-5.0381935557137769E-3</v>
      </c>
      <c r="BK18" s="11">
        <f t="shared" si="19"/>
        <v>-8.4391861601227429</v>
      </c>
      <c r="BL18" s="14">
        <f t="shared" si="57"/>
        <v>6.5169207250024863</v>
      </c>
      <c r="BM18" s="14">
        <f t="shared" si="58"/>
        <v>6.8895444988732599</v>
      </c>
      <c r="BN18" s="14">
        <f t="shared" si="59"/>
        <v>2.7728940786018303</v>
      </c>
      <c r="BO18" s="14">
        <f t="shared" si="60"/>
        <v>262.56298228946525</v>
      </c>
      <c r="BP18" s="15">
        <f t="shared" si="61"/>
        <v>293.4469767905814</v>
      </c>
      <c r="BQ18" s="16">
        <f t="shared" si="62"/>
        <v>47.535184203273062</v>
      </c>
      <c r="BR18" s="15">
        <f t="shared" si="20"/>
        <v>152.05061663236106</v>
      </c>
      <c r="BS18" s="18">
        <f t="shared" si="21"/>
        <v>253.13924972868381</v>
      </c>
      <c r="BT18" s="18">
        <f t="shared" si="22"/>
        <v>46.904674014304945</v>
      </c>
      <c r="BU18" s="18">
        <f t="shared" si="23"/>
        <v>129.51249782394447</v>
      </c>
      <c r="BV18" s="11">
        <f t="shared" si="63"/>
        <v>-40.307727061897594</v>
      </c>
      <c r="BW18" s="11">
        <f t="shared" si="64"/>
        <v>-22.538118808416584</v>
      </c>
      <c r="BX18" s="11">
        <f t="shared" si="65"/>
        <v>-0.63051018896811684</v>
      </c>
      <c r="BY18" s="11">
        <f t="shared" si="24"/>
        <v>170.72141512552426</v>
      </c>
      <c r="BZ18" s="11">
        <f t="shared" si="25"/>
        <v>6.3989016330139963</v>
      </c>
      <c r="CA18" s="11">
        <f t="shared" si="26"/>
        <v>2.7544427536418059</v>
      </c>
      <c r="CB18" s="11">
        <f t="shared" si="27"/>
        <v>6.1425223092555452</v>
      </c>
      <c r="CC18" s="11">
        <f t="shared" si="28"/>
        <v>3.0322661482736701</v>
      </c>
      <c r="CD18" s="11">
        <f t="shared" si="29"/>
        <v>52.868154789530834</v>
      </c>
      <c r="CE18" s="11">
        <f t="shared" si="30"/>
        <v>51.913011467138993</v>
      </c>
      <c r="CF18" s="11">
        <f t="shared" si="31"/>
        <v>52.39058312833491</v>
      </c>
      <c r="CG18" s="14">
        <f t="shared" si="32"/>
        <v>-0.38390895078305398</v>
      </c>
      <c r="CH18" s="14">
        <f t="shared" si="33"/>
        <v>2.4506789491404835E-2</v>
      </c>
      <c r="CI18" s="14">
        <f t="shared" si="34"/>
        <v>-0.27343724722055107</v>
      </c>
      <c r="CJ18" s="19"/>
      <c r="CK18" s="12"/>
      <c r="CL18" s="12"/>
      <c r="CM18" s="12"/>
      <c r="CP18" s="17"/>
      <c r="CQ18" s="20"/>
      <c r="CR18" s="20"/>
      <c r="CS18" s="21"/>
      <c r="CZ18" s="14"/>
      <c r="DA18" s="14"/>
      <c r="DB18" s="14"/>
      <c r="DC18" s="14"/>
      <c r="DH18" s="12"/>
    </row>
    <row r="19" spans="1:112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6"/>
        <v>0.2146720043241416</v>
      </c>
      <c r="I19" s="12">
        <f t="shared" si="67"/>
        <v>0.44103865632053879</v>
      </c>
      <c r="J19" s="12">
        <f t="shared" si="0"/>
        <v>6.0663700156712796E-2</v>
      </c>
      <c r="K19" s="13">
        <f t="shared" si="35"/>
        <v>1.3083534685696003E-2</v>
      </c>
      <c r="L19" s="13">
        <f>SUM(K$3:$K19)</f>
        <v>0.75532294121746013</v>
      </c>
      <c r="M19" s="69">
        <f t="shared" si="68"/>
        <v>0.68937967115441801</v>
      </c>
      <c r="N19" s="12">
        <f t="shared" si="36"/>
        <v>1.3133100972784838E-4</v>
      </c>
      <c r="O19" s="21">
        <f t="shared" si="37"/>
        <v>3.9732652985210963E-10</v>
      </c>
      <c r="P19" s="11">
        <f>SUM(O$2:$O19)</f>
        <v>9.8577568455365487E-8</v>
      </c>
      <c r="Q19" s="12">
        <f t="shared" si="38"/>
        <v>1.0209880895701263E-3</v>
      </c>
      <c r="R19" s="3">
        <f t="shared" si="1"/>
        <v>0.32762378062345249</v>
      </c>
      <c r="S19" s="1">
        <f t="shared" si="39"/>
        <v>1.4556564047631501E-3</v>
      </c>
      <c r="T19" s="1">
        <f t="shared" si="40"/>
        <v>0.93898237422840658</v>
      </c>
      <c r="U19" s="1">
        <f t="shared" si="41"/>
        <v>4.1739850141356179E-3</v>
      </c>
      <c r="V19" s="11">
        <f t="shared" si="42"/>
        <v>6.4857447457460076</v>
      </c>
      <c r="W19" s="12">
        <f t="shared" si="43"/>
        <v>4.525416445164096E-2</v>
      </c>
      <c r="X19" s="13">
        <f t="shared" si="2"/>
        <v>-2.1432837568130414E-2</v>
      </c>
      <c r="Y19" s="12">
        <f t="shared" si="3"/>
        <v>1.2132498937788476E-2</v>
      </c>
      <c r="Z19" s="12">
        <f t="shared" si="4"/>
        <v>4.17999780480326E-3</v>
      </c>
      <c r="AA19" s="12">
        <f t="shared" si="44"/>
        <v>1.1237609903760975E-2</v>
      </c>
      <c r="AB19" s="12" t="e">
        <f>SQRT((Q19/M19)^2 + (0.0002/I19)^2)*#REF!</f>
        <v>#REF!</v>
      </c>
      <c r="AC19" s="14">
        <f t="shared" si="45"/>
        <v>6.4226322693991982</v>
      </c>
      <c r="AD19" s="1">
        <f t="shared" si="46"/>
        <v>6.8138794432104675</v>
      </c>
      <c r="AE19" s="14">
        <f t="shared" si="47"/>
        <v>2.7267950848778142</v>
      </c>
      <c r="AF19" s="14">
        <f t="shared" si="5"/>
        <v>267.53830207740759</v>
      </c>
      <c r="AG19" s="15">
        <f t="shared" si="6"/>
        <v>301.12633840222907</v>
      </c>
      <c r="AH19" s="16">
        <f t="shared" si="7"/>
        <v>48.224180646451998</v>
      </c>
      <c r="AI19" s="15">
        <f t="shared" si="8"/>
        <v>154.29592262209286</v>
      </c>
      <c r="AJ19" s="7"/>
      <c r="AK19" s="12">
        <f t="shared" si="48"/>
        <v>0.68937967115441801</v>
      </c>
      <c r="AL19" s="14">
        <f t="shared" si="9"/>
        <v>0.32762378062345249</v>
      </c>
      <c r="AM19" s="14">
        <f t="shared" si="49"/>
        <v>1.0649827168712658</v>
      </c>
      <c r="AN19" s="11">
        <f t="shared" si="69"/>
        <v>6.4857447457460076</v>
      </c>
      <c r="AO19" s="11">
        <f t="shared" si="50"/>
        <v>11.451938836199172</v>
      </c>
      <c r="AP19" s="12">
        <f t="shared" si="10"/>
        <v>-2.1432837469644528E-2</v>
      </c>
      <c r="AQ19" s="18">
        <f t="shared" si="51"/>
        <v>299.16814211271566</v>
      </c>
      <c r="AR19" s="18">
        <f t="shared" si="52"/>
        <v>48.438662715233249</v>
      </c>
      <c r="AS19" s="18">
        <f t="shared" si="53"/>
        <v>155.98455714805721</v>
      </c>
      <c r="AT19" s="11">
        <f t="shared" si="11"/>
        <v>-1.9581962895134097</v>
      </c>
      <c r="AU19" s="11">
        <f t="shared" si="12"/>
        <v>0.2144820687812512</v>
      </c>
      <c r="AV19" s="11">
        <f t="shared" si="13"/>
        <v>1.6886345259643463</v>
      </c>
      <c r="AW19" s="11">
        <f t="shared" si="14"/>
        <v>0.3034644352338578</v>
      </c>
      <c r="AX19" s="7"/>
      <c r="AY19" s="17"/>
      <c r="AZ19" s="65"/>
      <c r="BA19" s="12">
        <v>0.20234572005565329</v>
      </c>
      <c r="BB19" s="12">
        <v>0.5056336466040745</v>
      </c>
      <c r="BC19" s="12">
        <f t="shared" si="54"/>
        <v>0.2146720043241416</v>
      </c>
      <c r="BD19" s="12">
        <f t="shared" si="55"/>
        <v>0.44103865632053879</v>
      </c>
      <c r="BE19" s="12">
        <v>0.70027881142857706</v>
      </c>
      <c r="BF19" s="14">
        <f t="shared" si="15"/>
        <v>0.34341001606688859</v>
      </c>
      <c r="BG19" s="14">
        <f t="shared" si="16"/>
        <v>1.0160264630488802</v>
      </c>
      <c r="BH19" s="11">
        <f t="shared" si="56"/>
        <v>6.187601159967679</v>
      </c>
      <c r="BI19" s="11">
        <f t="shared" si="17"/>
        <v>2.6412091878056803</v>
      </c>
      <c r="BJ19" s="12">
        <f t="shared" si="18"/>
        <v>-5.3279857440495793E-3</v>
      </c>
      <c r="BK19" s="11">
        <f t="shared" si="19"/>
        <v>-8.5072652131596342</v>
      </c>
      <c r="BL19" s="14">
        <f t="shared" si="57"/>
        <v>6.5241745297276754</v>
      </c>
      <c r="BM19" s="14">
        <f t="shared" si="58"/>
        <v>6.9216073484131213</v>
      </c>
      <c r="BN19" s="14">
        <f t="shared" si="59"/>
        <v>2.7699059037379103</v>
      </c>
      <c r="BO19" s="14">
        <f t="shared" si="60"/>
        <v>263.37433561795763</v>
      </c>
      <c r="BP19" s="15">
        <f t="shared" si="61"/>
        <v>296.43960770450246</v>
      </c>
      <c r="BQ19" s="16">
        <f t="shared" si="62"/>
        <v>47.473619440123564</v>
      </c>
      <c r="BR19" s="15">
        <f t="shared" si="20"/>
        <v>151.89446069443807</v>
      </c>
      <c r="BS19" s="18">
        <f t="shared" si="21"/>
        <v>253.93565044787218</v>
      </c>
      <c r="BT19" s="18">
        <f t="shared" si="22"/>
        <v>46.940269329837022</v>
      </c>
      <c r="BU19" s="18">
        <f t="shared" si="23"/>
        <v>129.96548526965094</v>
      </c>
      <c r="BV19" s="11">
        <f t="shared" si="63"/>
        <v>-42.503957256630287</v>
      </c>
      <c r="BW19" s="11">
        <f t="shared" si="64"/>
        <v>-21.928975424787126</v>
      </c>
      <c r="BX19" s="11">
        <f t="shared" si="65"/>
        <v>-0.53335011028654122</v>
      </c>
      <c r="BY19" s="11">
        <f t="shared" si="24"/>
        <v>171.28887366239135</v>
      </c>
      <c r="BZ19" s="11">
        <f t="shared" si="25"/>
        <v>6.4062027883655679</v>
      </c>
      <c r="CA19" s="11">
        <f t="shared" si="26"/>
        <v>2.7543024756143746</v>
      </c>
      <c r="CB19" s="11">
        <f t="shared" si="27"/>
        <v>6.1479677912754429</v>
      </c>
      <c r="CC19" s="11">
        <f t="shared" si="28"/>
        <v>3.0343281708033705</v>
      </c>
      <c r="CD19" s="11">
        <f t="shared" si="29"/>
        <v>52.958194633546462</v>
      </c>
      <c r="CE19" s="11">
        <f t="shared" si="30"/>
        <v>51.987569358360119</v>
      </c>
      <c r="CF19" s="11">
        <f t="shared" si="31"/>
        <v>52.472881995953287</v>
      </c>
      <c r="CG19" s="14">
        <f t="shared" si="32"/>
        <v>-0.40767665484489957</v>
      </c>
      <c r="CH19" s="14">
        <f t="shared" si="33"/>
        <v>2.7507390736560389E-2</v>
      </c>
      <c r="CI19" s="14">
        <f t="shared" si="34"/>
        <v>-0.27466447812375527</v>
      </c>
      <c r="CJ19" s="19"/>
      <c r="CK19" s="12"/>
      <c r="CL19" s="12"/>
      <c r="CM19" s="12"/>
      <c r="CP19" s="17"/>
      <c r="CQ19" s="20"/>
      <c r="CR19" s="20"/>
      <c r="CS19" s="21"/>
      <c r="CZ19" s="14"/>
      <c r="DA19" s="14"/>
      <c r="DB19" s="14"/>
      <c r="DC19" s="14"/>
      <c r="DH19" s="12"/>
    </row>
    <row r="20" spans="1:112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6"/>
        <v>0.21411396466537747</v>
      </c>
      <c r="I20" s="12">
        <f t="shared" si="67"/>
        <v>0.44015968553222901</v>
      </c>
      <c r="J20" s="12">
        <f t="shared" si="0"/>
        <v>6.0279752024753046E-2</v>
      </c>
      <c r="K20" s="13">
        <f t="shared" si="35"/>
        <v>2.3426669547269144E-2</v>
      </c>
      <c r="L20" s="13">
        <f>SUM(K$3:$K20)</f>
        <v>0.77874961076472926</v>
      </c>
      <c r="M20" s="69">
        <f t="shared" si="68"/>
        <v>0.68893591827363032</v>
      </c>
      <c r="N20" s="12">
        <f t="shared" si="36"/>
        <v>1.30626905590321E-4</v>
      </c>
      <c r="O20" s="21">
        <f t="shared" si="37"/>
        <v>1.2682190157043404E-9</v>
      </c>
      <c r="P20" s="11">
        <f>SUM(O$2:$O20)</f>
        <v>9.9845787471069831E-8</v>
      </c>
      <c r="Q20" s="12">
        <f t="shared" si="38"/>
        <v>1.0216298479723681E-3</v>
      </c>
      <c r="R20" s="3">
        <f t="shared" si="1"/>
        <v>0.32699151466413368</v>
      </c>
      <c r="S20" s="1">
        <f t="shared" si="39"/>
        <v>1.4546967978604807E-3</v>
      </c>
      <c r="T20" s="1">
        <f t="shared" si="40"/>
        <v>0.93717027563624944</v>
      </c>
      <c r="U20" s="1">
        <f t="shared" si="41"/>
        <v>4.1712347437917506E-3</v>
      </c>
      <c r="V20" s="11">
        <f t="shared" si="42"/>
        <v>6.4982854859171351</v>
      </c>
      <c r="W20" s="12">
        <f t="shared" si="43"/>
        <v>4.5365081924775078E-2</v>
      </c>
      <c r="X20" s="13">
        <f t="shared" si="2"/>
        <v>-2.2104777696867473E-2</v>
      </c>
      <c r="Y20" s="12">
        <f t="shared" si="3"/>
        <v>1.218260801078733E-2</v>
      </c>
      <c r="Z20" s="12">
        <f t="shared" si="4"/>
        <v>4.1858026911558693E-3</v>
      </c>
      <c r="AA20" s="12">
        <f t="shared" si="44"/>
        <v>1.1278238236576511E-2</v>
      </c>
      <c r="AB20" s="12" t="e">
        <f>SQRT((Q20/M20)^2 + (0.0002/I20)^2)*#REF!</f>
        <v>#REF!</v>
      </c>
      <c r="AC20" s="14">
        <f t="shared" si="45"/>
        <v>6.4352263931062712</v>
      </c>
      <c r="AD20" s="1">
        <f t="shared" si="46"/>
        <v>6.8297450680349652</v>
      </c>
      <c r="AE20" s="14">
        <f t="shared" si="47"/>
        <v>2.7271972993260039</v>
      </c>
      <c r="AF20" s="14">
        <f t="shared" si="5"/>
        <v>269.10790005340004</v>
      </c>
      <c r="AG20" s="15">
        <f t="shared" si="6"/>
        <v>303.11524078772351</v>
      </c>
      <c r="AH20" s="16">
        <f t="shared" si="7"/>
        <v>48.331681332728877</v>
      </c>
      <c r="AI20" s="15">
        <f t="shared" si="8"/>
        <v>155.44086702078056</v>
      </c>
      <c r="AJ20" s="7"/>
      <c r="AK20" s="12">
        <f t="shared" si="48"/>
        <v>0.68893591827363032</v>
      </c>
      <c r="AL20" s="14">
        <f t="shared" si="9"/>
        <v>0.32699151466413368</v>
      </c>
      <c r="AM20" s="14">
        <f t="shared" si="49"/>
        <v>1.0670419517105312</v>
      </c>
      <c r="AN20" s="11">
        <f t="shared" si="69"/>
        <v>6.4982854859171351</v>
      </c>
      <c r="AO20" s="11">
        <f t="shared" si="50"/>
        <v>11.84682605260903</v>
      </c>
      <c r="AP20" s="12">
        <f t="shared" si="10"/>
        <v>-2.2104777595228886E-2</v>
      </c>
      <c r="AQ20" s="18">
        <f t="shared" si="51"/>
        <v>301.1383548680497</v>
      </c>
      <c r="AR20" s="18">
        <f t="shared" si="52"/>
        <v>48.479454214705477</v>
      </c>
      <c r="AS20" s="18">
        <f t="shared" si="53"/>
        <v>157.13244065620296</v>
      </c>
      <c r="AT20" s="11">
        <f t="shared" si="11"/>
        <v>-1.9768859196738049</v>
      </c>
      <c r="AU20" s="11">
        <f t="shared" si="12"/>
        <v>0.14777288197659999</v>
      </c>
      <c r="AV20" s="11">
        <f t="shared" si="13"/>
        <v>1.6915736354224009</v>
      </c>
      <c r="AW20" s="11">
        <f t="shared" si="14"/>
        <v>0.31095292728583424</v>
      </c>
      <c r="AX20" s="7"/>
      <c r="AY20" s="17"/>
      <c r="AZ20" s="65"/>
      <c r="BA20" s="12">
        <v>0.20174572005565328</v>
      </c>
      <c r="BB20" s="12">
        <v>0.50523364660407455</v>
      </c>
      <c r="BC20" s="12">
        <f t="shared" si="54"/>
        <v>0.21411396466537747</v>
      </c>
      <c r="BD20" s="12">
        <f t="shared" si="55"/>
        <v>0.44015968553222901</v>
      </c>
      <c r="BE20" s="12">
        <v>0.6999193250127862</v>
      </c>
      <c r="BF20" s="14">
        <f t="shared" si="15"/>
        <v>0.34288142143602313</v>
      </c>
      <c r="BG20" s="14">
        <f t="shared" si="16"/>
        <v>1.0175927950214192</v>
      </c>
      <c r="BH20" s="11">
        <f t="shared" si="56"/>
        <v>6.1971401216804427</v>
      </c>
      <c r="BI20" s="11">
        <f t="shared" si="17"/>
        <v>2.9058537186980038</v>
      </c>
      <c r="BJ20" s="12">
        <f t="shared" si="18"/>
        <v>-5.8472032907718186E-3</v>
      </c>
      <c r="BK20" s="11">
        <f t="shared" si="19"/>
        <v>-8.6300194066251912</v>
      </c>
      <c r="BL20" s="14">
        <f t="shared" si="57"/>
        <v>6.5378204182677875</v>
      </c>
      <c r="BM20" s="14">
        <f t="shared" si="58"/>
        <v>6.9386287334344194</v>
      </c>
      <c r="BN20" s="14">
        <f t="shared" si="59"/>
        <v>2.7706758238185065</v>
      </c>
      <c r="BO20" s="14">
        <f t="shared" si="60"/>
        <v>264.88495404036826</v>
      </c>
      <c r="BP20" s="15">
        <f t="shared" si="61"/>
        <v>298.35863833450793</v>
      </c>
      <c r="BQ20" s="16">
        <f t="shared" si="62"/>
        <v>47.573241759060956</v>
      </c>
      <c r="BR20" s="15">
        <f t="shared" si="20"/>
        <v>153.00162837517649</v>
      </c>
      <c r="BS20" s="18">
        <f t="shared" si="21"/>
        <v>255.36596320595612</v>
      </c>
      <c r="BT20" s="18">
        <f t="shared" si="22"/>
        <v>47.00335783536805</v>
      </c>
      <c r="BU20" s="18">
        <f t="shared" si="23"/>
        <v>130.77953347775431</v>
      </c>
      <c r="BV20" s="11">
        <f t="shared" si="63"/>
        <v>-42.992675128551809</v>
      </c>
      <c r="BW20" s="11">
        <f t="shared" si="64"/>
        <v>-22.222094897422181</v>
      </c>
      <c r="BX20" s="11">
        <f t="shared" si="65"/>
        <v>-0.56988392369290608</v>
      </c>
      <c r="BY20" s="11">
        <f t="shared" si="24"/>
        <v>172.30834338715491</v>
      </c>
      <c r="BZ20" s="11">
        <f t="shared" si="25"/>
        <v>6.4192730268884874</v>
      </c>
      <c r="CA20" s="11">
        <f t="shared" si="26"/>
        <v>2.7540307443330039</v>
      </c>
      <c r="CB20" s="11">
        <f t="shared" si="27"/>
        <v>6.1577112819955282</v>
      </c>
      <c r="CC20" s="11">
        <f t="shared" si="28"/>
        <v>3.0380119398168848</v>
      </c>
      <c r="CD20" s="11">
        <f t="shared" si="29"/>
        <v>53.119300646861191</v>
      </c>
      <c r="CE20" s="11">
        <f t="shared" si="30"/>
        <v>52.120549147186374</v>
      </c>
      <c r="CF20" s="11">
        <f t="shared" si="31"/>
        <v>52.619924897023779</v>
      </c>
      <c r="CG20" s="14">
        <f t="shared" si="32"/>
        <v>-0.41047204114647773</v>
      </c>
      <c r="CH20" s="14">
        <f t="shared" si="33"/>
        <v>2.6833445007000023E-2</v>
      </c>
      <c r="CI20" s="14">
        <f t="shared" si="34"/>
        <v>-0.27751511111074301</v>
      </c>
      <c r="CJ20" s="19"/>
      <c r="CK20" s="12"/>
      <c r="CL20" s="12"/>
      <c r="CM20" s="12"/>
      <c r="CP20" s="17"/>
      <c r="CQ20" s="20"/>
      <c r="CR20" s="20"/>
      <c r="CS20" s="21"/>
      <c r="CZ20" s="14"/>
      <c r="DA20" s="14"/>
      <c r="DB20" s="14"/>
      <c r="DC20" s="14"/>
      <c r="DH20" s="12"/>
    </row>
    <row r="21" spans="1:112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6"/>
        <v>0.21331253332335973</v>
      </c>
      <c r="I21" s="12">
        <f t="shared" si="67"/>
        <v>0.43892871432296038</v>
      </c>
      <c r="J21" s="12">
        <f t="shared" si="0"/>
        <v>5.9644822037137113E-2</v>
      </c>
      <c r="K21" s="13">
        <f t="shared" si="35"/>
        <v>3.0972418007157838E-2</v>
      </c>
      <c r="L21" s="13">
        <f>SUM(K$3:$K21)</f>
        <v>0.80972202877188715</v>
      </c>
      <c r="M21" s="69">
        <f t="shared" si="68"/>
        <v>0.6883501084388236</v>
      </c>
      <c r="N21" s="12">
        <f t="shared" si="36"/>
        <v>1.2937642711028898E-4</v>
      </c>
      <c r="O21" s="21">
        <f t="shared" si="37"/>
        <v>2.2135021076904881E-9</v>
      </c>
      <c r="P21" s="11">
        <f>SUM(O$2:$O21)</f>
        <v>1.0205928957876032E-7</v>
      </c>
      <c r="Q21" s="12">
        <f t="shared" si="38"/>
        <v>1.0224772813077893E-3</v>
      </c>
      <c r="R21" s="3">
        <f t="shared" si="1"/>
        <v>0.32615809022621112</v>
      </c>
      <c r="S21" s="1">
        <f t="shared" si="39"/>
        <v>1.4534285675964654E-3</v>
      </c>
      <c r="T21" s="1">
        <f t="shared" si="40"/>
        <v>0.93478164909646866</v>
      </c>
      <c r="U21" s="1">
        <f t="shared" si="41"/>
        <v>4.167599947007136E-3</v>
      </c>
      <c r="V21" s="11">
        <f t="shared" si="42"/>
        <v>6.514890408777716</v>
      </c>
      <c r="W21" s="12">
        <f t="shared" si="43"/>
        <v>4.5512069384984796E-2</v>
      </c>
      <c r="X21" s="13">
        <f t="shared" si="2"/>
        <v>-2.2993814416954583E-2</v>
      </c>
      <c r="Y21" s="12">
        <f t="shared" si="3"/>
        <v>1.2249943053060215E-2</v>
      </c>
      <c r="Z21" s="12">
        <f t="shared" si="4"/>
        <v>4.1835099222671986E-3</v>
      </c>
      <c r="AA21" s="12">
        <f t="shared" si="44"/>
        <v>1.1336676488148838E-2</v>
      </c>
      <c r="AB21" s="12" t="e">
        <f>SQRT((Q21/M21)^2 + (0.0002/I21)^2)*#REF!</f>
        <v>#REF!</v>
      </c>
      <c r="AC21" s="14">
        <f t="shared" si="45"/>
        <v>6.4539115232892206</v>
      </c>
      <c r="AD21" s="1">
        <f t="shared" si="46"/>
        <v>6.8511049476264576</v>
      </c>
      <c r="AE21" s="14">
        <f t="shared" si="47"/>
        <v>2.7216461896517852</v>
      </c>
      <c r="AF21" s="14">
        <f t="shared" si="5"/>
        <v>271.3645604868247</v>
      </c>
      <c r="AG21" s="15">
        <f t="shared" si="6"/>
        <v>305.79357415386755</v>
      </c>
      <c r="AH21" s="16">
        <f t="shared" si="7"/>
        <v>48.258125469009116</v>
      </c>
      <c r="AI21" s="15">
        <f t="shared" si="8"/>
        <v>157.63380271528501</v>
      </c>
      <c r="AJ21" s="7"/>
      <c r="AK21" s="12">
        <f t="shared" si="48"/>
        <v>0.6883501084388236</v>
      </c>
      <c r="AL21" s="14">
        <f t="shared" si="9"/>
        <v>0.32615809022621112</v>
      </c>
      <c r="AM21" s="14">
        <f t="shared" si="49"/>
        <v>1.0697685400291816</v>
      </c>
      <c r="AN21" s="11">
        <f t="shared" si="69"/>
        <v>6.514890408777716</v>
      </c>
      <c r="AO21" s="11">
        <f t="shared" si="50"/>
        <v>12.372742065413188</v>
      </c>
      <c r="AP21" s="12">
        <f t="shared" si="10"/>
        <v>-2.2993814311138894E-2</v>
      </c>
      <c r="AQ21" s="18">
        <f t="shared" si="51"/>
        <v>303.75568423955434</v>
      </c>
      <c r="AR21" s="18">
        <f t="shared" si="52"/>
        <v>48.530466499952666</v>
      </c>
      <c r="AS21" s="18">
        <f t="shared" si="53"/>
        <v>158.65926071461837</v>
      </c>
      <c r="AT21" s="11">
        <f t="shared" si="11"/>
        <v>-2.0378899143132116</v>
      </c>
      <c r="AU21" s="11">
        <f t="shared" si="12"/>
        <v>0.27234103094355078</v>
      </c>
      <c r="AV21" s="11">
        <f t="shared" si="13"/>
        <v>1.025457999333355</v>
      </c>
      <c r="AW21" s="11">
        <f t="shared" si="14"/>
        <v>0.32033730761283685</v>
      </c>
      <c r="AX21" s="7"/>
      <c r="AY21" s="17"/>
      <c r="AZ21" s="65"/>
      <c r="BA21" s="12">
        <v>0.20094572005565328</v>
      </c>
      <c r="BB21" s="12">
        <v>0.50583364660407459</v>
      </c>
      <c r="BC21" s="12">
        <f t="shared" si="54"/>
        <v>0.21331253332335973</v>
      </c>
      <c r="BD21" s="12">
        <f t="shared" si="55"/>
        <v>0.43892871432296038</v>
      </c>
      <c r="BE21" s="12">
        <v>0.6994444259770346</v>
      </c>
      <c r="BF21" s="14">
        <f t="shared" si="15"/>
        <v>0.34218395420599546</v>
      </c>
      <c r="BG21" s="14">
        <f t="shared" si="16"/>
        <v>1.0196669356095909</v>
      </c>
      <c r="BH21" s="11">
        <f t="shared" si="56"/>
        <v>6.2097716378624073</v>
      </c>
      <c r="BI21" s="11">
        <f t="shared" si="17"/>
        <v>3.2580869733715225</v>
      </c>
      <c r="BJ21" s="12">
        <f t="shared" si="18"/>
        <v>-6.5343426632402668E-3</v>
      </c>
      <c r="BK21" s="11">
        <f t="shared" si="19"/>
        <v>-8.7943177844288289</v>
      </c>
      <c r="BL21" s="14">
        <f t="shared" si="57"/>
        <v>6.5579308921032711</v>
      </c>
      <c r="BM21" s="14">
        <f t="shared" si="58"/>
        <v>6.9615259860555252</v>
      </c>
      <c r="BN21" s="14">
        <f t="shared" si="59"/>
        <v>2.7655116684023304</v>
      </c>
      <c r="BO21" s="14">
        <f t="shared" si="60"/>
        <v>267.06028056000639</v>
      </c>
      <c r="BP21" s="15">
        <f t="shared" si="61"/>
        <v>300.94319449994651</v>
      </c>
      <c r="BQ21" s="16">
        <f t="shared" si="62"/>
        <v>47.492673707771395</v>
      </c>
      <c r="BR21" s="15">
        <f t="shared" si="20"/>
        <v>155.13347617449352</v>
      </c>
      <c r="BS21" s="18">
        <f t="shared" si="21"/>
        <v>257.26559504433072</v>
      </c>
      <c r="BT21" s="18">
        <f t="shared" si="22"/>
        <v>47.08548410860449</v>
      </c>
      <c r="BU21" s="18">
        <f t="shared" si="23"/>
        <v>131.86167235829774</v>
      </c>
      <c r="BV21" s="11">
        <f t="shared" si="63"/>
        <v>-43.677599455615791</v>
      </c>
      <c r="BW21" s="11">
        <f t="shared" si="64"/>
        <v>-23.271803816195785</v>
      </c>
      <c r="BX21" s="11">
        <f t="shared" si="65"/>
        <v>-0.40718959916690523</v>
      </c>
      <c r="BY21" s="11">
        <f t="shared" si="24"/>
        <v>173.66297992030874</v>
      </c>
      <c r="BZ21" s="11">
        <f t="shared" si="25"/>
        <v>6.4365484181060033</v>
      </c>
      <c r="CA21" s="11">
        <f t="shared" si="26"/>
        <v>2.7536307655518892</v>
      </c>
      <c r="CB21" s="11">
        <f t="shared" si="27"/>
        <v>6.1705801038179047</v>
      </c>
      <c r="CC21" s="11">
        <f t="shared" si="28"/>
        <v>3.0428659165424055</v>
      </c>
      <c r="CD21" s="11">
        <f t="shared" si="29"/>
        <v>53.332075002369287</v>
      </c>
      <c r="CE21" s="11">
        <f t="shared" si="30"/>
        <v>52.295329583371263</v>
      </c>
      <c r="CF21" s="11">
        <f t="shared" si="31"/>
        <v>52.813702292870275</v>
      </c>
      <c r="CG21" s="14">
        <f t="shared" si="32"/>
        <v>-0.4145565295204543</v>
      </c>
      <c r="CH21" s="14">
        <f t="shared" si="33"/>
        <v>3.1984575900104062E-2</v>
      </c>
      <c r="CI21" s="14">
        <f t="shared" si="34"/>
        <v>-0.2833314194713159</v>
      </c>
      <c r="CJ21" s="19"/>
      <c r="CK21" s="12"/>
      <c r="CL21" s="12"/>
      <c r="CM21" s="12"/>
      <c r="CP21" s="17"/>
      <c r="CQ21" s="20"/>
      <c r="CR21" s="20"/>
      <c r="CS21" s="21"/>
      <c r="CZ21" s="14"/>
      <c r="DA21" s="14"/>
      <c r="DB21" s="14"/>
      <c r="DC21" s="14"/>
      <c r="DH21" s="12"/>
    </row>
    <row r="22" spans="1:112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6"/>
        <v>0.21287428502659014</v>
      </c>
      <c r="I22" s="12">
        <f t="shared" si="67"/>
        <v>0.43830096371475474</v>
      </c>
      <c r="J22" s="12">
        <f t="shared" si="0"/>
        <v>5.9237728976594045E-2</v>
      </c>
      <c r="K22" s="13">
        <f t="shared" si="35"/>
        <v>1.5351649537042876E-2</v>
      </c>
      <c r="L22" s="13">
        <f>SUM(K$3:$K22)</f>
        <v>0.82507367830892997</v>
      </c>
      <c r="M22" s="69">
        <f t="shared" si="68"/>
        <v>0.68806011768450803</v>
      </c>
      <c r="N22" s="12">
        <f t="shared" si="36"/>
        <v>1.2824611447049164E-4</v>
      </c>
      <c r="O22" s="21">
        <f t="shared" si="37"/>
        <v>5.4536668453315195E-10</v>
      </c>
      <c r="P22" s="11">
        <f>SUM(O$2:$O22)</f>
        <v>1.0260465626329348E-7</v>
      </c>
      <c r="Q22" s="12">
        <f t="shared" si="38"/>
        <v>1.0228968730074837E-3</v>
      </c>
      <c r="R22" s="3">
        <f t="shared" si="1"/>
        <v>0.32574604849556127</v>
      </c>
      <c r="S22" s="1">
        <f t="shared" si="39"/>
        <v>1.4528001514837225E-3</v>
      </c>
      <c r="T22" s="1">
        <f t="shared" si="40"/>
        <v>0.93360072162597019</v>
      </c>
      <c r="U22" s="1">
        <f t="shared" si="41"/>
        <v>4.1657988822235486E-3</v>
      </c>
      <c r="V22" s="11">
        <f t="shared" si="42"/>
        <v>6.5231312047334145</v>
      </c>
      <c r="W22" s="12">
        <f t="shared" si="43"/>
        <v>4.5585069560682416E-2</v>
      </c>
      <c r="X22" s="13">
        <f t="shared" si="2"/>
        <v>-2.3434750689034556E-2</v>
      </c>
      <c r="Y22" s="12">
        <f t="shared" si="3"/>
        <v>1.229990813047571E-2</v>
      </c>
      <c r="Z22" s="12">
        <f t="shared" si="4"/>
        <v>4.1744398759688481E-3</v>
      </c>
      <c r="AA22" s="12">
        <f t="shared" si="44"/>
        <v>1.1368647682458207E-2</v>
      </c>
      <c r="AB22" s="12" t="e">
        <f>SQRT((Q22/M22)^2 + (0.0002/I22)^2)*#REF!</f>
        <v>#REF!</v>
      </c>
      <c r="AC22" s="14">
        <f t="shared" si="45"/>
        <v>6.4644737864750779</v>
      </c>
      <c r="AD22" s="1">
        <f t="shared" si="46"/>
        <v>6.8687278918998054</v>
      </c>
      <c r="AE22" s="14">
        <f t="shared" si="47"/>
        <v>2.7140609791594006</v>
      </c>
      <c r="AF22" s="14">
        <f t="shared" si="5"/>
        <v>272.5978783447668</v>
      </c>
      <c r="AG22" s="15">
        <f t="shared" si="6"/>
        <v>307.75756543347148</v>
      </c>
      <c r="AH22" s="16">
        <f t="shared" si="7"/>
        <v>48.050212882568793</v>
      </c>
      <c r="AI22" s="15">
        <f t="shared" si="8"/>
        <v>158.91760903527688</v>
      </c>
      <c r="AJ22" s="7"/>
      <c r="AK22" s="12">
        <f t="shared" si="48"/>
        <v>0.68806011768450803</v>
      </c>
      <c r="AL22" s="14">
        <f t="shared" si="9"/>
        <v>0.32574604849556127</v>
      </c>
      <c r="AM22" s="14">
        <f t="shared" si="49"/>
        <v>1.0711217084948135</v>
      </c>
      <c r="AN22" s="11">
        <f t="shared" si="69"/>
        <v>6.5231312047334145</v>
      </c>
      <c r="AO22" s="11">
        <f t="shared" si="50"/>
        <v>12.635040319174243</v>
      </c>
      <c r="AP22" s="12">
        <f t="shared" si="10"/>
        <v>-2.3434750581144526E-2</v>
      </c>
      <c r="AQ22" s="18">
        <f t="shared" si="51"/>
        <v>305.05827025837334</v>
      </c>
      <c r="AR22" s="18">
        <f t="shared" si="52"/>
        <v>48.554506430855298</v>
      </c>
      <c r="AS22" s="18">
        <f t="shared" si="53"/>
        <v>159.41993707313014</v>
      </c>
      <c r="AT22" s="11">
        <f t="shared" si="11"/>
        <v>-2.6992951750981433</v>
      </c>
      <c r="AU22" s="11">
        <f t="shared" si="12"/>
        <v>0.50429354828650474</v>
      </c>
      <c r="AV22" s="11">
        <f t="shared" si="13"/>
        <v>0.50232803785326041</v>
      </c>
      <c r="AW22" s="11">
        <f t="shared" si="14"/>
        <v>0.32436974513531247</v>
      </c>
      <c r="AX22" s="7"/>
      <c r="AY22" s="17"/>
      <c r="AZ22" s="65"/>
      <c r="BA22" s="12">
        <v>0.20034572005565329</v>
      </c>
      <c r="BB22" s="12">
        <v>0.50703364660407457</v>
      </c>
      <c r="BC22" s="12">
        <f t="shared" si="54"/>
        <v>0.21287428502659014</v>
      </c>
      <c r="BD22" s="12">
        <f t="shared" si="55"/>
        <v>0.43830096371475474</v>
      </c>
      <c r="BE22" s="12">
        <v>0.69920914995911065</v>
      </c>
      <c r="BF22" s="14">
        <f t="shared" si="15"/>
        <v>0.34183876337721347</v>
      </c>
      <c r="BG22" s="14">
        <f t="shared" si="16"/>
        <v>1.0206966013827385</v>
      </c>
      <c r="BH22" s="11">
        <f t="shared" si="56"/>
        <v>6.2160423024208775</v>
      </c>
      <c r="BI22" s="11">
        <f t="shared" si="17"/>
        <v>3.433704600656811</v>
      </c>
      <c r="BJ22" s="12">
        <f t="shared" si="18"/>
        <v>-6.8752862385306202E-3</v>
      </c>
      <c r="BK22" s="11">
        <f t="shared" si="19"/>
        <v>-8.87696597338212</v>
      </c>
      <c r="BL22" s="14">
        <f t="shared" si="57"/>
        <v>6.5692213587166943</v>
      </c>
      <c r="BM22" s="14">
        <f t="shared" si="58"/>
        <v>6.980025825007691</v>
      </c>
      <c r="BN22" s="14">
        <f t="shared" si="59"/>
        <v>2.7580384640828361</v>
      </c>
      <c r="BO22" s="14">
        <f t="shared" si="60"/>
        <v>268.25124966602061</v>
      </c>
      <c r="BP22" s="15">
        <f t="shared" si="61"/>
        <v>302.85030838460193</v>
      </c>
      <c r="BQ22" s="16">
        <f t="shared" si="62"/>
        <v>47.284042453791344</v>
      </c>
      <c r="BR22" s="15">
        <f t="shared" si="20"/>
        <v>156.38363539914727</v>
      </c>
      <c r="BS22" s="18">
        <f t="shared" si="21"/>
        <v>258.2110029297599</v>
      </c>
      <c r="BT22" s="18">
        <f t="shared" si="22"/>
        <v>47.12565155681402</v>
      </c>
      <c r="BU22" s="18">
        <f t="shared" si="23"/>
        <v>132.40064744392134</v>
      </c>
      <c r="BV22" s="11">
        <f t="shared" si="63"/>
        <v>-44.639305454842031</v>
      </c>
      <c r="BW22" s="11">
        <f t="shared" si="64"/>
        <v>-23.982987955225923</v>
      </c>
      <c r="BX22" s="11">
        <f t="shared" si="65"/>
        <v>-0.15839089697732334</v>
      </c>
      <c r="BY22" s="11">
        <f t="shared" si="24"/>
        <v>174.33743260586752</v>
      </c>
      <c r="BZ22" s="11">
        <f t="shared" si="25"/>
        <v>6.4451108557648444</v>
      </c>
      <c r="CA22" s="11">
        <f t="shared" si="26"/>
        <v>2.7534151851358266</v>
      </c>
      <c r="CB22" s="11">
        <f t="shared" si="27"/>
        <v>6.176954426637133</v>
      </c>
      <c r="CC22" s="11">
        <f t="shared" si="28"/>
        <v>3.0452654063619811</v>
      </c>
      <c r="CD22" s="11">
        <f t="shared" si="29"/>
        <v>53.437462031256118</v>
      </c>
      <c r="CE22" s="11">
        <f t="shared" si="30"/>
        <v>52.38153569072891</v>
      </c>
      <c r="CF22" s="11">
        <f t="shared" si="31"/>
        <v>52.909498860992514</v>
      </c>
      <c r="CG22" s="14">
        <f t="shared" si="32"/>
        <v>-0.42361703613496093</v>
      </c>
      <c r="CH22" s="14">
        <f t="shared" si="33"/>
        <v>3.9354205976426027E-2</v>
      </c>
      <c r="CI22" s="14">
        <f t="shared" si="34"/>
        <v>-0.28751935983794485</v>
      </c>
      <c r="CJ22" s="19"/>
      <c r="CK22" s="12"/>
      <c r="CL22" s="12"/>
      <c r="CM22" s="12"/>
      <c r="CP22" s="12"/>
      <c r="CQ22" s="14"/>
      <c r="CR22" s="11"/>
      <c r="CS22" s="12"/>
    </row>
    <row r="23" spans="1:112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6"/>
        <v>0.21256349294839896</v>
      </c>
      <c r="I23" s="12">
        <f t="shared" si="67"/>
        <v>0.43788451653512361</v>
      </c>
      <c r="J23" s="12">
        <f t="shared" si="0"/>
        <v>5.9026242943168272E-2</v>
      </c>
      <c r="K23" s="13">
        <f t="shared" si="35"/>
        <v>1.0181180413157921E-2</v>
      </c>
      <c r="L23" s="13">
        <f>SUM(K$3:$K23)</f>
        <v>0.83525485872208793</v>
      </c>
      <c r="M23" s="69">
        <f t="shared" si="68"/>
        <v>0.68786793116786382</v>
      </c>
      <c r="N23" s="12">
        <f t="shared" si="36"/>
        <v>1.2750677771652236E-4</v>
      </c>
      <c r="O23" s="21">
        <f t="shared" si="37"/>
        <v>1.2049190933788425E-10</v>
      </c>
      <c r="P23" s="11">
        <f>SUM(O$2:$O23)</f>
        <v>1.0272514817263136E-7</v>
      </c>
      <c r="Q23" s="12">
        <f t="shared" si="38"/>
        <v>1.0231749814907439E-3</v>
      </c>
      <c r="R23" s="3">
        <f t="shared" si="1"/>
        <v>0.32547316603051257</v>
      </c>
      <c r="S23" s="1">
        <f t="shared" si="39"/>
        <v>1.4523834541767698E-3</v>
      </c>
      <c r="T23" s="1">
        <f t="shared" si="40"/>
        <v>0.9328186299706297</v>
      </c>
      <c r="U23" s="12">
        <f t="shared" si="41"/>
        <v>4.1646046116920491E-3</v>
      </c>
      <c r="V23" s="11">
        <f t="shared" si="42"/>
        <v>6.5286003134304327</v>
      </c>
      <c r="W23" s="12">
        <f t="shared" si="43"/>
        <v>4.5633536161135038E-2</v>
      </c>
      <c r="X23" s="13">
        <f t="shared" si="2"/>
        <v>-2.3727281131313616E-2</v>
      </c>
      <c r="Y23" s="12">
        <f t="shared" si="3"/>
        <v>1.2349617096123986E-2</v>
      </c>
      <c r="Z23" s="12">
        <f t="shared" si="4"/>
        <v>4.1771795090154449E-3</v>
      </c>
      <c r="AA23" s="12">
        <f t="shared" si="44"/>
        <v>1.1391324983349136E-2</v>
      </c>
      <c r="AB23" s="12" t="e">
        <f>SQRT((Q23/M23)^2 + (0.0002/I23)^2)*#REF!</f>
        <v>#REF!</v>
      </c>
      <c r="AC23" s="14">
        <f t="shared" si="45"/>
        <v>6.4721173107072323</v>
      </c>
      <c r="AD23" s="1">
        <f t="shared" si="46"/>
        <v>6.8874359958872677</v>
      </c>
      <c r="AE23" s="14">
        <f t="shared" si="47"/>
        <v>2.7143735850086865</v>
      </c>
      <c r="AF23" s="14">
        <f t="shared" si="5"/>
        <v>273.47198472321389</v>
      </c>
      <c r="AG23" s="15">
        <f t="shared" si="6"/>
        <v>309.69574150499932</v>
      </c>
      <c r="AH23" s="16">
        <f t="shared" si="7"/>
        <v>48.101577807981357</v>
      </c>
      <c r="AI23" s="15">
        <f t="shared" si="8"/>
        <v>159.15695071635849</v>
      </c>
      <c r="AJ23" s="7"/>
      <c r="AK23" s="12">
        <f t="shared" si="48"/>
        <v>0.68786793116786382</v>
      </c>
      <c r="AL23" s="14">
        <f t="shared" si="9"/>
        <v>0.32547316603051257</v>
      </c>
      <c r="AM23" s="14">
        <f t="shared" si="49"/>
        <v>1.0720197558999069</v>
      </c>
      <c r="AN23" s="11">
        <f t="shared" si="69"/>
        <v>6.5286003134304327</v>
      </c>
      <c r="AO23" s="11">
        <f t="shared" si="50"/>
        <v>12.809591844201965</v>
      </c>
      <c r="AP23" s="12">
        <f t="shared" si="10"/>
        <v>-2.3727281022046576E-2</v>
      </c>
      <c r="AQ23" s="18">
        <f t="shared" si="51"/>
        <v>305.9240806401034</v>
      </c>
      <c r="AR23" s="18">
        <f t="shared" si="52"/>
        <v>48.569990878921047</v>
      </c>
      <c r="AS23" s="18">
        <f t="shared" si="53"/>
        <v>159.92584601454379</v>
      </c>
      <c r="AT23" s="11">
        <f t="shared" si="11"/>
        <v>-3.7716608648959209</v>
      </c>
      <c r="AU23" s="11">
        <f t="shared" si="12"/>
        <v>0.46841307093968965</v>
      </c>
      <c r="AV23" s="11">
        <f t="shared" si="13"/>
        <v>0.76889529818529923</v>
      </c>
      <c r="AW23" s="11">
        <f t="shared" si="14"/>
        <v>0.32674405933731521</v>
      </c>
      <c r="AX23" s="7"/>
      <c r="AY23" s="17"/>
      <c r="AZ23" s="65"/>
      <c r="BA23" s="12">
        <v>0.19974572005565328</v>
      </c>
      <c r="BB23" s="12">
        <v>0.50683364660407459</v>
      </c>
      <c r="BC23" s="12">
        <f t="shared" si="54"/>
        <v>0.21256349294839896</v>
      </c>
      <c r="BD23" s="12">
        <f t="shared" si="55"/>
        <v>0.43788451653512361</v>
      </c>
      <c r="BE23" s="12">
        <v>0.69905315311788063</v>
      </c>
      <c r="BF23" s="14">
        <f t="shared" si="15"/>
        <v>0.3416100169243565</v>
      </c>
      <c r="BG23" s="14">
        <f t="shared" si="16"/>
        <v>1.0213800729305333</v>
      </c>
      <c r="BH23" s="11">
        <f t="shared" si="56"/>
        <v>6.2202046441469472</v>
      </c>
      <c r="BI23" s="11">
        <f t="shared" si="17"/>
        <v>3.5505541478770133</v>
      </c>
      <c r="BJ23" s="12">
        <f t="shared" si="18"/>
        <v>-7.1015344594425045E-3</v>
      </c>
      <c r="BK23" s="11">
        <f t="shared" si="19"/>
        <v>-8.9322936369876356</v>
      </c>
      <c r="BL23" s="14">
        <f t="shared" si="57"/>
        <v>6.5773585428197672</v>
      </c>
      <c r="BM23" s="14">
        <f t="shared" si="58"/>
        <v>6.999430605302682</v>
      </c>
      <c r="BN23" s="14">
        <f t="shared" si="59"/>
        <v>2.7585112306640642</v>
      </c>
      <c r="BO23" s="14">
        <f t="shared" si="60"/>
        <v>269.09628763552053</v>
      </c>
      <c r="BP23" s="15">
        <f t="shared" si="61"/>
        <v>304.74044505828641</v>
      </c>
      <c r="BQ23" s="16">
        <f t="shared" si="62"/>
        <v>47.331927000272955</v>
      </c>
      <c r="BR23" s="15">
        <f t="shared" si="20"/>
        <v>156.61035492359167</v>
      </c>
      <c r="BS23" s="18">
        <f t="shared" si="21"/>
        <v>258.8394153110421</v>
      </c>
      <c r="BT23" s="18">
        <f t="shared" si="22"/>
        <v>47.152092178090214</v>
      </c>
      <c r="BU23" s="18">
        <f t="shared" si="23"/>
        <v>132.75905697066119</v>
      </c>
      <c r="BV23" s="11">
        <f t="shared" si="63"/>
        <v>-45.901029747244309</v>
      </c>
      <c r="BW23" s="11">
        <f t="shared" si="64"/>
        <v>-23.85129795293048</v>
      </c>
      <c r="BX23" s="11">
        <f t="shared" si="65"/>
        <v>-0.17983482218274105</v>
      </c>
      <c r="BY23" s="11">
        <f t="shared" si="24"/>
        <v>174.78584308412147</v>
      </c>
      <c r="BZ23" s="11">
        <f t="shared" si="25"/>
        <v>6.4507894718455558</v>
      </c>
      <c r="CA23" s="11">
        <f t="shared" si="26"/>
        <v>2.753265844425516</v>
      </c>
      <c r="CB23" s="11">
        <f t="shared" si="27"/>
        <v>6.1811804047244294</v>
      </c>
      <c r="CC23" s="11">
        <f t="shared" si="28"/>
        <v>3.0468544198855576</v>
      </c>
      <c r="CD23" s="11">
        <f t="shared" si="29"/>
        <v>53.507326974930308</v>
      </c>
      <c r="CE23" s="11">
        <f t="shared" si="30"/>
        <v>52.43855087125413</v>
      </c>
      <c r="CF23" s="11">
        <f t="shared" si="31"/>
        <v>52.972938923092215</v>
      </c>
      <c r="CG23" s="14">
        <f t="shared" si="32"/>
        <v>-0.43664652404171189</v>
      </c>
      <c r="CH23" s="14">
        <f t="shared" si="33"/>
        <v>3.88922594168295E-2</v>
      </c>
      <c r="CI23" s="14">
        <f t="shared" si="34"/>
        <v>-0.29093690598280286</v>
      </c>
      <c r="CJ23" s="19"/>
      <c r="CK23" s="12"/>
      <c r="CL23" s="12"/>
      <c r="CM23" s="12"/>
      <c r="CP23" s="12"/>
      <c r="CQ23" s="14"/>
      <c r="CR23" s="11"/>
      <c r="CS23" s="12"/>
    </row>
    <row r="24" spans="1:112" x14ac:dyDescent="0.2">
      <c r="AX24" s="11"/>
      <c r="CJ24" s="8"/>
    </row>
    <row r="25" spans="1:112" ht="15.75" x14ac:dyDescent="0.25">
      <c r="BF25" s="46" t="s">
        <v>62</v>
      </c>
      <c r="BG25" s="1">
        <f>'Global Min'!M12</f>
        <v>239.51038215113027</v>
      </c>
      <c r="BJ25" s="46" t="s">
        <v>64</v>
      </c>
      <c r="BK25" s="1">
        <f>3*BG36*(BG28-3)-7*BG25</f>
        <v>-461.3072645719144</v>
      </c>
    </row>
    <row r="26" spans="1:112" ht="15.75" x14ac:dyDescent="0.25">
      <c r="AO26" s="46" t="s">
        <v>62</v>
      </c>
      <c r="AP26" s="14">
        <f>'Global Min'!L12</f>
        <v>239.89360432346049</v>
      </c>
      <c r="AQ26" s="46" t="s">
        <v>63</v>
      </c>
      <c r="AR26" s="14">
        <f>'Global Min'!L15</f>
        <v>5.3841194796800016</v>
      </c>
      <c r="AS26" s="46" t="s">
        <v>64</v>
      </c>
      <c r="AT26" s="1">
        <f>3*AP31*(AR26-3)-7*AP26</f>
        <v>-525.39091143065957</v>
      </c>
      <c r="BF26" s="46" t="s">
        <v>66</v>
      </c>
      <c r="BG26" s="1">
        <f>'Global Min'!M13</f>
        <v>121.79137885339955</v>
      </c>
      <c r="BJ26" s="46" t="s">
        <v>68</v>
      </c>
      <c r="BK26" s="1">
        <f>3*BG36*(BG29-1)-7*BG26</f>
        <v>168.14821444487245</v>
      </c>
    </row>
    <row r="27" spans="1:112" ht="15.75" x14ac:dyDescent="0.25">
      <c r="B27" s="5" t="s">
        <v>69</v>
      </c>
      <c r="AO27" s="46" t="s">
        <v>66</v>
      </c>
      <c r="AP27" s="14">
        <f>'Global Min'!L13</f>
        <v>122.04281469011407</v>
      </c>
      <c r="AQ27" s="46" t="s">
        <v>67</v>
      </c>
      <c r="AR27" s="14">
        <f>'Global Min'!L16</f>
        <v>3.0296303147805537</v>
      </c>
      <c r="AS27" s="46" t="s">
        <v>68</v>
      </c>
      <c r="AT27" s="1">
        <f>3*AP31*(AR27-1)-7*AP27</f>
        <v>127.99922161847007</v>
      </c>
      <c r="BF27" s="46" t="s">
        <v>71</v>
      </c>
      <c r="BG27" s="1">
        <f>'Global Min'!M14</f>
        <v>46.243127025353878</v>
      </c>
      <c r="BJ27" s="46" t="s">
        <v>73</v>
      </c>
      <c r="BK27" s="11">
        <f>3*BG36*(BG30-1)-7*BG27</f>
        <v>-667.67980537079279</v>
      </c>
      <c r="BL27" s="11"/>
      <c r="BM27" s="11"/>
      <c r="BN27" s="11"/>
      <c r="BO27" s="11"/>
      <c r="BP27" s="11"/>
      <c r="BQ27" s="11"/>
      <c r="BR27" s="11"/>
    </row>
    <row r="28" spans="1:112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O28" s="46" t="s">
        <v>71</v>
      </c>
      <c r="AP28" s="14">
        <f>'Global Min'!L14</f>
        <v>46.221889892405528</v>
      </c>
      <c r="AQ28" s="46" t="s">
        <v>72</v>
      </c>
      <c r="AR28" s="14">
        <f>'Global Min'!L17</f>
        <v>0.29107402544791877</v>
      </c>
      <c r="AS28" s="46" t="s">
        <v>73</v>
      </c>
      <c r="AT28" s="11">
        <f>3*AP31*(AR28-1)-7*AP28</f>
        <v>-666.65867916319553</v>
      </c>
      <c r="AU28" s="11"/>
      <c r="BF28" s="46" t="s">
        <v>63</v>
      </c>
      <c r="BG28" s="1">
        <f>'Global Min'!M15</f>
        <v>5.515592357290334</v>
      </c>
      <c r="BH28" s="46"/>
    </row>
    <row r="29" spans="1:112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0">36*$B$40*($B$38^2)*(4*$B$40*$B$38^2 + $K$29*M2)/K29^2</f>
        <v>1343.6534708520289</v>
      </c>
      <c r="O29" s="14">
        <f t="shared" ref="O29:O50" si="71">-(12*$B$40*$K$29*$D$38^3)/(J29^2)</f>
        <v>-1.9766903953326372E-2</v>
      </c>
      <c r="AQ29" s="46"/>
      <c r="BF29" s="46" t="s">
        <v>67</v>
      </c>
      <c r="BG29" s="1">
        <f>'Global Min'!M16</f>
        <v>3.1128179686402473</v>
      </c>
      <c r="BW29" s="66"/>
      <c r="BY29" s="66"/>
      <c r="CL29" s="21"/>
      <c r="CP29" s="14"/>
      <c r="CQ29" s="14"/>
    </row>
    <row r="30" spans="1:112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2">12*$B$31*$B$38^2+$K$29*L3</f>
        <v>36.230004961873007</v>
      </c>
      <c r="M30" s="1">
        <f t="shared" ref="M30:M50" si="73">36*$B$40*($B$38^2)*(4*$B$40*$B$38^2 + $K$29*L3)/J30^2</f>
        <v>1.0002865504787488</v>
      </c>
      <c r="N30" s="14">
        <f t="shared" ref="N30:N50" si="74">(12*$K$29*L3*$D$38^3)/(J30^2)</f>
        <v>3.3134550026316022E-5</v>
      </c>
      <c r="O30" s="14">
        <f t="shared" si="71"/>
        <v>-1.9755570646903569E-2</v>
      </c>
      <c r="AU30" s="47" t="s">
        <v>82</v>
      </c>
      <c r="AV30" s="52">
        <f>AV34+AV32+AV33+AV31</f>
        <v>48.496156028074815</v>
      </c>
      <c r="BF30" s="46" t="s">
        <v>72</v>
      </c>
      <c r="BG30" s="1">
        <f>'Global Min'!M17</f>
        <v>0.28796770681845224</v>
      </c>
      <c r="BW30" s="66"/>
      <c r="BZ30" s="46"/>
      <c r="CB30" s="46"/>
      <c r="CL30" s="21"/>
      <c r="CP30" s="14"/>
      <c r="CQ30" s="14"/>
    </row>
    <row r="31" spans="1:112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2"/>
        <v>36.344840316824367</v>
      </c>
      <c r="M31" s="1">
        <f t="shared" si="73"/>
        <v>1.0034216726563492</v>
      </c>
      <c r="N31" s="14">
        <f t="shared" si="74"/>
        <v>3.9691537765960033E-4</v>
      </c>
      <c r="O31" s="14">
        <f t="shared" si="71"/>
        <v>-1.9630928252146327E-2</v>
      </c>
      <c r="AO31" s="48" t="s">
        <v>87</v>
      </c>
      <c r="AP31" s="11">
        <f>(AP26+2*AP27)/3</f>
        <v>161.32641123456287</v>
      </c>
      <c r="AQ31" s="49" t="s">
        <v>88</v>
      </c>
      <c r="AR31" s="11">
        <f>(AR26+2*AR27)/3</f>
        <v>3.8144600364137027</v>
      </c>
      <c r="AT31" s="1" t="s">
        <v>92</v>
      </c>
      <c r="AU31" s="1" t="s">
        <v>92</v>
      </c>
      <c r="AV31" s="51">
        <f>SUMSQ(AW6:AW16)</f>
        <v>0.52210006747166271</v>
      </c>
      <c r="BF31" s="82" t="s">
        <v>82</v>
      </c>
      <c r="BG31" s="83">
        <f>BG35+BG33+BG34+BG32</f>
        <v>45.255064911946207</v>
      </c>
      <c r="BH31" s="49"/>
      <c r="BX31" s="47"/>
      <c r="BZ31" s="46"/>
      <c r="CB31" s="46"/>
      <c r="CL31" s="21"/>
      <c r="CP31" s="14"/>
      <c r="CQ31" s="14"/>
    </row>
    <row r="32" spans="1:112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2"/>
        <v>36.408431985393911</v>
      </c>
      <c r="M32" s="1">
        <f t="shared" si="73"/>
        <v>1.005132226330391</v>
      </c>
      <c r="N32" s="14">
        <f t="shared" si="74"/>
        <v>5.9639100951119049E-4</v>
      </c>
      <c r="O32" s="14">
        <f t="shared" si="71"/>
        <v>-1.956241262500967E-2</v>
      </c>
      <c r="AO32" s="48"/>
      <c r="AQ32" s="49"/>
      <c r="AT32" s="1" t="s">
        <v>62</v>
      </c>
      <c r="AU32" s="1" t="s">
        <v>62</v>
      </c>
      <c r="AV32" s="14">
        <f>SUMSQ(AT6:AT16)</f>
        <v>3.1367564931429137</v>
      </c>
      <c r="BF32" s="84" t="s">
        <v>92</v>
      </c>
      <c r="BG32" s="85">
        <f>SUMSQ(BK6:BK16)</f>
        <v>8.0683163702149424E-2</v>
      </c>
      <c r="BH32" s="49"/>
      <c r="BL32" s="50"/>
      <c r="BM32" s="50"/>
      <c r="BN32" s="50"/>
      <c r="BO32" s="50"/>
      <c r="BP32" s="50"/>
      <c r="BQ32" s="50"/>
      <c r="BR32" s="50"/>
      <c r="BX32" s="51"/>
      <c r="BY32" s="51"/>
      <c r="BZ32" s="46"/>
      <c r="CB32" s="46"/>
      <c r="CL32" s="21"/>
      <c r="CP32" s="14"/>
      <c r="CQ32" s="14"/>
    </row>
    <row r="33" spans="1:95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2"/>
        <v>36.476877100438806</v>
      </c>
      <c r="M33" s="1">
        <f t="shared" si="73"/>
        <v>1.0069532015102993</v>
      </c>
      <c r="N33" s="14">
        <f t="shared" si="74"/>
        <v>8.0953547660503897E-4</v>
      </c>
      <c r="O33" s="14">
        <f t="shared" si="71"/>
        <v>-1.9489067783761378E-2</v>
      </c>
      <c r="AO33" s="48"/>
      <c r="AQ33" s="49"/>
      <c r="AT33" s="1" t="s">
        <v>66</v>
      </c>
      <c r="AU33" s="1" t="s">
        <v>66</v>
      </c>
      <c r="AV33" s="12">
        <f>SUMSQ(AV6:AV16)</f>
        <v>43.839389893659423</v>
      </c>
      <c r="BF33" s="84" t="s">
        <v>62</v>
      </c>
      <c r="BG33" s="86">
        <f>SUMSQ(BV6:BV16)</f>
        <v>2.6523654931960392</v>
      </c>
      <c r="BL33" s="51"/>
      <c r="BM33" s="51"/>
      <c r="BN33" s="51"/>
      <c r="BO33" s="51"/>
      <c r="BP33" s="51"/>
      <c r="BQ33" s="51"/>
      <c r="BR33" s="51"/>
      <c r="CL33" s="21"/>
      <c r="CP33" s="14"/>
      <c r="CQ33" s="14"/>
    </row>
    <row r="34" spans="1:95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2"/>
        <v>36.546902534855903</v>
      </c>
      <c r="M34" s="1">
        <f t="shared" si="73"/>
        <v>1.0087948202165875</v>
      </c>
      <c r="N34" s="14">
        <f t="shared" si="74"/>
        <v>1.0259460245183164E-3</v>
      </c>
      <c r="O34" s="14">
        <f t="shared" si="71"/>
        <v>-1.9414455551133209E-2</v>
      </c>
      <c r="AT34" s="1" t="s">
        <v>71</v>
      </c>
      <c r="AU34" s="1" t="s">
        <v>71</v>
      </c>
      <c r="AV34" s="12">
        <f>SUMSQ(AU6:AU16)</f>
        <v>0.99790957380081757</v>
      </c>
      <c r="BF34" s="84" t="s">
        <v>66</v>
      </c>
      <c r="BG34" s="87">
        <f>SUMSQ(BW6:BW16)</f>
        <v>41.521692052071778</v>
      </c>
      <c r="BL34" s="14"/>
      <c r="BM34" s="14"/>
      <c r="BN34" s="14"/>
      <c r="BO34" s="14"/>
      <c r="BP34" s="14"/>
      <c r="BQ34" s="14"/>
      <c r="BR34" s="14"/>
      <c r="CL34" s="21"/>
      <c r="CP34" s="14"/>
      <c r="CQ34" s="14"/>
    </row>
    <row r="35" spans="1:95" x14ac:dyDescent="0.2">
      <c r="C35" s="1">
        <f>12*B31*(B29^2)</f>
        <v>28.364467319999999</v>
      </c>
      <c r="J35" s="21">
        <f t="shared" si="72"/>
        <v>36.594740156054016</v>
      </c>
      <c r="M35" s="1">
        <f t="shared" si="73"/>
        <v>1.0100405770420833</v>
      </c>
      <c r="N35" s="14">
        <f t="shared" si="74"/>
        <v>1.1728310021441432E-3</v>
      </c>
      <c r="O35" s="14">
        <f t="shared" si="71"/>
        <v>-1.9363730538264741E-2</v>
      </c>
      <c r="AV35" s="12"/>
      <c r="AW35" s="12"/>
      <c r="AX35" s="12"/>
      <c r="AY35" s="12"/>
      <c r="AZ35" s="12"/>
      <c r="BA35" s="12"/>
      <c r="BB35" s="12"/>
      <c r="BF35" s="84" t="s">
        <v>71</v>
      </c>
      <c r="BG35" s="87">
        <f>SUMSQ(BX6:BX16)</f>
        <v>1.0003242029762449</v>
      </c>
      <c r="BV35" s="21"/>
      <c r="BZ35" s="14"/>
      <c r="CA35" s="14"/>
    </row>
    <row r="36" spans="1:95" ht="15.75" x14ac:dyDescent="0.25">
      <c r="B36" s="5" t="s">
        <v>96</v>
      </c>
      <c r="J36" s="21">
        <f t="shared" si="72"/>
        <v>36.639003272748873</v>
      </c>
      <c r="M36" s="1">
        <f t="shared" si="73"/>
        <v>1.0111843938589871</v>
      </c>
      <c r="N36" s="14">
        <f t="shared" si="74"/>
        <v>1.3080545127141447E-3</v>
      </c>
      <c r="O36" s="14">
        <f t="shared" si="71"/>
        <v>-1.9316972642979553E-2</v>
      </c>
      <c r="AV36" s="12"/>
      <c r="AW36" s="12"/>
      <c r="AX36" s="12"/>
      <c r="AY36" s="12"/>
      <c r="AZ36" s="12"/>
      <c r="BA36" s="12"/>
      <c r="BB36" s="12"/>
      <c r="BF36" s="48" t="s">
        <v>87</v>
      </c>
      <c r="BG36" s="11">
        <f>(BG25+2*BG26)/3</f>
        <v>161.03104661930979</v>
      </c>
      <c r="BV36" s="21"/>
      <c r="BZ36" s="14"/>
      <c r="CA36" s="14"/>
    </row>
    <row r="37" spans="1:95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2"/>
        <v>36.694289776924059</v>
      </c>
      <c r="M37" s="1">
        <f t="shared" si="73"/>
        <v>1.012601194845324</v>
      </c>
      <c r="N37" s="14">
        <f t="shared" si="74"/>
        <v>1.476033858530353E-3</v>
      </c>
      <c r="O37" s="14">
        <f t="shared" si="71"/>
        <v>-1.9258807552283427E-2</v>
      </c>
      <c r="BF37" s="49" t="s">
        <v>88</v>
      </c>
      <c r="BG37" s="11">
        <f>(BG28+2*BG29)/3</f>
        <v>3.9137427648569427</v>
      </c>
      <c r="BV37" s="21"/>
      <c r="BZ37" s="14"/>
      <c r="CA37" s="14"/>
    </row>
    <row r="38" spans="1:95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2"/>
        <v>36.740149602528582</v>
      </c>
      <c r="M38" s="1">
        <f t="shared" si="73"/>
        <v>1.0137664811955698</v>
      </c>
      <c r="N38" s="14">
        <f t="shared" si="74"/>
        <v>1.6146005086871489E-3</v>
      </c>
      <c r="O38" s="14">
        <f t="shared" si="71"/>
        <v>-1.9210759063238346E-2</v>
      </c>
      <c r="BV38" s="21"/>
      <c r="BZ38" s="14"/>
      <c r="CA38" s="14"/>
    </row>
    <row r="39" spans="1:95" x14ac:dyDescent="0.2">
      <c r="A39" s="1" t="s">
        <v>83</v>
      </c>
      <c r="B39" s="1">
        <f>0.000046</f>
        <v>4.6E-5</v>
      </c>
      <c r="C39" s="1" t="s">
        <v>98</v>
      </c>
      <c r="J39" s="21">
        <f t="shared" si="72"/>
        <v>36.776977212677714</v>
      </c>
      <c r="M39" s="1">
        <f t="shared" si="73"/>
        <v>1.0146957756533277</v>
      </c>
      <c r="N39" s="14">
        <f t="shared" si="74"/>
        <v>1.7253726409698147E-3</v>
      </c>
      <c r="O39" s="14">
        <f t="shared" si="71"/>
        <v>-1.9172303911735834E-2</v>
      </c>
      <c r="BV39" s="21"/>
      <c r="BZ39" s="14"/>
      <c r="CA39" s="14"/>
    </row>
    <row r="40" spans="1:95" x14ac:dyDescent="0.2">
      <c r="A40" s="1" t="s">
        <v>89</v>
      </c>
      <c r="B40" s="1">
        <v>6.09</v>
      </c>
      <c r="C40" s="1" t="s">
        <v>99</v>
      </c>
      <c r="J40" s="21">
        <f t="shared" si="72"/>
        <v>36.821799274464901</v>
      </c>
      <c r="M40" s="1">
        <f t="shared" si="73"/>
        <v>1.0158190499439517</v>
      </c>
      <c r="N40" s="14">
        <f t="shared" si="74"/>
        <v>1.8595890353232756E-3</v>
      </c>
      <c r="O40" s="14">
        <f t="shared" si="71"/>
        <v>-1.9125656589669172E-2</v>
      </c>
      <c r="BV40" s="21"/>
      <c r="BZ40" s="14"/>
      <c r="CA40" s="14"/>
    </row>
    <row r="41" spans="1:95" x14ac:dyDescent="0.2">
      <c r="A41" s="1" t="s">
        <v>90</v>
      </c>
      <c r="B41" s="1">
        <v>1.23</v>
      </c>
      <c r="J41" s="21">
        <f t="shared" si="72"/>
        <v>36.860548652310861</v>
      </c>
      <c r="M41" s="1">
        <f t="shared" si="73"/>
        <v>1.0167833187575375</v>
      </c>
      <c r="N41" s="14">
        <f t="shared" si="74"/>
        <v>1.9750912409634801E-3</v>
      </c>
      <c r="O41" s="14">
        <f t="shared" si="71"/>
        <v>-1.9085466316921772E-2</v>
      </c>
      <c r="BV41" s="21"/>
      <c r="BZ41" s="14"/>
      <c r="CA41" s="14"/>
    </row>
    <row r="42" spans="1:95" x14ac:dyDescent="0.2">
      <c r="A42" s="1" t="s">
        <v>93</v>
      </c>
      <c r="B42" s="1">
        <v>300</v>
      </c>
      <c r="J42" s="21">
        <f t="shared" si="72"/>
        <v>36.887980745099838</v>
      </c>
      <c r="M42" s="1">
        <f t="shared" si="73"/>
        <v>1.0174621558044163</v>
      </c>
      <c r="N42" s="14">
        <f t="shared" si="74"/>
        <v>2.0565636738822867E-3</v>
      </c>
      <c r="O42" s="14">
        <f t="shared" si="71"/>
        <v>-1.9057090699751658E-2</v>
      </c>
      <c r="BV42" s="21"/>
      <c r="BZ42" s="14"/>
      <c r="CA42" s="14"/>
    </row>
    <row r="43" spans="1:95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2"/>
        <v>36.9233705767735</v>
      </c>
      <c r="M43" s="1">
        <f t="shared" si="73"/>
        <v>1.0183332790269639</v>
      </c>
      <c r="N43" s="14">
        <f t="shared" si="74"/>
        <v>2.1613096259587091E-3</v>
      </c>
      <c r="O43" s="14">
        <f t="shared" si="71"/>
        <v>-1.9020577022186149E-2</v>
      </c>
      <c r="BV43" s="21"/>
      <c r="BZ43" s="14"/>
      <c r="CA43" s="14"/>
    </row>
    <row r="44" spans="1:95" x14ac:dyDescent="0.2">
      <c r="C44" s="1">
        <f>12*B40*(B38^2)</f>
        <v>36.219617279999994</v>
      </c>
      <c r="J44" s="21">
        <f t="shared" si="72"/>
        <v>36.955731506658466</v>
      </c>
      <c r="M44" s="1">
        <f t="shared" si="73"/>
        <v>1.0191252928224006</v>
      </c>
      <c r="N44" s="14">
        <f t="shared" si="74"/>
        <v>2.25673637139102E-3</v>
      </c>
      <c r="O44" s="14">
        <f t="shared" si="71"/>
        <v>-1.8987280208006538E-2</v>
      </c>
      <c r="BV44" s="21"/>
      <c r="BZ44" s="14"/>
      <c r="CA44" s="14"/>
    </row>
    <row r="45" spans="1:95" x14ac:dyDescent="0.2">
      <c r="A45" s="1" t="s">
        <v>100</v>
      </c>
      <c r="B45" s="1">
        <v>3</v>
      </c>
      <c r="J45" s="21">
        <f t="shared" si="72"/>
        <v>36.97445545821823</v>
      </c>
      <c r="M45" s="1">
        <f t="shared" si="73"/>
        <v>1.019581571540408</v>
      </c>
      <c r="N45" s="14">
        <f t="shared" si="74"/>
        <v>2.3117960002289376E-3</v>
      </c>
      <c r="O45" s="14">
        <f t="shared" si="71"/>
        <v>-1.8968054670096161E-2</v>
      </c>
      <c r="BV45" s="21"/>
      <c r="BZ45" s="14"/>
      <c r="CA45" s="14"/>
    </row>
    <row r="46" spans="1:95" x14ac:dyDescent="0.2">
      <c r="A46" s="1" t="s">
        <v>101</v>
      </c>
      <c r="B46" s="1">
        <v>1</v>
      </c>
      <c r="J46" s="21">
        <f t="shared" si="72"/>
        <v>36.987761072821677</v>
      </c>
      <c r="M46" s="1">
        <f t="shared" si="73"/>
        <v>1.0199049334084935</v>
      </c>
      <c r="N46" s="14">
        <f t="shared" si="74"/>
        <v>2.3508540201281703E-3</v>
      </c>
      <c r="O46" s="14">
        <f t="shared" si="71"/>
        <v>-1.8954410360559573E-2</v>
      </c>
      <c r="BV46" s="21"/>
      <c r="BZ46" s="14"/>
      <c r="CA46" s="14"/>
    </row>
    <row r="47" spans="1:95" x14ac:dyDescent="0.2">
      <c r="J47" s="21">
        <f t="shared" si="72"/>
        <v>37.011585386657842</v>
      </c>
      <c r="M47" s="1">
        <f t="shared" si="73"/>
        <v>1.0204821079602897</v>
      </c>
      <c r="N47" s="14">
        <f t="shared" si="74"/>
        <v>2.42064743271047E-3</v>
      </c>
      <c r="O47" s="14">
        <f t="shared" si="71"/>
        <v>-1.8930016351122701E-2</v>
      </c>
      <c r="BV47" s="21"/>
      <c r="BZ47" s="14"/>
      <c r="CA47" s="14"/>
    </row>
    <row r="48" spans="1:95" x14ac:dyDescent="0.2">
      <c r="A48" s="1" t="s">
        <v>50</v>
      </c>
      <c r="B48" s="1">
        <v>151.13999999999999</v>
      </c>
      <c r="J48" s="21">
        <f t="shared" si="72"/>
        <v>37.043083530488254</v>
      </c>
      <c r="M48" s="1">
        <f t="shared" si="73"/>
        <v>1.021241617395958</v>
      </c>
      <c r="N48" s="14">
        <f t="shared" si="74"/>
        <v>2.5126428742143232E-3</v>
      </c>
      <c r="O48" s="14">
        <f t="shared" si="71"/>
        <v>-1.8897837233320558E-2</v>
      </c>
      <c r="BV48" s="21"/>
      <c r="BZ48" s="14"/>
      <c r="CA48" s="14"/>
    </row>
    <row r="49" spans="1:79" x14ac:dyDescent="0.2">
      <c r="A49" s="1" t="s">
        <v>102</v>
      </c>
      <c r="B49" s="1">
        <v>3.47</v>
      </c>
      <c r="J49" s="21">
        <f t="shared" si="72"/>
        <v>37.058695758924543</v>
      </c>
      <c r="M49" s="1">
        <f t="shared" si="73"/>
        <v>1.0216165689841386</v>
      </c>
      <c r="N49" s="14">
        <f t="shared" si="74"/>
        <v>2.5581237175965259E-3</v>
      </c>
      <c r="O49" s="14">
        <f t="shared" si="71"/>
        <v>-1.8881917881677535E-2</v>
      </c>
      <c r="BV49" s="21"/>
      <c r="BZ49" s="14"/>
      <c r="CA49" s="14"/>
    </row>
    <row r="50" spans="1:79" x14ac:dyDescent="0.2">
      <c r="J50" s="21">
        <f t="shared" si="72"/>
        <v>37.069049754694028</v>
      </c>
      <c r="M50" s="1">
        <f t="shared" si="73"/>
        <v>1.0218646879201123</v>
      </c>
      <c r="N50" s="14">
        <f t="shared" si="74"/>
        <v>2.5882437707631352E-3</v>
      </c>
      <c r="O50" s="14">
        <f t="shared" si="71"/>
        <v>-1.8871371293862869E-2</v>
      </c>
      <c r="BJ50" s="105" t="s">
        <v>135</v>
      </c>
      <c r="BK50" s="106"/>
      <c r="BL50" s="106"/>
      <c r="BQ50" s="105" t="s">
        <v>138</v>
      </c>
      <c r="BR50" s="106"/>
      <c r="BS50" s="106"/>
      <c r="BV50" s="21"/>
      <c r="BZ50" s="14"/>
      <c r="CA50" s="14"/>
    </row>
    <row r="51" spans="1:79" ht="15.75" x14ac:dyDescent="0.25">
      <c r="B51" s="1" t="s">
        <v>103</v>
      </c>
      <c r="J51" s="21"/>
      <c r="BI51" s="46" t="s">
        <v>62</v>
      </c>
      <c r="BJ51" s="1">
        <v>239.2477116876255</v>
      </c>
      <c r="BK51" s="46" t="s">
        <v>63</v>
      </c>
      <c r="BL51" s="1">
        <v>5.6424432006511189</v>
      </c>
      <c r="BM51" s="46" t="s">
        <v>64</v>
      </c>
      <c r="BN51" s="1">
        <v>-420.63830625817877</v>
      </c>
      <c r="BP51" s="46" t="s">
        <v>62</v>
      </c>
      <c r="BQ51" s="1">
        <v>240.653515302172</v>
      </c>
      <c r="BR51" s="46" t="s">
        <v>63</v>
      </c>
      <c r="BS51" s="1">
        <v>5.4562610809860264</v>
      </c>
      <c r="BT51" s="46" t="s">
        <v>64</v>
      </c>
      <c r="BU51" s="1">
        <v>-511.10856515379282</v>
      </c>
    </row>
    <row r="52" spans="1:79" ht="15.75" x14ac:dyDescent="0.25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BI52" s="46" t="s">
        <v>66</v>
      </c>
      <c r="BJ52" s="1">
        <v>117.67465548202777</v>
      </c>
      <c r="BK52" s="46" t="s">
        <v>67</v>
      </c>
      <c r="BL52" s="1">
        <v>3.4472128758410157</v>
      </c>
      <c r="BM52" s="46" t="s">
        <v>68</v>
      </c>
      <c r="BN52" s="1">
        <v>337.71735629480963</v>
      </c>
      <c r="BP52" s="46" t="s">
        <v>66</v>
      </c>
      <c r="BQ52" s="1">
        <v>118.54565926038136</v>
      </c>
      <c r="BR52" s="46" t="s">
        <v>67</v>
      </c>
      <c r="BS52" s="1">
        <v>3.3285789398896175</v>
      </c>
      <c r="BT52" s="46" t="s">
        <v>68</v>
      </c>
      <c r="BU52" s="1">
        <v>282.64694385848122</v>
      </c>
    </row>
    <row r="53" spans="1:79" ht="15.75" x14ac:dyDescent="0.25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BI53" s="46" t="s">
        <v>71</v>
      </c>
      <c r="BJ53" s="1">
        <v>46.817623249579498</v>
      </c>
      <c r="BK53" s="46" t="s">
        <v>72</v>
      </c>
      <c r="BL53" s="1">
        <v>0.25007223200941592</v>
      </c>
      <c r="BM53" s="46" t="s">
        <v>73</v>
      </c>
      <c r="BN53" s="11">
        <v>-683.63684863920832</v>
      </c>
      <c r="BP53" s="46" t="s">
        <v>71</v>
      </c>
      <c r="BQ53" s="1">
        <v>46.807699762350971</v>
      </c>
      <c r="BR53" s="46" t="s">
        <v>72</v>
      </c>
      <c r="BS53" s="1">
        <v>0.24985841086113075</v>
      </c>
      <c r="BT53" s="46" t="s">
        <v>73</v>
      </c>
      <c r="BU53" s="11">
        <v>-686.03016718327797</v>
      </c>
    </row>
    <row r="54" spans="1:79" ht="15.75" x14ac:dyDescent="0.25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BK54" s="46"/>
      <c r="BR54" s="46"/>
    </row>
    <row r="55" spans="1:79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9" ht="15.75" x14ac:dyDescent="0.25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BI56" s="48" t="s">
        <v>87</v>
      </c>
      <c r="BJ56" s="11">
        <v>158.19900755056037</v>
      </c>
      <c r="BK56" s="49" t="s">
        <v>88</v>
      </c>
      <c r="BL56" s="11">
        <v>4.178956317444384</v>
      </c>
      <c r="BP56" s="48" t="s">
        <v>87</v>
      </c>
      <c r="BQ56" s="11">
        <v>159.24827794097823</v>
      </c>
      <c r="BR56" s="49" t="s">
        <v>88</v>
      </c>
      <c r="BS56" s="11">
        <v>4.0378063202550871</v>
      </c>
    </row>
    <row r="57" spans="1:79" ht="15.75" x14ac:dyDescent="0.25">
      <c r="BI57" s="48"/>
      <c r="BK57" s="49"/>
      <c r="BP57" s="48"/>
      <c r="BR57" s="49"/>
    </row>
    <row r="58" spans="1:79" ht="15.75" x14ac:dyDescent="0.25">
      <c r="BK58" s="49"/>
      <c r="BM58" s="47" t="s">
        <v>82</v>
      </c>
      <c r="BN58" s="50">
        <v>2.5014686721071131</v>
      </c>
      <c r="BR58" s="49"/>
      <c r="BT58" s="47" t="s">
        <v>82</v>
      </c>
      <c r="BU58" s="50">
        <v>2.2338493833369557</v>
      </c>
    </row>
    <row r="59" spans="1:79" x14ac:dyDescent="0.2">
      <c r="BM59" s="1" t="s">
        <v>92</v>
      </c>
      <c r="BN59" s="51">
        <v>0.16902744195528865</v>
      </c>
      <c r="BT59" s="1" t="s">
        <v>92</v>
      </c>
      <c r="BU59" s="51">
        <v>3.3737921953186929E-2</v>
      </c>
    </row>
    <row r="60" spans="1:79" x14ac:dyDescent="0.2">
      <c r="BM60" s="1" t="s">
        <v>62</v>
      </c>
      <c r="BN60" s="14">
        <v>0.66973378751338508</v>
      </c>
      <c r="BT60" s="1" t="s">
        <v>62</v>
      </c>
      <c r="BU60" s="14">
        <v>0.65061082748974697</v>
      </c>
    </row>
    <row r="61" spans="1:79" x14ac:dyDescent="0.2">
      <c r="BM61" s="1" t="s">
        <v>66</v>
      </c>
      <c r="BN61" s="12">
        <v>1.5708437588731103</v>
      </c>
      <c r="BT61" s="1" t="s">
        <v>66</v>
      </c>
      <c r="BU61" s="12">
        <v>1.4998886834399847</v>
      </c>
    </row>
    <row r="62" spans="1:79" x14ac:dyDescent="0.2">
      <c r="BM62" s="1" t="s">
        <v>71</v>
      </c>
      <c r="BN62" s="12">
        <v>9.1863683765329066E-2</v>
      </c>
      <c r="BT62" s="1" t="s">
        <v>71</v>
      </c>
      <c r="BU62" s="12">
        <v>4.9611950454036956E-2</v>
      </c>
    </row>
    <row r="64" spans="1:79" x14ac:dyDescent="0.2">
      <c r="BJ64" s="105" t="s">
        <v>136</v>
      </c>
      <c r="BK64" s="106"/>
      <c r="BL64" s="106"/>
      <c r="BP64" s="105" t="s">
        <v>137</v>
      </c>
      <c r="BQ64" s="106"/>
      <c r="BR64" s="106"/>
    </row>
    <row r="65" spans="61:73" ht="15.75" x14ac:dyDescent="0.25">
      <c r="BI65" s="46" t="s">
        <v>62</v>
      </c>
      <c r="BJ65" s="1">
        <v>244.86222265905639</v>
      </c>
      <c r="BK65" s="46" t="s">
        <v>63</v>
      </c>
      <c r="BL65" s="1">
        <v>5.7581451050936616</v>
      </c>
      <c r="BM65" s="46" t="s">
        <v>64</v>
      </c>
      <c r="BN65" s="1">
        <v>-415.98999929127945</v>
      </c>
      <c r="BP65" s="46" t="s">
        <v>62</v>
      </c>
      <c r="BQ65" s="1">
        <v>246.41852905580973</v>
      </c>
      <c r="BR65" s="46" t="s">
        <v>63</v>
      </c>
      <c r="BS65" s="1">
        <v>5.5543154289698844</v>
      </c>
      <c r="BT65" s="46" t="s">
        <v>64</v>
      </c>
      <c r="BU65" s="1">
        <v>-514.15173720948155</v>
      </c>
    </row>
    <row r="66" spans="61:73" ht="15.75" x14ac:dyDescent="0.25">
      <c r="BI66" s="46" t="s">
        <v>66</v>
      </c>
      <c r="BJ66" s="1">
        <v>112.88021382971063</v>
      </c>
      <c r="BK66" s="46" t="s">
        <v>67</v>
      </c>
      <c r="BL66" s="1">
        <v>3.366075242350989</v>
      </c>
      <c r="BM66" s="46" t="s">
        <v>68</v>
      </c>
      <c r="BN66" s="1">
        <v>323.36710460018253</v>
      </c>
      <c r="BP66" s="46" t="s">
        <v>66</v>
      </c>
      <c r="BQ66" s="1">
        <v>113.79708802532586</v>
      </c>
      <c r="BR66" s="46" t="s">
        <v>67</v>
      </c>
      <c r="BS66" s="1">
        <v>3.2428506723793316</v>
      </c>
      <c r="BT66" s="46" t="s">
        <v>68</v>
      </c>
      <c r="BU66" s="1">
        <v>266.56009818709174</v>
      </c>
    </row>
    <row r="67" spans="61:73" ht="15.75" x14ac:dyDescent="0.25">
      <c r="BI67" s="46" t="s">
        <v>71</v>
      </c>
      <c r="BJ67" s="1">
        <v>47.975380207781846</v>
      </c>
      <c r="BK67" s="46" t="s">
        <v>72</v>
      </c>
      <c r="BL67" s="1">
        <v>0.24258013583298971</v>
      </c>
      <c r="BM67" s="46" t="s">
        <v>73</v>
      </c>
      <c r="BN67" s="11">
        <v>-692.28660533261268</v>
      </c>
      <c r="BP67" s="46" t="s">
        <v>71</v>
      </c>
      <c r="BQ67" s="1">
        <v>47.879629741922642</v>
      </c>
      <c r="BR67" s="46" t="s">
        <v>72</v>
      </c>
      <c r="BS67" s="1">
        <v>0.25659939431282358</v>
      </c>
      <c r="BT67" s="46" t="s">
        <v>73</v>
      </c>
      <c r="BU67" s="11">
        <v>-687.5387402730189</v>
      </c>
    </row>
    <row r="68" spans="61:73" ht="15.75" x14ac:dyDescent="0.25">
      <c r="BK68" s="46"/>
      <c r="BR68" s="46"/>
    </row>
    <row r="70" spans="61:73" ht="15.75" x14ac:dyDescent="0.25">
      <c r="BI70" s="48" t="s">
        <v>87</v>
      </c>
      <c r="BJ70" s="11">
        <v>156.87421677282589</v>
      </c>
      <c r="BK70" s="49" t="s">
        <v>88</v>
      </c>
      <c r="BL70" s="11">
        <v>4.1634318632652132</v>
      </c>
      <c r="BP70" s="48" t="s">
        <v>87</v>
      </c>
      <c r="BQ70" s="11">
        <v>158.00423503548714</v>
      </c>
      <c r="BR70" s="49" t="s">
        <v>88</v>
      </c>
      <c r="BS70" s="11">
        <v>4.0133389245761828</v>
      </c>
    </row>
    <row r="71" spans="61:73" ht="15.75" x14ac:dyDescent="0.25">
      <c r="BI71" s="48"/>
      <c r="BK71" s="49"/>
      <c r="BP71" s="48"/>
      <c r="BR71" s="49"/>
    </row>
    <row r="72" spans="61:73" ht="15.75" x14ac:dyDescent="0.25">
      <c r="BK72" s="49"/>
      <c r="BM72" s="47" t="s">
        <v>82</v>
      </c>
      <c r="BN72" s="74">
        <v>2.536687702948659</v>
      </c>
      <c r="BR72" s="49"/>
      <c r="BT72" s="47" t="s">
        <v>82</v>
      </c>
      <c r="BU72" s="50">
        <v>2.2978424545426903</v>
      </c>
    </row>
    <row r="73" spans="61:73" x14ac:dyDescent="0.2">
      <c r="BM73" s="1" t="s">
        <v>92</v>
      </c>
      <c r="BN73" s="51">
        <v>0.16482003685112537</v>
      </c>
      <c r="BT73" s="1" t="s">
        <v>92</v>
      </c>
      <c r="BU73" s="51">
        <v>3.1890737364157713E-2</v>
      </c>
    </row>
    <row r="74" spans="61:73" x14ac:dyDescent="0.2">
      <c r="BM74" s="1" t="s">
        <v>62</v>
      </c>
      <c r="BN74" s="14">
        <v>0.65198352038771223</v>
      </c>
      <c r="BT74" s="1" t="s">
        <v>62</v>
      </c>
      <c r="BU74" s="14">
        <v>0.63259186583580362</v>
      </c>
    </row>
    <row r="75" spans="61:73" x14ac:dyDescent="0.2">
      <c r="BM75" s="1" t="s">
        <v>66</v>
      </c>
      <c r="BN75" s="12">
        <v>1.6513184242525232</v>
      </c>
      <c r="BT75" s="1" t="s">
        <v>66</v>
      </c>
      <c r="BU75" s="12">
        <v>1.5811139725081775</v>
      </c>
    </row>
    <row r="76" spans="61:73" x14ac:dyDescent="0.2">
      <c r="BM76" s="1" t="s">
        <v>71</v>
      </c>
      <c r="BN76" s="12">
        <v>6.8565721457298334E-2</v>
      </c>
      <c r="BT76" s="1" t="s">
        <v>71</v>
      </c>
      <c r="BU76" s="12">
        <v>5.2245878834551389E-2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mergeCells count="4">
    <mergeCell ref="BJ50:BL50"/>
    <mergeCell ref="BJ64:BL64"/>
    <mergeCell ref="BP64:BR64"/>
    <mergeCell ref="BQ50:BS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80D-85DE-465C-A46B-D92EB166E59B}">
  <dimension ref="A1:EJ112"/>
  <sheetViews>
    <sheetView topLeftCell="A6" zoomScale="90" zoomScaleNormal="90" workbookViewId="0">
      <pane xSplit="1" topLeftCell="AT1" activePane="topRight" state="frozen"/>
      <selection activeCell="BA26" sqref="BA26:BA28"/>
      <selection pane="topRight" activeCell="BB37" sqref="BB37:BC37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7.85546875" style="1" bestFit="1" customWidth="1"/>
    <col min="32" max="32" width="11.85546875" style="1" bestFit="1" customWidth="1"/>
    <col min="33" max="33" width="14.140625" style="1" hidden="1" customWidth="1"/>
    <col min="34" max="43" width="14.140625" style="1" customWidth="1"/>
    <col min="44" max="45" width="16.85546875" style="1" bestFit="1" customWidth="1"/>
    <col min="46" max="46" width="12.42578125" style="1" customWidth="1"/>
    <col min="47" max="47" width="14.28515625" style="1" bestFit="1" customWidth="1"/>
    <col min="48" max="52" width="13.42578125" style="1" customWidth="1"/>
    <col min="53" max="53" width="9.140625" style="1"/>
    <col min="54" max="54" width="13.140625" style="1" bestFit="1" customWidth="1"/>
    <col min="55" max="55" width="23.140625" style="1" bestFit="1" customWidth="1"/>
    <col min="56" max="56" width="22.5703125" style="1" bestFit="1" customWidth="1"/>
    <col min="57" max="57" width="19.85546875" style="1" bestFit="1" customWidth="1"/>
    <col min="58" max="59" width="9.28515625" style="1" bestFit="1" customWidth="1"/>
    <col min="60" max="60" width="9.5703125" style="1" bestFit="1" customWidth="1"/>
    <col min="61" max="61" width="9.28515625" style="1" bestFit="1" customWidth="1"/>
    <col min="62" max="62" width="20.5703125" style="1" bestFit="1" customWidth="1"/>
    <col min="63" max="63" width="9.28515625" style="1" bestFit="1" customWidth="1"/>
    <col min="64" max="71" width="14.140625" style="1" customWidth="1"/>
    <col min="72" max="72" width="11.5703125" style="1" customWidth="1"/>
    <col min="73" max="75" width="10.85546875" style="1" bestFit="1" customWidth="1"/>
    <col min="76" max="76" width="9.28515625" style="1" bestFit="1" customWidth="1"/>
    <col min="77" max="77" width="11.140625" style="1" bestFit="1" customWidth="1"/>
    <col min="78" max="78" width="11.140625" style="1" customWidth="1"/>
    <col min="79" max="90" width="9.28515625" style="1" bestFit="1" customWidth="1"/>
    <col min="91" max="91" width="12.140625" style="1" bestFit="1" customWidth="1"/>
    <col min="92" max="92" width="12.28515625" style="1" bestFit="1" customWidth="1"/>
    <col min="93" max="93" width="20.7109375" style="1" bestFit="1" customWidth="1"/>
    <col min="94" max="94" width="9.140625" style="1"/>
    <col min="95" max="95" width="5.5703125" style="1" customWidth="1"/>
    <col min="96" max="96" width="5.7109375" style="1" customWidth="1"/>
    <col min="97" max="97" width="4.7109375" style="1" customWidth="1"/>
    <col min="98" max="98" width="13.85546875" style="1" bestFit="1" customWidth="1"/>
    <col min="99" max="104" width="9.140625" style="1"/>
    <col min="105" max="105" width="15.42578125" style="1" bestFit="1" customWidth="1"/>
    <col min="106" max="106" width="16" style="1" bestFit="1" customWidth="1"/>
    <col min="107" max="107" width="12.7109375" style="1" bestFit="1" customWidth="1"/>
    <col min="108" max="108" width="12.7109375" style="1" customWidth="1"/>
    <col min="109" max="112" width="9.140625" style="1"/>
    <col min="113" max="113" width="16.7109375" style="1" bestFit="1" customWidth="1"/>
    <col min="114" max="16384" width="9.140625" style="1"/>
  </cols>
  <sheetData>
    <row r="1" spans="1:140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70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6" t="s">
        <v>110</v>
      </c>
      <c r="AI1" s="6" t="s">
        <v>111</v>
      </c>
      <c r="AJ1" s="7" t="s">
        <v>112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3"/>
      <c r="AV1" s="1" t="s">
        <v>47</v>
      </c>
      <c r="AW1" s="75" t="s">
        <v>49</v>
      </c>
      <c r="AX1" s="75" t="s">
        <v>120</v>
      </c>
      <c r="AY1" s="75" t="s">
        <v>146</v>
      </c>
      <c r="AZ1" s="3"/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7" t="s">
        <v>28</v>
      </c>
      <c r="BN1" s="76" t="s">
        <v>29</v>
      </c>
      <c r="BO1" s="76" t="s">
        <v>30</v>
      </c>
      <c r="BP1" s="76" t="s">
        <v>139</v>
      </c>
      <c r="BQ1" s="77" t="s">
        <v>110</v>
      </c>
      <c r="BR1" s="77" t="s">
        <v>111</v>
      </c>
      <c r="BS1" s="76" t="s">
        <v>112</v>
      </c>
      <c r="BT1" s="1" t="s">
        <v>44</v>
      </c>
      <c r="BU1" s="1" t="s">
        <v>45</v>
      </c>
      <c r="BV1" s="1" t="s">
        <v>46</v>
      </c>
      <c r="BW1" s="1" t="s">
        <v>47</v>
      </c>
      <c r="BX1" s="75" t="s">
        <v>49</v>
      </c>
      <c r="BY1" s="75" t="s">
        <v>120</v>
      </c>
      <c r="BZ1" s="1" t="s">
        <v>50</v>
      </c>
      <c r="CA1" s="1" t="s">
        <v>29</v>
      </c>
      <c r="CB1" s="1" t="s">
        <v>30</v>
      </c>
      <c r="CC1" s="1" t="s">
        <v>51</v>
      </c>
      <c r="CD1" s="1" t="s">
        <v>52</v>
      </c>
      <c r="CE1" s="3" t="s">
        <v>53</v>
      </c>
      <c r="CF1" s="3" t="s">
        <v>54</v>
      </c>
      <c r="CG1" s="3" t="s">
        <v>55</v>
      </c>
      <c r="CH1" s="1" t="s">
        <v>56</v>
      </c>
      <c r="CI1" s="1" t="s">
        <v>57</v>
      </c>
      <c r="CK1" s="1" t="s">
        <v>59</v>
      </c>
      <c r="CP1" s="9"/>
      <c r="CQ1" s="3"/>
      <c r="CR1" s="3"/>
      <c r="CT1" s="10"/>
    </row>
    <row r="2" spans="1:140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1/((-2/(I2^2))+(1/(F2^2))+(0.6666/(G2^2)))</f>
        <v>7.8905675131026309E-2</v>
      </c>
      <c r="K2" s="12"/>
      <c r="L2" s="13">
        <f>SUM(K2:$K$2)</f>
        <v>0</v>
      </c>
      <c r="M2" s="71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1">(1-((V2/$B$40)^0.66666667))/2</f>
        <v>0</v>
      </c>
      <c r="Y2" s="12">
        <f t="shared" ref="Y2:Y23" si="2">(SQRT((Q2/M2)^2 + (0.0002/F2)^2))*AD2</f>
        <v>1.0357367298499618E-2</v>
      </c>
      <c r="Z2" s="12">
        <f t="shared" ref="Z2:Z23" si="3">SQRT((Q2/M2)^2 + (0.0002/G2)^2)*AE2</f>
        <v>4.1065127806317742E-3</v>
      </c>
      <c r="AA2" s="12" t="e">
        <f>SQRT((Q2/M2)^2 + (0.0002/H2)^2)*#REF!</f>
        <v>#REF!</v>
      </c>
      <c r="AB2" s="12">
        <f t="shared" ref="AB2:AB23" si="4">SQRT((Q2/M2)^2 + (0.0002/I2)^2)*AC2</f>
        <v>4.4555100476021065E-3</v>
      </c>
      <c r="AC2" s="1">
        <f>2*0.712/I2</f>
        <v>3.0066311311313236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V2*AC2^2</f>
        <v>55.052569320410058</v>
      </c>
      <c r="AG2" s="14" t="e">
        <f>V2*#REF!*#REF!</f>
        <v>#REF!</v>
      </c>
      <c r="AH2" s="15">
        <f t="shared" ref="AH2:AH23" si="6">V2*AD2^2</f>
        <v>235.07600000000099</v>
      </c>
      <c r="AI2" s="16">
        <f t="shared" ref="AI2:AI23" si="7">V2*AE2^2</f>
        <v>47.306378750310031</v>
      </c>
      <c r="AJ2" s="15">
        <f t="shared" ref="AJ2:AJ23" si="8">AH2+AI2-3*AF2</f>
        <v>117.22467078908085</v>
      </c>
      <c r="AK2" s="7"/>
      <c r="AL2" s="12">
        <f>M2</f>
        <v>0.70399999999999996</v>
      </c>
      <c r="AM2" s="14">
        <f t="shared" ref="AM2:AM23" si="9">AL2^3</f>
        <v>0.34891366399999996</v>
      </c>
      <c r="AN2" s="14">
        <f t="shared" ref="AN2:AN23" si="10">$BG$2/AM2</f>
        <v>1</v>
      </c>
      <c r="AO2" s="11">
        <v>6.09</v>
      </c>
      <c r="AP2" s="11">
        <f t="shared" ref="AP2:AP23" si="11">-3*$AQ$27*((1-2*AQ2)^2.5)*(1+3*(4-$AQ$26)*AQ2/2)*AQ2</f>
        <v>0</v>
      </c>
      <c r="AQ2" s="12">
        <f t="shared" ref="AQ2:AQ23" si="12">0.5*(1-AN2^0.666666667)</f>
        <v>0</v>
      </c>
      <c r="AR2" s="18">
        <f t="shared" ref="AR2:AR23" si="13">(1-2*AQ2)^(3.5)*($AQ$28-$AR$39*AQ2)+AP2*3</f>
        <v>239.89360432346049</v>
      </c>
      <c r="AS2" s="18">
        <f t="shared" ref="AS2:AS23" si="14">(1-2*AQ2)^(3.5)*($AQ$30-$AR$41*AQ2)+AP2*1</f>
        <v>46.221889892405528</v>
      </c>
      <c r="AT2" s="18">
        <f t="shared" ref="AT2:AT23" si="15">(1-2*AQ2)^(3.5)*($AQ$29-$AQ$40*AQ2)+AP2*1</f>
        <v>122.04281469011407</v>
      </c>
      <c r="AU2" s="18"/>
      <c r="AV2" s="11">
        <f>AR2-AH2</f>
        <v>4.8176043234595056</v>
      </c>
      <c r="AW2" s="11">
        <f>AS2-AI2</f>
        <v>-1.0844888579045033</v>
      </c>
      <c r="AX2" s="11">
        <f>AT2-AJ2</f>
        <v>4.8181439010332241</v>
      </c>
      <c r="AY2" s="11">
        <f>AP2-A2</f>
        <v>0</v>
      </c>
      <c r="AZ2" s="17"/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v>0.70399999999999996</v>
      </c>
      <c r="BG2" s="14">
        <f t="shared" ref="BG2:BG23" si="16">BF2^3</f>
        <v>0.34891366399999996</v>
      </c>
      <c r="BH2" s="14">
        <f t="shared" ref="BH2:BH23" si="17">$BG$2/BG2</f>
        <v>1</v>
      </c>
      <c r="BI2" s="11">
        <v>6.09</v>
      </c>
      <c r="BJ2" s="11">
        <f t="shared" ref="BJ2:BJ23" si="18">-3*$BC$36*((1-2*BK2)^2.5)*(1+3*(4-$BC$37)*BK2/2)*BK2</f>
        <v>0</v>
      </c>
      <c r="BK2" s="12">
        <f t="shared" ref="BK2:BK23" si="19">0.5*(1-BH2^0.666666667)</f>
        <v>0</v>
      </c>
      <c r="BL2" s="11">
        <f t="shared" ref="BL2:BL23" si="20">BJ2-E2</f>
        <v>0</v>
      </c>
      <c r="BM2" s="14">
        <f>2*0.712/BE2</f>
        <v>3.0066311311313236</v>
      </c>
      <c r="BN2" s="14">
        <f>2*0.712/BB2</f>
        <v>6.2129162562539788</v>
      </c>
      <c r="BO2" s="14">
        <f>2*0.712/BC2</f>
        <v>2.7870913663034367</v>
      </c>
      <c r="BP2" s="14">
        <f>BI2*BM2^2</f>
        <v>55.052569320410058</v>
      </c>
      <c r="BQ2" s="15">
        <f>BI2*BN2^2</f>
        <v>235.07599999999999</v>
      </c>
      <c r="BR2" s="15">
        <f>BI2*BO2^2</f>
        <v>47.306378750310031</v>
      </c>
      <c r="BS2" s="15">
        <f>BQ2+BR2-3*BP2</f>
        <v>117.22467078907982</v>
      </c>
      <c r="BT2" s="18">
        <f t="shared" ref="BT2:BT23" si="21">(1-2*BK2)^(3.5)*($BC$25-$BG$25*BK2)+BJ2*3</f>
        <v>239.51038215113027</v>
      </c>
      <c r="BU2" s="18">
        <f t="shared" ref="BU2:BU23" si="22">(1-2*BK2)^(3.5)*($BC$27-$BG$27*BK2)+BJ2*1</f>
        <v>46.243127025353878</v>
      </c>
      <c r="BV2" s="18">
        <f t="shared" ref="BV2:BV23" si="23">(1-2*BK2)^(3.5)*($BC$26-$BG$26*BK2)+BJ2*1</f>
        <v>121.79137885339955</v>
      </c>
      <c r="BW2" s="11">
        <f>BT2-BQ2</f>
        <v>4.4343821511302792</v>
      </c>
      <c r="BX2" s="11">
        <f t="shared" ref="BX2:BY2" si="24">BU2-BR2</f>
        <v>-1.0632517249561531</v>
      </c>
      <c r="BY2" s="11">
        <f t="shared" si="24"/>
        <v>4.5667080643197266</v>
      </c>
      <c r="BZ2" s="11">
        <f t="shared" ref="BZ2:BZ23" si="25">(BT2+2*BV2)/3</f>
        <v>161.03104661930979</v>
      </c>
      <c r="CA2" s="11">
        <f t="shared" ref="CA2:CA23" si="26">SQRT(BT2/BI2)</f>
        <v>6.2712415019320575</v>
      </c>
      <c r="CB2" s="11">
        <f t="shared" ref="CB2:CB23" si="27">SQRT(BU2/BI2)</f>
        <v>2.7555922248965512</v>
      </c>
      <c r="CC2" s="11">
        <f t="shared" ref="CC2:CC23" si="28">SQRT((0.33333334*(BT2+2*BV2+4*BU2))/BI2)</f>
        <v>6.0470046293555182</v>
      </c>
      <c r="CD2" s="11">
        <f t="shared" ref="CD2:CD23" si="29">SQRT((0.3333334*(BT2-BV2+BU2))/BI2)</f>
        <v>2.9957291540633704</v>
      </c>
      <c r="CE2" s="11">
        <f t="shared" ref="CE2:CE23" si="30">(BT2-BV2+3*BU2)/5</f>
        <v>51.28967687475847</v>
      </c>
      <c r="CF2" s="11">
        <f t="shared" ref="CF2:CF23" si="31">((5*(BT2-BV2)*BU2)/(3*(BT2-BV2)+4*BU2))</f>
        <v>50.579782754544624</v>
      </c>
      <c r="CG2" s="11">
        <f t="shared" ref="CG2:CG23" si="32">(CE2+CF2)/2</f>
        <v>50.934729814651547</v>
      </c>
      <c r="CH2" s="14">
        <f t="shared" ref="CH2:CH23" si="33">CA2-AD2</f>
        <v>5.8325245678065407E-2</v>
      </c>
      <c r="CI2" s="14">
        <f t="shared" ref="CI2:CI23" si="34">CB2-AE2</f>
        <v>-3.1499141406885478E-2</v>
      </c>
      <c r="CJ2" s="14"/>
      <c r="CK2" s="14">
        <f t="shared" ref="CK2:CK23" si="35">CD2-AC2</f>
        <v>-1.0901977067953261E-2</v>
      </c>
      <c r="CL2" s="12"/>
      <c r="CM2" s="12"/>
      <c r="CN2" s="12"/>
      <c r="CQ2" s="17"/>
      <c r="CR2" s="20"/>
      <c r="CS2" s="20"/>
      <c r="CT2" s="21"/>
      <c r="DA2" s="14"/>
      <c r="DB2" s="14"/>
      <c r="DC2" s="14"/>
      <c r="DD2" s="14"/>
      <c r="DI2" s="12"/>
      <c r="DQ2" s="1" t="s">
        <v>61</v>
      </c>
      <c r="EJ2" s="1">
        <v>0</v>
      </c>
    </row>
    <row r="3" spans="1:140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6">1/((-2/(I3^2))+(1/(F3^2))+(0.6666/(G3^2)))</f>
        <v>7.2928628321772243E-2</v>
      </c>
      <c r="K3" s="13">
        <f t="shared" ref="K3:K23" si="37">(J3*(E3-E2)+0.5*(E3-E2)*(J2-J3))</f>
        <v>9.8034025785622026E-3</v>
      </c>
      <c r="L3" s="13">
        <f>SUM(K$3:$K3)</f>
        <v>9.8034025785622026E-3</v>
      </c>
      <c r="M3" s="72">
        <f>$B$38/((L3*$B$43+1))</f>
        <v>0.70380627040878718</v>
      </c>
      <c r="N3" s="12">
        <f t="shared" ref="N3:N23" si="38">(6*F3*G3*SQRT(9*(G3^6)*(0.0002^2)+16*(F3^6)*(0.0002)^2))/((4*F3^2 - 3*G3^2)^2)</f>
        <v>1.6605783510823934E-4</v>
      </c>
      <c r="O3" s="21">
        <f t="shared" ref="O3:O23" si="39">(((E3-E2)/2)^2)*(N3^2+N4^2)</f>
        <v>2.216109036549626E-10</v>
      </c>
      <c r="P3" s="11">
        <f>SUM(O$2:$O3)</f>
        <v>2.216109036549626E-10</v>
      </c>
      <c r="Q3" s="12">
        <f t="shared" ref="Q3:Q23" si="40">SQRT(((M30*0.001)^2)+((N30*0.02)^2)+((O30*P3)^2))</f>
        <v>1.0002752348480628E-3</v>
      </c>
      <c r="R3" s="3">
        <f t="shared" si="0"/>
        <v>0.34862569680329186</v>
      </c>
      <c r="S3" s="1">
        <f t="shared" ref="S3:S23" si="41">3*Q3/M3*R3</f>
        <v>1.4864388059860701E-3</v>
      </c>
      <c r="T3" s="1">
        <f t="shared" ref="T3:T23" si="42">R3/$R$2</f>
        <v>0.99917467492271073</v>
      </c>
      <c r="U3" s="1">
        <f t="shared" ref="U3:U23" si="43">T3*3*SQRT((Q3/M3)^2)+(0.001/$M$2)^2</f>
        <v>4.2622085616746451E-3</v>
      </c>
      <c r="V3" s="11">
        <f t="shared" ref="V3:V23" si="44">$B$40/((M3/$M$2)^3)</f>
        <v>6.0950303814206253</v>
      </c>
      <c r="W3" s="12">
        <f t="shared" ref="W3:W23" si="45">(SQRT((0.02/$V$2)^2+(9*(0.001/$M$2)^2)+(9*(Q3/M3)^2))*V3)</f>
        <v>4.1840317948993504E-2</v>
      </c>
      <c r="X3" s="13">
        <f t="shared" si="1"/>
        <v>-2.7529771091128197E-4</v>
      </c>
      <c r="Y3" s="12">
        <f t="shared" si="2"/>
        <v>1.0502335997491136E-2</v>
      </c>
      <c r="Z3" s="12">
        <f t="shared" si="3"/>
        <v>4.0930107971971913E-3</v>
      </c>
      <c r="AA3" s="12" t="e">
        <f>SQRT((Q3/M3)^2 + (0.0002/H3)^2)*#REF!</f>
        <v>#REF!</v>
      </c>
      <c r="AB3" s="12">
        <f t="shared" si="4"/>
        <v>4.3421825972194215E-3</v>
      </c>
      <c r="AC3" s="1">
        <f t="shared" ref="AC3:AC23" si="46">2*M3/I3</f>
        <v>2.9318687990735297</v>
      </c>
      <c r="AD3" s="1">
        <f t="shared" ref="AD3:AD23" si="47">2*M3/F3</f>
        <v>6.2631339118227052</v>
      </c>
      <c r="AE3" s="14">
        <f t="shared" ref="AE3:AE23" si="48">2*M3/G3</f>
        <v>2.7750772257351808</v>
      </c>
      <c r="AF3" s="14">
        <f t="shared" si="5"/>
        <v>52.391995276384257</v>
      </c>
      <c r="AG3" s="14" t="e">
        <f>V3*#REF!*#REF!</f>
        <v>#REF!</v>
      </c>
      <c r="AH3" s="15">
        <f t="shared" si="6"/>
        <v>239.08882055961692</v>
      </c>
      <c r="AI3" s="16">
        <f t="shared" si="7"/>
        <v>46.938155714548785</v>
      </c>
      <c r="AJ3" s="15">
        <f t="shared" si="8"/>
        <v>128.85099044501291</v>
      </c>
      <c r="AK3" s="7"/>
      <c r="AL3" s="12">
        <f t="shared" ref="AL3:AL23" si="49">M3</f>
        <v>0.70380627040878718</v>
      </c>
      <c r="AM3" s="14">
        <f t="shared" si="9"/>
        <v>0.34862569680329186</v>
      </c>
      <c r="AN3" s="14">
        <f t="shared" si="10"/>
        <v>1.0008260068014165</v>
      </c>
      <c r="AO3" s="11">
        <f>$AO$2/((AL3/$AL$2)^3)</f>
        <v>6.0950303814206253</v>
      </c>
      <c r="AP3" s="11">
        <f t="shared" si="11"/>
        <v>0.13341162887861885</v>
      </c>
      <c r="AQ3" s="12">
        <f t="shared" si="12"/>
        <v>-2.7529770967216205E-4</v>
      </c>
      <c r="AR3" s="18">
        <f t="shared" si="13"/>
        <v>240.61153475068875</v>
      </c>
      <c r="AS3" s="18">
        <f t="shared" si="14"/>
        <v>46.26055277747772</v>
      </c>
      <c r="AT3" s="18">
        <f t="shared" si="15"/>
        <v>122.44688082673336</v>
      </c>
      <c r="AU3" s="17"/>
      <c r="AV3" s="11">
        <f t="shared" ref="AV3:AV23" si="50">AR3-AH3</f>
        <v>1.5227141910718274</v>
      </c>
      <c r="AW3" s="11">
        <f t="shared" ref="AW3:AW23" si="51">AS3-AI3</f>
        <v>-0.67760293707106456</v>
      </c>
      <c r="AX3" s="11">
        <f t="shared" ref="AX3:AX23" si="52">AT3-AJ3</f>
        <v>-6.4041096182795485</v>
      </c>
      <c r="AY3" s="11">
        <f t="shared" ref="AY3:AY23" si="53">AP3-A3</f>
        <v>4.2787207593435184E-3</v>
      </c>
      <c r="AZ3" s="17"/>
      <c r="BA3" s="2"/>
      <c r="BB3" s="12">
        <v>0.22474572005565327</v>
      </c>
      <c r="BC3" s="12">
        <v>0.50723364660407455</v>
      </c>
      <c r="BD3" s="12">
        <f>C3*$BF$2/0.607</f>
        <v>0.23402119688428533</v>
      </c>
      <c r="BE3" s="12">
        <f>D3*$BF$2/0.607</f>
        <v>0.48010761643303401</v>
      </c>
      <c r="BF3" s="12">
        <v>0.70380627040878718</v>
      </c>
      <c r="BG3" s="14">
        <f t="shared" si="16"/>
        <v>0.34862569680329186</v>
      </c>
      <c r="BH3" s="14">
        <f t="shared" si="17"/>
        <v>1.0008260068014165</v>
      </c>
      <c r="BI3" s="11">
        <f>$BI$2/((BF3/$BF$2)^3)</f>
        <v>6.0950303814206253</v>
      </c>
      <c r="BJ3" s="11">
        <f t="shared" si="18"/>
        <v>0.1331728321452387</v>
      </c>
      <c r="BK3" s="12">
        <f t="shared" si="19"/>
        <v>-2.7529770967216205E-4</v>
      </c>
      <c r="BL3" s="11">
        <f t="shared" si="20"/>
        <v>4.0399240259633706E-3</v>
      </c>
      <c r="BM3" s="14">
        <f t="shared" ref="BM3:BM23" si="54">2*BF3/BE3</f>
        <v>2.9318687990735297</v>
      </c>
      <c r="BN3" s="14">
        <f>2*BF3/BB3</f>
        <v>6.2631339118227052</v>
      </c>
      <c r="BO3" s="14">
        <f>2*BF3/BC3</f>
        <v>2.7750772257351808</v>
      </c>
      <c r="BP3" s="14">
        <f t="shared" ref="BP3:BP23" si="55">BI3*BM3^2</f>
        <v>52.391995276384257</v>
      </c>
      <c r="BQ3" s="15">
        <f t="shared" ref="BQ3:BQ23" si="56">BI3*BN3^2</f>
        <v>239.08882055961692</v>
      </c>
      <c r="BR3" s="15">
        <f t="shared" ref="BR3:BR23" si="57">BI3*BO3^2</f>
        <v>46.938155714548785</v>
      </c>
      <c r="BS3" s="15">
        <f t="shared" ref="BS3:BS23" si="58">BQ3+BR3-3*BP3</f>
        <v>128.85099044501291</v>
      </c>
      <c r="BT3" s="18">
        <f t="shared" si="21"/>
        <v>240.24453328082953</v>
      </c>
      <c r="BU3" s="18">
        <f t="shared" si="22"/>
        <v>46.281310411796873</v>
      </c>
      <c r="BV3" s="18">
        <f t="shared" si="23"/>
        <v>122.2057955620937</v>
      </c>
      <c r="BW3" s="11">
        <f t="shared" ref="BW3:BW23" si="59">BT3-BQ3</f>
        <v>1.155712721212609</v>
      </c>
      <c r="BX3" s="11">
        <f t="shared" ref="BX3:BX23" si="60">BV3-AJ3</f>
        <v>-6.6451948829192133</v>
      </c>
      <c r="BY3" s="11">
        <f t="shared" ref="BY3:BY23" si="61">BU3-AI3</f>
        <v>-0.65684530275191122</v>
      </c>
      <c r="BZ3" s="11">
        <f t="shared" si="25"/>
        <v>161.55204146833898</v>
      </c>
      <c r="CA3" s="11">
        <f t="shared" si="26"/>
        <v>6.2782530991890093</v>
      </c>
      <c r="CB3" s="11">
        <f t="shared" si="27"/>
        <v>2.7555918155289647</v>
      </c>
      <c r="CC3" s="11">
        <f t="shared" si="28"/>
        <v>6.0522654820030359</v>
      </c>
      <c r="CD3" s="11">
        <f t="shared" si="29"/>
        <v>2.9977592754983906</v>
      </c>
      <c r="CE3" s="11">
        <f t="shared" si="30"/>
        <v>51.376533790825285</v>
      </c>
      <c r="CF3" s="11">
        <f t="shared" si="31"/>
        <v>50.654372102839062</v>
      </c>
      <c r="CG3" s="11">
        <f t="shared" si="32"/>
        <v>51.01545294683217</v>
      </c>
      <c r="CH3" s="14">
        <f t="shared" si="33"/>
        <v>1.5119187366304132E-2</v>
      </c>
      <c r="CI3" s="14">
        <f t="shared" si="34"/>
        <v>-1.9485410206216081E-2</v>
      </c>
      <c r="CJ3" s="14"/>
      <c r="CK3" s="14">
        <f t="shared" si="35"/>
        <v>6.58904764248609E-2</v>
      </c>
      <c r="CL3" s="12"/>
      <c r="CM3" s="12"/>
      <c r="CN3" s="12"/>
      <c r="CQ3" s="17"/>
      <c r="CR3" s="20"/>
      <c r="CS3" s="20"/>
      <c r="CT3" s="21"/>
      <c r="DA3" s="14"/>
      <c r="DB3" s="14"/>
      <c r="DC3" s="14"/>
      <c r="DD3" s="14"/>
      <c r="DI3" s="12"/>
    </row>
    <row r="4" spans="1:140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2">C4*0.704/0.607</f>
        <v>0.23045788397015871</v>
      </c>
      <c r="I4" s="12">
        <f t="shared" ref="I4:I23" si="63">D4*0.704/0.607</f>
        <v>0.46884969357888606</v>
      </c>
      <c r="J4" s="12">
        <f t="shared" si="36"/>
        <v>7.1471640035327674E-2</v>
      </c>
      <c r="K4" s="13">
        <f t="shared" si="37"/>
        <v>0.10877315508592117</v>
      </c>
      <c r="L4" s="13">
        <f>SUM(K$3:$K4)</f>
        <v>0.11857655766448337</v>
      </c>
      <c r="M4" s="72">
        <f t="shared" ref="M4:M23" si="64">$B$38/((L4*$B$43+1))</f>
        <v>0.70166388640963195</v>
      </c>
      <c r="N4" s="12">
        <f t="shared" si="38"/>
        <v>1.5994952484815503E-4</v>
      </c>
      <c r="O4" s="21">
        <f t="shared" si="39"/>
        <v>2.8357893464738583E-8</v>
      </c>
      <c r="P4" s="11">
        <f>SUM(O$2:$O4)</f>
        <v>2.8579504368393547E-8</v>
      </c>
      <c r="Q4" s="12">
        <f t="shared" si="40"/>
        <v>1.0033254584318441E-3</v>
      </c>
      <c r="R4" s="3">
        <f t="shared" si="0"/>
        <v>0.34545173151642516</v>
      </c>
      <c r="S4" s="1">
        <f t="shared" si="41"/>
        <v>1.4819083193663722E-3</v>
      </c>
      <c r="T4" s="1">
        <f t="shared" si="42"/>
        <v>0.99007796816012683</v>
      </c>
      <c r="U4" s="1">
        <f t="shared" si="43"/>
        <v>4.2492240125235475E-3</v>
      </c>
      <c r="V4" s="11">
        <f t="shared" si="44"/>
        <v>6.1510307226784535</v>
      </c>
      <c r="W4" s="12">
        <f t="shared" si="45"/>
        <v>4.2324488104401474E-2</v>
      </c>
      <c r="X4" s="13">
        <f t="shared" si="1"/>
        <v>-3.3349336704950883E-3</v>
      </c>
      <c r="Y4" s="12">
        <f t="shared" si="2"/>
        <v>1.0748926654648064E-2</v>
      </c>
      <c r="Z4" s="12">
        <f t="shared" si="3"/>
        <v>4.1158782943242359E-3</v>
      </c>
      <c r="AA4" s="12" t="e">
        <f>SQRT((Q4/M4)^2 + (0.0002/H4)^2)*#REF!</f>
        <v>#REF!</v>
      </c>
      <c r="AB4" s="12">
        <f t="shared" si="4"/>
        <v>4.466334064713127E-3</v>
      </c>
      <c r="AC4" s="1">
        <f t="shared" si="46"/>
        <v>2.9931293376928436</v>
      </c>
      <c r="AD4" s="1">
        <f t="shared" si="47"/>
        <v>6.3514594103284026</v>
      </c>
      <c r="AE4" s="14">
        <f t="shared" si="48"/>
        <v>2.7742871243155451</v>
      </c>
      <c r="AF4" s="14">
        <f t="shared" si="5"/>
        <v>55.105996940046886</v>
      </c>
      <c r="AG4" s="14" t="e">
        <f>V4*#REF!*#REF!</f>
        <v>#REF!</v>
      </c>
      <c r="AH4" s="15">
        <f t="shared" si="6"/>
        <v>248.13895576379096</v>
      </c>
      <c r="AI4" s="16">
        <f t="shared" si="7"/>
        <v>47.342447777416027</v>
      </c>
      <c r="AJ4" s="15">
        <f t="shared" si="8"/>
        <v>130.16341272106632</v>
      </c>
      <c r="AK4" s="7"/>
      <c r="AL4" s="12">
        <f t="shared" si="49"/>
        <v>0.70166388640963195</v>
      </c>
      <c r="AM4" s="14">
        <f t="shared" si="9"/>
        <v>0.34545173151642516</v>
      </c>
      <c r="AN4" s="14">
        <f t="shared" si="10"/>
        <v>1.0100214651360351</v>
      </c>
      <c r="AO4" s="11">
        <f t="shared" ref="AO4:AO23" si="65">$AO$2/((AL4/$AL$2)^3)</f>
        <v>6.1510307226784535</v>
      </c>
      <c r="AP4" s="11">
        <f t="shared" si="11"/>
        <v>1.6395638087703057</v>
      </c>
      <c r="AQ4" s="12">
        <f t="shared" si="12"/>
        <v>-3.3349336554379105E-3</v>
      </c>
      <c r="AR4" s="18">
        <f t="shared" si="13"/>
        <v>248.66595817522807</v>
      </c>
      <c r="AS4" s="18">
        <f t="shared" si="14"/>
        <v>46.673910847015925</v>
      </c>
      <c r="AT4" s="18">
        <f t="shared" si="15"/>
        <v>126.99216127804075</v>
      </c>
      <c r="AU4" s="17"/>
      <c r="AV4" s="11">
        <f t="shared" si="50"/>
        <v>0.52700241143710969</v>
      </c>
      <c r="AW4" s="11">
        <f t="shared" si="51"/>
        <v>-0.66853693040010143</v>
      </c>
      <c r="AX4" s="11">
        <f t="shared" si="52"/>
        <v>-3.1712514430255681</v>
      </c>
      <c r="AY4" s="11">
        <f t="shared" si="53"/>
        <v>3.8803059260037465E-3</v>
      </c>
      <c r="AZ4" s="17"/>
      <c r="BB4" s="12">
        <v>0.22094572005565327</v>
      </c>
      <c r="BC4" s="12">
        <v>0.50583364660407459</v>
      </c>
      <c r="BD4" s="12">
        <f t="shared" ref="BD4:BD23" si="66">C4*$BF$2/0.607</f>
        <v>0.23045788397015871</v>
      </c>
      <c r="BE4" s="12">
        <f t="shared" ref="BE4:BE23" si="67">D4*$BF$2/0.607</f>
        <v>0.46884969357888606</v>
      </c>
      <c r="BF4" s="12">
        <v>0.70166388640963195</v>
      </c>
      <c r="BG4" s="14">
        <f t="shared" si="16"/>
        <v>0.34545173151642516</v>
      </c>
      <c r="BH4" s="14">
        <f t="shared" si="17"/>
        <v>1.0100214651360351</v>
      </c>
      <c r="BI4" s="11">
        <f t="shared" ref="BI4:BI23" si="68">$BI$2/((BF4/$BF$2)^3)</f>
        <v>6.1510307226784535</v>
      </c>
      <c r="BJ4" s="11">
        <f t="shared" si="18"/>
        <v>1.6373755686372617</v>
      </c>
      <c r="BK4" s="12">
        <f t="shared" si="19"/>
        <v>-3.3349336554379105E-3</v>
      </c>
      <c r="BL4" s="11">
        <f t="shared" si="20"/>
        <v>1.6920657929597738E-3</v>
      </c>
      <c r="BM4" s="14">
        <f t="shared" si="54"/>
        <v>2.9931293376928436</v>
      </c>
      <c r="BN4" s="14">
        <f t="shared" ref="BN4:BN23" si="69">2*BF4/BB4</f>
        <v>6.3514594103284026</v>
      </c>
      <c r="BO4" s="14">
        <f t="shared" ref="BO4:BO23" si="70">2*BF4/BC4</f>
        <v>2.7742871243155451</v>
      </c>
      <c r="BP4" s="14">
        <f t="shared" si="55"/>
        <v>55.105996940046886</v>
      </c>
      <c r="BQ4" s="15">
        <f t="shared" si="56"/>
        <v>248.13895576379096</v>
      </c>
      <c r="BR4" s="15">
        <f t="shared" si="57"/>
        <v>47.342447777416027</v>
      </c>
      <c r="BS4" s="15">
        <f t="shared" si="58"/>
        <v>130.16341272106632</v>
      </c>
      <c r="BT4" s="18">
        <f t="shared" si="21"/>
        <v>248.48589581864454</v>
      </c>
      <c r="BU4" s="18">
        <f t="shared" si="22"/>
        <v>46.689974107673649</v>
      </c>
      <c r="BV4" s="18">
        <f t="shared" si="23"/>
        <v>126.86966452069895</v>
      </c>
      <c r="BW4" s="11">
        <f t="shared" si="59"/>
        <v>0.34694005485357593</v>
      </c>
      <c r="BX4" s="11">
        <f t="shared" si="60"/>
        <v>-3.293748200367375</v>
      </c>
      <c r="BY4" s="11">
        <f t="shared" si="61"/>
        <v>-0.65247366974237764</v>
      </c>
      <c r="BZ4" s="11">
        <f t="shared" si="25"/>
        <v>167.40840828668081</v>
      </c>
      <c r="CA4" s="11">
        <f t="shared" si="26"/>
        <v>6.355898064398148</v>
      </c>
      <c r="CB4" s="11">
        <f t="shared" si="27"/>
        <v>2.7551031825442451</v>
      </c>
      <c r="CC4" s="11">
        <f t="shared" si="28"/>
        <v>6.1104099829711052</v>
      </c>
      <c r="CD4" s="11">
        <f t="shared" si="29"/>
        <v>3.0200597289626403</v>
      </c>
      <c r="CE4" s="11">
        <f t="shared" si="30"/>
        <v>52.337230724193304</v>
      </c>
      <c r="CF4" s="11">
        <f t="shared" si="31"/>
        <v>51.469998745244368</v>
      </c>
      <c r="CG4" s="11">
        <f t="shared" si="32"/>
        <v>51.903614734718836</v>
      </c>
      <c r="CH4" s="14">
        <f t="shared" si="33"/>
        <v>4.438654069745418E-3</v>
      </c>
      <c r="CI4" s="14">
        <f t="shared" si="34"/>
        <v>-1.9183941771300006E-2</v>
      </c>
      <c r="CJ4" s="14"/>
      <c r="CK4" s="14">
        <f t="shared" si="35"/>
        <v>2.6930391269796683E-2</v>
      </c>
      <c r="CL4" s="12"/>
      <c r="CM4" s="12"/>
      <c r="CN4" s="12"/>
      <c r="CQ4" s="17"/>
      <c r="CR4" s="20"/>
      <c r="CS4" s="20"/>
      <c r="CT4" s="21"/>
      <c r="DA4" s="14"/>
      <c r="DB4" s="14"/>
      <c r="DC4" s="14"/>
      <c r="DD4" s="14"/>
      <c r="DI4" s="12"/>
    </row>
    <row r="5" spans="1:140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2"/>
        <v>0.22862378849011855</v>
      </c>
      <c r="I5" s="12">
        <f t="shared" si="63"/>
        <v>0.46500793877458718</v>
      </c>
      <c r="J5" s="12">
        <f t="shared" si="36"/>
        <v>7.0152195264707715E-2</v>
      </c>
      <c r="K5" s="13">
        <f t="shared" si="37"/>
        <v>6.0960992371002727E-2</v>
      </c>
      <c r="L5" s="13">
        <f>SUM(K$3:$K5)</f>
        <v>0.1795375500354861</v>
      </c>
      <c r="M5" s="72">
        <f t="shared" si="64"/>
        <v>0.70046889896090037</v>
      </c>
      <c r="N5" s="12">
        <f t="shared" si="38"/>
        <v>1.5618171297467797E-4</v>
      </c>
      <c r="O5" s="21">
        <f t="shared" si="39"/>
        <v>8.8434243448866546E-9</v>
      </c>
      <c r="P5" s="11">
        <f>SUM(O$2:$O5)</f>
        <v>3.7422928713280205E-8</v>
      </c>
      <c r="Q5" s="12">
        <f t="shared" si="40"/>
        <v>1.0050316869084539E-3</v>
      </c>
      <c r="R5" s="3">
        <f t="shared" si="0"/>
        <v>0.34368974329471325</v>
      </c>
      <c r="S5" s="1">
        <f t="shared" si="41"/>
        <v>1.4793765275904144E-3</v>
      </c>
      <c r="T5" s="1">
        <f t="shared" si="42"/>
        <v>0.98502804205086469</v>
      </c>
      <c r="U5" s="1">
        <f t="shared" si="43"/>
        <v>4.241967799777582E-3</v>
      </c>
      <c r="V5" s="11">
        <f t="shared" si="44"/>
        <v>6.1825651047663532</v>
      </c>
      <c r="W5" s="12">
        <f t="shared" si="45"/>
        <v>4.259790487877789E-2</v>
      </c>
      <c r="X5" s="13">
        <f t="shared" si="1"/>
        <v>-5.0537594122648244E-3</v>
      </c>
      <c r="Y5" s="12">
        <f t="shared" si="2"/>
        <v>1.0896157984722002E-2</v>
      </c>
      <c r="Z5" s="12">
        <f t="shared" si="3"/>
        <v>4.1218842025145452E-3</v>
      </c>
      <c r="AA5" s="12" t="e">
        <f>SQRT((Q5/M5)^2 + (0.0002/H5)^2)*#REF!</f>
        <v>#REF!</v>
      </c>
      <c r="AB5" s="12">
        <f t="shared" si="4"/>
        <v>4.5126782567923331E-3</v>
      </c>
      <c r="AC5" s="1">
        <f t="shared" si="46"/>
        <v>3.0127180228656396</v>
      </c>
      <c r="AD5" s="1">
        <f t="shared" si="47"/>
        <v>6.4044123814873917</v>
      </c>
      <c r="AE5" s="14">
        <f t="shared" si="48"/>
        <v>2.7695623004262919</v>
      </c>
      <c r="AF5" s="14">
        <f t="shared" si="5"/>
        <v>56.11586598731504</v>
      </c>
      <c r="AG5" s="14" t="e">
        <f>V5*#REF!*#REF!</f>
        <v>#REF!</v>
      </c>
      <c r="AH5" s="15">
        <f t="shared" si="6"/>
        <v>253.58716895867701</v>
      </c>
      <c r="AI5" s="16">
        <f t="shared" si="7"/>
        <v>47.423213148969531</v>
      </c>
      <c r="AJ5" s="15">
        <f t="shared" si="8"/>
        <v>132.66278414570141</v>
      </c>
      <c r="AK5" s="7"/>
      <c r="AL5" s="12">
        <f t="shared" si="49"/>
        <v>0.70046889896090037</v>
      </c>
      <c r="AM5" s="14">
        <f t="shared" si="9"/>
        <v>0.34368974329471325</v>
      </c>
      <c r="AN5" s="14">
        <f t="shared" si="10"/>
        <v>1.0151995245921761</v>
      </c>
      <c r="AO5" s="11">
        <f t="shared" si="65"/>
        <v>6.1825651047663532</v>
      </c>
      <c r="AP5" s="11">
        <f t="shared" si="11"/>
        <v>2.5046614310014879</v>
      </c>
      <c r="AQ5" s="12">
        <f t="shared" si="12"/>
        <v>-5.0537593894083299E-3</v>
      </c>
      <c r="AR5" s="18">
        <f t="shared" si="13"/>
        <v>253.25158235459895</v>
      </c>
      <c r="AS5" s="18">
        <f t="shared" si="14"/>
        <v>46.892641758883435</v>
      </c>
      <c r="AT5" s="18">
        <f t="shared" si="15"/>
        <v>129.58977734894611</v>
      </c>
      <c r="AU5" s="17"/>
      <c r="AV5" s="11">
        <f t="shared" si="50"/>
        <v>-0.33558660407805974</v>
      </c>
      <c r="AW5" s="11">
        <f t="shared" si="51"/>
        <v>-0.53057139008609511</v>
      </c>
      <c r="AX5" s="11">
        <f t="shared" si="52"/>
        <v>-3.0730067967552941</v>
      </c>
      <c r="AY5" s="11">
        <f t="shared" si="53"/>
        <v>8.0918740285911284E-3</v>
      </c>
      <c r="AZ5" s="17"/>
      <c r="BB5" s="12">
        <v>0.21874572005565329</v>
      </c>
      <c r="BC5" s="12">
        <v>0.50583364660407459</v>
      </c>
      <c r="BD5" s="12">
        <f t="shared" si="66"/>
        <v>0.22862378849011855</v>
      </c>
      <c r="BE5" s="12">
        <f t="shared" si="67"/>
        <v>0.46500793877458718</v>
      </c>
      <c r="BF5" s="12">
        <v>0.70046889896090037</v>
      </c>
      <c r="BG5" s="14">
        <f t="shared" si="16"/>
        <v>0.34368974329471325</v>
      </c>
      <c r="BH5" s="14">
        <f t="shared" si="17"/>
        <v>1.0151995245921761</v>
      </c>
      <c r="BI5" s="11">
        <f t="shared" si="68"/>
        <v>6.1825651047663532</v>
      </c>
      <c r="BJ5" s="11">
        <f t="shared" si="18"/>
        <v>2.5019600428177555</v>
      </c>
      <c r="BK5" s="12">
        <f t="shared" si="19"/>
        <v>-5.0537593894083299E-3</v>
      </c>
      <c r="BL5" s="11">
        <f t="shared" si="20"/>
        <v>5.3904858448587945E-3</v>
      </c>
      <c r="BM5" s="14">
        <f t="shared" si="54"/>
        <v>3.0127180228656396</v>
      </c>
      <c r="BN5" s="14">
        <f t="shared" si="69"/>
        <v>6.4044123814873917</v>
      </c>
      <c r="BO5" s="14">
        <f t="shared" si="70"/>
        <v>2.7695623004262919</v>
      </c>
      <c r="BP5" s="14">
        <f t="shared" si="55"/>
        <v>56.11586598731504</v>
      </c>
      <c r="BQ5" s="15">
        <f t="shared" si="56"/>
        <v>253.58716895867701</v>
      </c>
      <c r="BR5" s="15">
        <f t="shared" si="57"/>
        <v>47.423213148969531</v>
      </c>
      <c r="BS5" s="15">
        <f t="shared" si="58"/>
        <v>132.66278414570141</v>
      </c>
      <c r="BT5" s="18">
        <f t="shared" si="21"/>
        <v>253.18199278747488</v>
      </c>
      <c r="BU5" s="18">
        <f t="shared" si="22"/>
        <v>46.90659293054177</v>
      </c>
      <c r="BV5" s="18">
        <f t="shared" si="23"/>
        <v>129.53680477115714</v>
      </c>
      <c r="BW5" s="11">
        <f t="shared" si="59"/>
        <v>-0.4051761712021289</v>
      </c>
      <c r="BX5" s="11">
        <f t="shared" si="60"/>
        <v>-3.1259793745442721</v>
      </c>
      <c r="BY5" s="11">
        <f t="shared" si="61"/>
        <v>-0.51662021842776085</v>
      </c>
      <c r="BZ5" s="11">
        <f t="shared" si="25"/>
        <v>170.75186744326302</v>
      </c>
      <c r="CA5" s="11">
        <f t="shared" si="26"/>
        <v>6.3992939193582439</v>
      </c>
      <c r="CB5" s="11">
        <f t="shared" si="27"/>
        <v>2.7544354257372601</v>
      </c>
      <c r="CC5" s="11">
        <f t="shared" si="28"/>
        <v>6.1428149401473613</v>
      </c>
      <c r="CD5" s="11">
        <f t="shared" si="29"/>
        <v>3.032377016414471</v>
      </c>
      <c r="CE5" s="11">
        <f t="shared" si="30"/>
        <v>52.872993361588613</v>
      </c>
      <c r="CF5" s="11">
        <f t="shared" si="31"/>
        <v>51.917022362926183</v>
      </c>
      <c r="CG5" s="11">
        <f t="shared" si="32"/>
        <v>52.395007862257401</v>
      </c>
      <c r="CH5" s="14">
        <f t="shared" si="33"/>
        <v>-5.1184621291477939E-3</v>
      </c>
      <c r="CI5" s="14">
        <f t="shared" si="34"/>
        <v>-1.5126874689031844E-2</v>
      </c>
      <c r="CJ5" s="14"/>
      <c r="CK5" s="14">
        <f t="shared" si="35"/>
        <v>1.9658993548831383E-2</v>
      </c>
      <c r="CL5" s="12"/>
      <c r="CM5" s="12"/>
      <c r="CN5" s="12"/>
      <c r="CQ5" s="17"/>
      <c r="CR5" s="20"/>
      <c r="CS5" s="20"/>
      <c r="CT5" s="21"/>
      <c r="DA5" s="14"/>
      <c r="DB5" s="14"/>
      <c r="DC5" s="14"/>
      <c r="DD5" s="14"/>
      <c r="DI5" s="12"/>
    </row>
    <row r="6" spans="1:140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2"/>
        <v>0.22676621932328164</v>
      </c>
      <c r="I6" s="12">
        <f t="shared" si="63"/>
        <v>0.46145041845044033</v>
      </c>
      <c r="J6" s="12">
        <f t="shared" si="36"/>
        <v>6.8754278351033177E-2</v>
      </c>
      <c r="K6" s="13">
        <f t="shared" si="37"/>
        <v>6.5770455280185089E-2</v>
      </c>
      <c r="L6" s="13">
        <f>SUM(K$3:$K6)</f>
        <v>0.24530800531567121</v>
      </c>
      <c r="M6" s="72">
        <f t="shared" si="64"/>
        <v>0.69918419033879498</v>
      </c>
      <c r="N6" s="12">
        <f t="shared" si="38"/>
        <v>1.5276458095088427E-4</v>
      </c>
      <c r="O6" s="21">
        <f t="shared" si="39"/>
        <v>1.0265500870415706E-8</v>
      </c>
      <c r="P6" s="11">
        <f>SUM(O$2:$O6)</f>
        <v>4.7688429583695914E-8</v>
      </c>
      <c r="Q6" s="12">
        <f t="shared" si="40"/>
        <v>1.0068695751645088E-3</v>
      </c>
      <c r="R6" s="3">
        <f t="shared" si="0"/>
        <v>0.34180215690041721</v>
      </c>
      <c r="S6" s="1">
        <f t="shared" si="41"/>
        <v>1.4766503473507117E-3</v>
      </c>
      <c r="T6" s="1">
        <f t="shared" si="42"/>
        <v>0.97961814674135905</v>
      </c>
      <c r="U6" s="1">
        <f t="shared" si="43"/>
        <v>4.2341544622073379E-3</v>
      </c>
      <c r="V6" s="11">
        <f t="shared" si="44"/>
        <v>6.2167080308363207</v>
      </c>
      <c r="W6" s="24">
        <f t="shared" si="45"/>
        <v>4.2894562115453415E-2</v>
      </c>
      <c r="X6" s="25">
        <f t="shared" si="1"/>
        <v>-6.9114759912085599E-3</v>
      </c>
      <c r="Y6" s="24">
        <f t="shared" si="2"/>
        <v>1.1047625380468889E-2</v>
      </c>
      <c r="Z6" s="24">
        <f t="shared" si="3"/>
        <v>4.1336050755114793E-3</v>
      </c>
      <c r="AA6" s="24" t="e">
        <f>SQRT((Q6/M6)^2 + (0.0002/H6)^2)*#REF!</f>
        <v>#REF!</v>
      </c>
      <c r="AB6" s="24">
        <f t="shared" si="4"/>
        <v>4.55729906981124E-3</v>
      </c>
      <c r="AC6" s="27">
        <f t="shared" si="46"/>
        <v>3.0303762327778112</v>
      </c>
      <c r="AD6" s="27">
        <f t="shared" si="47"/>
        <v>6.4576126478888733</v>
      </c>
      <c r="AE6" s="28">
        <f t="shared" si="48"/>
        <v>2.7677657457628091</v>
      </c>
      <c r="AF6" s="28">
        <f t="shared" si="5"/>
        <v>57.089149552034627</v>
      </c>
      <c r="AG6" s="28" t="e">
        <f>V6*#REF!*#REF!</f>
        <v>#REF!</v>
      </c>
      <c r="AH6" s="29">
        <f t="shared" si="6"/>
        <v>259.24145648560778</v>
      </c>
      <c r="AI6" s="30">
        <f t="shared" si="7"/>
        <v>47.623261110262689</v>
      </c>
      <c r="AJ6" s="29">
        <f t="shared" si="8"/>
        <v>135.59726893976662</v>
      </c>
      <c r="AK6" s="7"/>
      <c r="AL6" s="12">
        <f t="shared" si="49"/>
        <v>0.69918419033879498</v>
      </c>
      <c r="AM6" s="28">
        <f t="shared" si="9"/>
        <v>0.34180215690041721</v>
      </c>
      <c r="AN6" s="28">
        <f t="shared" si="10"/>
        <v>1.0208059163934844</v>
      </c>
      <c r="AO6" s="11">
        <f t="shared" si="65"/>
        <v>6.2167080308363207</v>
      </c>
      <c r="AP6" s="11">
        <f t="shared" si="11"/>
        <v>3.4551479032114423</v>
      </c>
      <c r="AQ6" s="12">
        <f t="shared" si="12"/>
        <v>-6.9114759598929432E-3</v>
      </c>
      <c r="AR6" s="18">
        <f t="shared" si="13"/>
        <v>258.25714421692993</v>
      </c>
      <c r="AS6" s="18">
        <f t="shared" si="14"/>
        <v>47.117783995919069</v>
      </c>
      <c r="AT6" s="18">
        <f t="shared" si="15"/>
        <v>132.43337083858148</v>
      </c>
      <c r="AU6" s="31"/>
      <c r="AV6" s="11">
        <f t="shared" si="50"/>
        <v>-0.98431226867785426</v>
      </c>
      <c r="AW6" s="11">
        <f t="shared" si="51"/>
        <v>-0.50547711434361986</v>
      </c>
      <c r="AX6" s="11">
        <f t="shared" si="52"/>
        <v>-3.1638981011851399</v>
      </c>
      <c r="AY6" s="11">
        <f t="shared" si="53"/>
        <v>1.1603686697091664E-2</v>
      </c>
      <c r="AZ6" s="31"/>
      <c r="BB6" s="55">
        <v>0.21654572005565328</v>
      </c>
      <c r="BC6" s="55">
        <v>0.50523364660407455</v>
      </c>
      <c r="BD6" s="12">
        <f t="shared" si="66"/>
        <v>0.22676621932328164</v>
      </c>
      <c r="BE6" s="12">
        <f t="shared" si="67"/>
        <v>0.46145041845044033</v>
      </c>
      <c r="BF6" s="24">
        <v>0.69917394677785549</v>
      </c>
      <c r="BG6" s="28">
        <f t="shared" si="16"/>
        <v>0.34178713416402284</v>
      </c>
      <c r="BH6" s="28">
        <f t="shared" si="17"/>
        <v>1.020850784373168</v>
      </c>
      <c r="BI6" s="11">
        <f t="shared" si="68"/>
        <v>6.2169812768325929</v>
      </c>
      <c r="BJ6" s="22">
        <f t="shared" si="18"/>
        <v>3.4600450723697667</v>
      </c>
      <c r="BK6" s="12">
        <f t="shared" si="19"/>
        <v>-6.9263295357721022E-3</v>
      </c>
      <c r="BL6" s="22">
        <f t="shared" si="20"/>
        <v>1.6500855855416052E-2</v>
      </c>
      <c r="BM6" s="14">
        <f t="shared" si="54"/>
        <v>3.0303318355445228</v>
      </c>
      <c r="BN6" s="14">
        <f t="shared" si="69"/>
        <v>6.4575180391296989</v>
      </c>
      <c r="BO6" s="14">
        <f t="shared" si="70"/>
        <v>2.7677251959656672</v>
      </c>
      <c r="BP6" s="14">
        <f t="shared" si="55"/>
        <v>57.089985962179931</v>
      </c>
      <c r="BQ6" s="15">
        <f t="shared" si="56"/>
        <v>259.24525461863283</v>
      </c>
      <c r="BR6" s="15">
        <f t="shared" si="57"/>
        <v>47.623958836171326</v>
      </c>
      <c r="BS6" s="15">
        <f t="shared" si="58"/>
        <v>135.59925556826434</v>
      </c>
      <c r="BT6" s="32">
        <f t="shared" si="21"/>
        <v>258.3527046289189</v>
      </c>
      <c r="BU6" s="32">
        <f t="shared" si="22"/>
        <v>47.131631719448166</v>
      </c>
      <c r="BV6" s="32">
        <f t="shared" si="23"/>
        <v>132.48145511596567</v>
      </c>
      <c r="BW6" s="11">
        <f t="shared" si="59"/>
        <v>-0.89254998971392752</v>
      </c>
      <c r="BX6" s="22">
        <f t="shared" si="60"/>
        <v>-3.1158138238009485</v>
      </c>
      <c r="BY6" s="22">
        <f t="shared" si="61"/>
        <v>-0.4916293908145235</v>
      </c>
      <c r="BZ6" s="22">
        <f t="shared" si="25"/>
        <v>174.43853828695009</v>
      </c>
      <c r="CA6" s="22">
        <f t="shared" si="26"/>
        <v>6.4463922287076896</v>
      </c>
      <c r="CB6" s="22">
        <f t="shared" si="27"/>
        <v>2.7533819309286676</v>
      </c>
      <c r="CC6" s="22">
        <f t="shared" si="28"/>
        <v>6.1779081166908778</v>
      </c>
      <c r="CD6" s="22">
        <f t="shared" si="29"/>
        <v>3.045624127897069</v>
      </c>
      <c r="CE6" s="22">
        <f t="shared" si="30"/>
        <v>53.453228934259549</v>
      </c>
      <c r="CF6" s="22">
        <f t="shared" si="31"/>
        <v>52.394412071683377</v>
      </c>
      <c r="CG6" s="22">
        <f t="shared" si="32"/>
        <v>52.923820502971466</v>
      </c>
      <c r="CH6" s="28">
        <f t="shared" si="33"/>
        <v>-1.1220419181183772E-2</v>
      </c>
      <c r="CI6" s="28">
        <f t="shared" si="34"/>
        <v>-1.4383814834141528E-2</v>
      </c>
      <c r="CJ6" s="28"/>
      <c r="CK6" s="28">
        <f t="shared" si="35"/>
        <v>1.5247895119257837E-2</v>
      </c>
      <c r="CL6" s="24"/>
      <c r="CM6" s="24"/>
      <c r="CN6" s="24"/>
      <c r="CQ6" s="31"/>
      <c r="CR6" s="33"/>
      <c r="CS6" s="33"/>
      <c r="CT6" s="26"/>
      <c r="DA6" s="28"/>
      <c r="DB6" s="28"/>
      <c r="DC6" s="28"/>
      <c r="DD6" s="28"/>
      <c r="DI6" s="24"/>
      <c r="DL6" s="1"/>
    </row>
    <row r="7" spans="1:140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2"/>
        <v>0.22496299651535173</v>
      </c>
      <c r="I7" s="12">
        <f t="shared" si="63"/>
        <v>0.45795413466486506</v>
      </c>
      <c r="J7" s="12">
        <f t="shared" si="36"/>
        <v>6.7752570964450462E-2</v>
      </c>
      <c r="K7" s="13">
        <f t="shared" si="37"/>
        <v>6.7572184649524539E-2</v>
      </c>
      <c r="L7" s="13">
        <f>SUM(K$3:$K7)</f>
        <v>0.31288018996519573</v>
      </c>
      <c r="M7" s="72">
        <f t="shared" si="64"/>
        <v>0.69786918681435062</v>
      </c>
      <c r="N7" s="12">
        <f t="shared" si="38"/>
        <v>1.4984065271274547E-4</v>
      </c>
      <c r="O7" s="21">
        <f t="shared" si="39"/>
        <v>1.0840844214984978E-8</v>
      </c>
      <c r="P7" s="11">
        <f>SUM(O$2:$O7)</f>
        <v>5.8529273798680891E-8</v>
      </c>
      <c r="Q7" s="12">
        <f t="shared" si="40"/>
        <v>1.0087543296472211E-3</v>
      </c>
      <c r="R7" s="3">
        <f t="shared" si="0"/>
        <v>0.33987722970857365</v>
      </c>
      <c r="S7" s="1">
        <f t="shared" si="41"/>
        <v>1.4738548434073515E-3</v>
      </c>
      <c r="T7" s="1">
        <f t="shared" si="42"/>
        <v>0.97410123126784076</v>
      </c>
      <c r="U7" s="1">
        <f t="shared" si="43"/>
        <v>4.2261424402322972E-3</v>
      </c>
      <c r="V7" s="11">
        <f t="shared" si="44"/>
        <v>6.2519169512531709</v>
      </c>
      <c r="W7" s="12">
        <f t="shared" si="45"/>
        <v>4.3201154163146044E-2</v>
      </c>
      <c r="X7" s="13">
        <f t="shared" si="1"/>
        <v>-8.823634962252358E-3</v>
      </c>
      <c r="Y7" s="12">
        <f t="shared" si="2"/>
        <v>1.1176083941345838E-2</v>
      </c>
      <c r="Z7" s="12">
        <f t="shared" si="3"/>
        <v>4.1402548548147428E-3</v>
      </c>
      <c r="AA7" s="12" t="e">
        <f>SQRT((Q7/M7)^2 + (0.0002/H7)^2)*#REF!</f>
        <v>#REF!</v>
      </c>
      <c r="AB7" s="12">
        <f t="shared" si="4"/>
        <v>4.6021657671480214E-3</v>
      </c>
      <c r="AC7" s="1">
        <f t="shared" si="46"/>
        <v>3.0477689095439984</v>
      </c>
      <c r="AD7" s="1">
        <f t="shared" si="47"/>
        <v>6.4994933229262175</v>
      </c>
      <c r="AE7" s="14">
        <f t="shared" si="48"/>
        <v>2.7625602194354033</v>
      </c>
      <c r="AF7" s="14">
        <f t="shared" si="5"/>
        <v>58.073402146929546</v>
      </c>
      <c r="AG7" s="14" t="e">
        <f>V7*#REF!*#REF!</f>
        <v>#REF!</v>
      </c>
      <c r="AH7" s="15">
        <f t="shared" si="6"/>
        <v>264.10231265662583</v>
      </c>
      <c r="AI7" s="16">
        <f t="shared" si="7"/>
        <v>47.71299820911841</v>
      </c>
      <c r="AJ7" s="15">
        <f t="shared" si="8"/>
        <v>137.59510442495557</v>
      </c>
      <c r="AK7" s="7"/>
      <c r="AL7" s="12">
        <f t="shared" si="49"/>
        <v>0.69786918681435062</v>
      </c>
      <c r="AM7" s="14">
        <f t="shared" si="9"/>
        <v>0.33987722970857365</v>
      </c>
      <c r="AN7" s="14">
        <f t="shared" si="10"/>
        <v>1.0265873483174337</v>
      </c>
      <c r="AO7" s="11">
        <f t="shared" si="65"/>
        <v>6.2519169512531709</v>
      </c>
      <c r="AP7" s="11">
        <f t="shared" si="11"/>
        <v>4.4504059446760396</v>
      </c>
      <c r="AQ7" s="12">
        <f t="shared" si="12"/>
        <v>-8.8236349221977317E-3</v>
      </c>
      <c r="AR7" s="18">
        <f t="shared" si="13"/>
        <v>263.46313454416816</v>
      </c>
      <c r="AS7" s="18">
        <f t="shared" si="14"/>
        <v>47.336980695036225</v>
      </c>
      <c r="AT7" s="18">
        <f t="shared" si="15"/>
        <v>135.39973166240893</v>
      </c>
      <c r="AU7" s="17"/>
      <c r="AV7" s="11">
        <f t="shared" si="50"/>
        <v>-0.63917811245767098</v>
      </c>
      <c r="AW7" s="11">
        <f t="shared" si="51"/>
        <v>-0.37601751408218576</v>
      </c>
      <c r="AX7" s="11">
        <f t="shared" si="52"/>
        <v>-2.1953727625466399</v>
      </c>
      <c r="AY7" s="11">
        <f t="shared" si="53"/>
        <v>1.6842765913763103E-2</v>
      </c>
      <c r="AZ7" s="17"/>
      <c r="BA7" s="2"/>
      <c r="BB7" s="12">
        <v>0.21474572005565329</v>
      </c>
      <c r="BC7" s="12">
        <v>0.50523364660407455</v>
      </c>
      <c r="BD7" s="12">
        <f t="shared" si="66"/>
        <v>0.22496299651535173</v>
      </c>
      <c r="BE7" s="12">
        <f t="shared" si="67"/>
        <v>0.45795413466486506</v>
      </c>
      <c r="BF7" s="12">
        <v>0.69804545423270248</v>
      </c>
      <c r="BG7" s="14">
        <f t="shared" si="16"/>
        <v>0.34013483277844941</v>
      </c>
      <c r="BH7" s="14">
        <f t="shared" si="17"/>
        <v>1.0258098564908484</v>
      </c>
      <c r="BI7" s="11">
        <f t="shared" si="68"/>
        <v>6.2471820260292681</v>
      </c>
      <c r="BJ7" s="11">
        <f t="shared" si="18"/>
        <v>4.3132768670434771</v>
      </c>
      <c r="BK7" s="12">
        <f t="shared" si="19"/>
        <v>-8.5666954805539985E-3</v>
      </c>
      <c r="BL7" s="11">
        <f t="shared" si="20"/>
        <v>-0.12028631171879933</v>
      </c>
      <c r="BM7" s="14">
        <f t="shared" si="54"/>
        <v>3.048538713351888</v>
      </c>
      <c r="BN7" s="14">
        <f t="shared" si="69"/>
        <v>6.5011349614027019</v>
      </c>
      <c r="BO7" s="14">
        <f t="shared" si="70"/>
        <v>2.7632579853879946</v>
      </c>
      <c r="BP7" s="14">
        <f t="shared" si="55"/>
        <v>58.05873770264548</v>
      </c>
      <c r="BQ7" s="15">
        <f t="shared" si="56"/>
        <v>264.03562268314283</v>
      </c>
      <c r="BR7" s="15">
        <f t="shared" si="57"/>
        <v>47.700949929217522</v>
      </c>
      <c r="BS7" s="15">
        <f t="shared" si="58"/>
        <v>137.56035950442393</v>
      </c>
      <c r="BT7" s="18">
        <f t="shared" si="21"/>
        <v>262.92916339568319</v>
      </c>
      <c r="BU7" s="18">
        <f t="shared" si="22"/>
        <v>47.31914144592281</v>
      </c>
      <c r="BV7" s="18">
        <f t="shared" si="23"/>
        <v>135.09458333839444</v>
      </c>
      <c r="BW7" s="11">
        <f t="shared" si="59"/>
        <v>-1.1064592874596428</v>
      </c>
      <c r="BX7" s="11">
        <f t="shared" si="60"/>
        <v>-2.5005210865611218</v>
      </c>
      <c r="BY7" s="11">
        <f t="shared" si="61"/>
        <v>-0.39385676319560048</v>
      </c>
      <c r="BZ7" s="11">
        <f t="shared" si="25"/>
        <v>177.70611002415737</v>
      </c>
      <c r="CA7" s="11">
        <f t="shared" si="26"/>
        <v>6.4874989359731607</v>
      </c>
      <c r="CB7" s="11">
        <f t="shared" si="27"/>
        <v>2.7521769166141832</v>
      </c>
      <c r="CC7" s="11">
        <f t="shared" si="28"/>
        <v>6.2084706335086812</v>
      </c>
      <c r="CD7" s="11">
        <f t="shared" si="29"/>
        <v>3.0570815254913857</v>
      </c>
      <c r="CE7" s="11">
        <f t="shared" si="30"/>
        <v>53.958400879011435</v>
      </c>
      <c r="CF7" s="11">
        <f t="shared" si="31"/>
        <v>52.804037713199058</v>
      </c>
      <c r="CG7" s="11">
        <f t="shared" si="32"/>
        <v>53.381219296105243</v>
      </c>
      <c r="CH7" s="14">
        <f t="shared" si="33"/>
        <v>-1.1994386953056768E-2</v>
      </c>
      <c r="CI7" s="14">
        <f t="shared" si="34"/>
        <v>-1.0383302821220131E-2</v>
      </c>
      <c r="CJ7" s="14"/>
      <c r="CK7" s="14">
        <f t="shared" si="35"/>
        <v>9.3126159473873038E-3</v>
      </c>
      <c r="CL7" s="12"/>
      <c r="CM7" s="12"/>
      <c r="CN7" s="12"/>
      <c r="CQ7" s="17"/>
      <c r="CR7" s="20"/>
      <c r="CS7" s="20"/>
      <c r="CT7" s="21"/>
      <c r="DA7" s="14"/>
      <c r="DB7" s="14"/>
      <c r="DC7" s="14"/>
      <c r="DD7" s="14"/>
      <c r="DI7" s="12"/>
    </row>
    <row r="8" spans="1:140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2"/>
        <v>0.22376844444720004</v>
      </c>
      <c r="I8" s="12">
        <f t="shared" si="63"/>
        <v>0.45559644121199777</v>
      </c>
      <c r="J8" s="12">
        <f t="shared" si="36"/>
        <v>6.6906826011438006E-2</v>
      </c>
      <c r="K8" s="13">
        <f t="shared" si="37"/>
        <v>4.6370558765561537E-2</v>
      </c>
      <c r="L8" s="13">
        <f>SUM(K$3:$K8)</f>
        <v>0.35925074873075724</v>
      </c>
      <c r="M8" s="72">
        <f t="shared" si="64"/>
        <v>0.69696964046142695</v>
      </c>
      <c r="N8" s="12">
        <f t="shared" si="38"/>
        <v>1.4761406785215972E-4</v>
      </c>
      <c r="O8" s="21">
        <f t="shared" si="39"/>
        <v>5.0935317558639293E-9</v>
      </c>
      <c r="P8" s="11">
        <f>SUM(O$2:$O8)</f>
        <v>6.3622805554544815E-8</v>
      </c>
      <c r="Q8" s="12">
        <f t="shared" si="40"/>
        <v>1.0100455244284744E-3</v>
      </c>
      <c r="R8" s="13">
        <f t="shared" si="0"/>
        <v>0.33856462811602611</v>
      </c>
      <c r="S8" s="1">
        <f t="shared" si="41"/>
        <v>1.4719393823179393E-3</v>
      </c>
      <c r="T8" s="1">
        <f t="shared" si="42"/>
        <v>0.97033926454661901</v>
      </c>
      <c r="U8" s="1">
        <f t="shared" si="43"/>
        <v>4.2206526549729492E-3</v>
      </c>
      <c r="V8" s="11">
        <f t="shared" si="44"/>
        <v>6.2761553845246993</v>
      </c>
      <c r="W8" s="12">
        <f t="shared" si="45"/>
        <v>4.3412611216708315E-2</v>
      </c>
      <c r="X8" s="13">
        <f t="shared" si="1"/>
        <v>-1.0137912639859303E-2</v>
      </c>
      <c r="Y8" s="12">
        <f t="shared" si="2"/>
        <v>1.1276990001382308E-2</v>
      </c>
      <c r="Z8" s="12">
        <f t="shared" si="3"/>
        <v>4.144813173702821E-3</v>
      </c>
      <c r="AA8" s="12" t="e">
        <f>SQRT((Q8/M8)^2 + (0.0002/H8)^2)*#REF!</f>
        <v>#REF!</v>
      </c>
      <c r="AB8" s="12">
        <f t="shared" si="4"/>
        <v>4.6329100092149748E-3</v>
      </c>
      <c r="AC8" s="1">
        <f t="shared" si="46"/>
        <v>3.0595921188818664</v>
      </c>
      <c r="AD8" s="1">
        <f t="shared" si="47"/>
        <v>6.5337110140256458</v>
      </c>
      <c r="AE8" s="14">
        <f t="shared" si="48"/>
        <v>2.7589993071368264</v>
      </c>
      <c r="AF8" s="14">
        <f t="shared" si="5"/>
        <v>58.751742859992646</v>
      </c>
      <c r="AG8" s="14" t="e">
        <f>V8*#REF!*#REF!</f>
        <v>#REF!</v>
      </c>
      <c r="AH8" s="15">
        <f t="shared" si="6"/>
        <v>267.92517973144618</v>
      </c>
      <c r="AI8" s="16">
        <f t="shared" si="7"/>
        <v>47.774579160474708</v>
      </c>
      <c r="AJ8" s="15">
        <f t="shared" si="8"/>
        <v>139.44453031194297</v>
      </c>
      <c r="AK8" s="7"/>
      <c r="AL8" s="12">
        <f t="shared" si="49"/>
        <v>0.69696964046142695</v>
      </c>
      <c r="AM8" s="14">
        <f t="shared" si="9"/>
        <v>0.33856462811602611</v>
      </c>
      <c r="AN8" s="14">
        <f t="shared" si="10"/>
        <v>1.0305673866214613</v>
      </c>
      <c r="AO8" s="11">
        <f t="shared" si="65"/>
        <v>6.2761553845246993</v>
      </c>
      <c r="AP8" s="11">
        <f t="shared" si="11"/>
        <v>5.1444881983889887</v>
      </c>
      <c r="AQ8" s="12">
        <f t="shared" si="12"/>
        <v>-1.0137912593779275E-2</v>
      </c>
      <c r="AR8" s="18">
        <f t="shared" si="13"/>
        <v>267.07303791297892</v>
      </c>
      <c r="AS8" s="18">
        <f t="shared" si="14"/>
        <v>47.480083798071668</v>
      </c>
      <c r="AT8" s="18">
        <f t="shared" si="15"/>
        <v>137.46194651733271</v>
      </c>
      <c r="AU8" s="17"/>
      <c r="AV8" s="11">
        <f t="shared" si="50"/>
        <v>-0.85214181846725978</v>
      </c>
      <c r="AW8" s="11">
        <f t="shared" si="51"/>
        <v>-0.29449536240304042</v>
      </c>
      <c r="AX8" s="11">
        <f t="shared" si="52"/>
        <v>-1.9825837946102638</v>
      </c>
      <c r="AY8" s="11">
        <f t="shared" si="53"/>
        <v>2.2216176323865078E-2</v>
      </c>
      <c r="AZ8" s="17"/>
      <c r="BA8" s="2"/>
      <c r="BB8" s="12">
        <v>0.21334572005565328</v>
      </c>
      <c r="BC8" s="12">
        <v>0.50523364660407455</v>
      </c>
      <c r="BD8" s="12">
        <f t="shared" si="66"/>
        <v>0.22376844444720004</v>
      </c>
      <c r="BE8" s="12">
        <f t="shared" si="67"/>
        <v>0.45559644121199777</v>
      </c>
      <c r="BF8" s="12">
        <v>0.6971320441092701</v>
      </c>
      <c r="BG8" s="14">
        <f t="shared" si="16"/>
        <v>0.33880135411028089</v>
      </c>
      <c r="BH8" s="14">
        <f t="shared" si="17"/>
        <v>1.0298473124945877</v>
      </c>
      <c r="BI8" s="11">
        <f t="shared" si="68"/>
        <v>6.2717701330920388</v>
      </c>
      <c r="BJ8" s="11">
        <f t="shared" si="18"/>
        <v>5.0165915841400102</v>
      </c>
      <c r="BK8" s="12">
        <f t="shared" si="19"/>
        <v>-9.9002571639407178E-3</v>
      </c>
      <c r="BL8" s="11">
        <f t="shared" si="20"/>
        <v>-0.1056804379251135</v>
      </c>
      <c r="BM8" s="14">
        <f t="shared" si="54"/>
        <v>3.0603050465219992</v>
      </c>
      <c r="BN8" s="14">
        <f t="shared" si="69"/>
        <v>6.5352334598267685</v>
      </c>
      <c r="BO8" s="14">
        <f t="shared" si="70"/>
        <v>2.7596421924590322</v>
      </c>
      <c r="BP8" s="14">
        <f t="shared" si="55"/>
        <v>58.738056073625202</v>
      </c>
      <c r="BQ8" s="15">
        <f t="shared" si="56"/>
        <v>267.86276397118218</v>
      </c>
      <c r="BR8" s="15">
        <f t="shared" si="57"/>
        <v>47.763449610491463</v>
      </c>
      <c r="BS8" s="15">
        <f t="shared" si="58"/>
        <v>139.41204536079806</v>
      </c>
      <c r="BT8" s="18">
        <f t="shared" si="21"/>
        <v>266.68208087774599</v>
      </c>
      <c r="BU8" s="18">
        <f t="shared" si="22"/>
        <v>47.464805523455453</v>
      </c>
      <c r="BV8" s="18">
        <f t="shared" si="23"/>
        <v>137.24227169236289</v>
      </c>
      <c r="BW8" s="11">
        <f t="shared" si="59"/>
        <v>-1.1806830934361869</v>
      </c>
      <c r="BX8" s="11">
        <f t="shared" si="60"/>
        <v>-2.2022586195800784</v>
      </c>
      <c r="BY8" s="11">
        <f t="shared" si="61"/>
        <v>-0.30977363701925498</v>
      </c>
      <c r="BZ8" s="11">
        <f t="shared" si="25"/>
        <v>180.38887475415723</v>
      </c>
      <c r="CA8" s="11">
        <f t="shared" si="26"/>
        <v>6.5208145816546477</v>
      </c>
      <c r="CB8" s="11">
        <f t="shared" si="27"/>
        <v>2.7510012427648887</v>
      </c>
      <c r="CC8" s="11">
        <f t="shared" si="28"/>
        <v>6.2331944715665522</v>
      </c>
      <c r="CD8" s="11">
        <f t="shared" si="29"/>
        <v>3.0662949712364114</v>
      </c>
      <c r="CE8" s="11">
        <f t="shared" si="30"/>
        <v>54.366845151149889</v>
      </c>
      <c r="CF8" s="11">
        <f t="shared" si="31"/>
        <v>53.130942950737321</v>
      </c>
      <c r="CG8" s="11">
        <f t="shared" si="32"/>
        <v>53.748894050943605</v>
      </c>
      <c r="CH8" s="14">
        <f t="shared" si="33"/>
        <v>-1.2896432370998134E-2</v>
      </c>
      <c r="CI8" s="14">
        <f t="shared" si="34"/>
        <v>-7.9980643719377298E-3</v>
      </c>
      <c r="CJ8" s="14"/>
      <c r="CK8" s="14">
        <f t="shared" si="35"/>
        <v>6.7028523545449303E-3</v>
      </c>
      <c r="CL8" s="12"/>
      <c r="CM8" s="12"/>
      <c r="CN8" s="12"/>
      <c r="CQ8" s="17"/>
      <c r="CR8" s="20"/>
      <c r="CS8" s="20"/>
      <c r="CT8" s="21"/>
      <c r="DA8" s="14"/>
      <c r="DB8" s="14"/>
      <c r="DC8" s="14"/>
      <c r="DD8" s="14"/>
      <c r="DI8" s="12"/>
    </row>
    <row r="9" spans="1:140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2"/>
        <v>0.22268123353394198</v>
      </c>
      <c r="I9" s="12">
        <f t="shared" si="63"/>
        <v>0.4534778579370875</v>
      </c>
      <c r="J9" s="12">
        <f t="shared" si="36"/>
        <v>6.5791366447291097E-2</v>
      </c>
      <c r="K9" s="13">
        <f t="shared" si="37"/>
        <v>4.283925873592298E-2</v>
      </c>
      <c r="L9" s="13">
        <f>SUM(K$3:$K9)</f>
        <v>0.40209000746668022</v>
      </c>
      <c r="M9" s="72">
        <f t="shared" si="64"/>
        <v>0.69614065647633716</v>
      </c>
      <c r="N9" s="12">
        <f t="shared" si="38"/>
        <v>1.4548020576010275E-4</v>
      </c>
      <c r="O9" s="21">
        <f t="shared" si="39"/>
        <v>4.3650510903554069E-9</v>
      </c>
      <c r="P9" s="11">
        <f>SUM(O$2:$O9)</f>
        <v>6.7987856644900228E-8</v>
      </c>
      <c r="Q9" s="12">
        <f t="shared" si="40"/>
        <v>1.0112367089195413E-3</v>
      </c>
      <c r="R9" s="3">
        <f t="shared" si="0"/>
        <v>0.337357986055209</v>
      </c>
      <c r="S9" s="1">
        <f t="shared" si="41"/>
        <v>1.4701717664630761E-3</v>
      </c>
      <c r="T9" s="1">
        <f t="shared" si="42"/>
        <v>0.96688098192454008</v>
      </c>
      <c r="U9" s="1">
        <f t="shared" si="43"/>
        <v>4.2155865998503191E-3</v>
      </c>
      <c r="V9" s="11">
        <f t="shared" si="44"/>
        <v>6.2986035653303309</v>
      </c>
      <c r="W9" s="12">
        <f t="shared" si="45"/>
        <v>4.3608734406499948E-2</v>
      </c>
      <c r="X9" s="13">
        <f t="shared" si="1"/>
        <v>-1.1353609370977735E-2</v>
      </c>
      <c r="Y9" s="12">
        <f t="shared" si="2"/>
        <v>1.139299071639119E-2</v>
      </c>
      <c r="Z9" s="12">
        <f t="shared" si="3"/>
        <v>4.1578191915624518E-3</v>
      </c>
      <c r="AA9" s="12" t="e">
        <f>SQRT((Q9/M9)^2 + (0.0002/H9)^2)*#REF!</f>
        <v>#REF!</v>
      </c>
      <c r="AB9" s="12">
        <f t="shared" si="4"/>
        <v>4.6609433296916965E-3</v>
      </c>
      <c r="AC9" s="1">
        <f t="shared" si="46"/>
        <v>3.0702299761366301</v>
      </c>
      <c r="AD9" s="1">
        <f t="shared" si="47"/>
        <v>6.5752512616866117</v>
      </c>
      <c r="AE9" s="14">
        <f t="shared" si="48"/>
        <v>2.7611828808518544</v>
      </c>
      <c r="AF9" s="14">
        <f t="shared" si="5"/>
        <v>59.372603041085519</v>
      </c>
      <c r="AG9" s="14" t="e">
        <f>V9*#REF!*#REF!</f>
        <v>#REF!</v>
      </c>
      <c r="AH9" s="15">
        <f t="shared" si="6"/>
        <v>272.31338031458455</v>
      </c>
      <c r="AI9" s="16">
        <f t="shared" si="7"/>
        <v>48.021378078791912</v>
      </c>
      <c r="AJ9" s="15">
        <f t="shared" si="8"/>
        <v>142.21694927011987</v>
      </c>
      <c r="AK9" s="7"/>
      <c r="AL9" s="12">
        <f t="shared" si="49"/>
        <v>0.69614065647633716</v>
      </c>
      <c r="AM9" s="14">
        <f t="shared" si="9"/>
        <v>0.337357986055209</v>
      </c>
      <c r="AN9" s="14">
        <f t="shared" si="10"/>
        <v>1.0342534590033385</v>
      </c>
      <c r="AO9" s="11">
        <f t="shared" si="65"/>
        <v>6.2986035653303309</v>
      </c>
      <c r="AP9" s="11">
        <f t="shared" si="11"/>
        <v>5.7938134932567147</v>
      </c>
      <c r="AQ9" s="12">
        <f t="shared" si="12"/>
        <v>-1.1353609319310842E-2</v>
      </c>
      <c r="AR9" s="18">
        <f t="shared" si="13"/>
        <v>270.43520367294605</v>
      </c>
      <c r="AS9" s="18">
        <f t="shared" si="14"/>
        <v>47.60685836128193</v>
      </c>
      <c r="AT9" s="18">
        <f t="shared" si="15"/>
        <v>139.38652185939509</v>
      </c>
      <c r="AU9" s="17"/>
      <c r="AV9" s="11">
        <f t="shared" si="50"/>
        <v>-1.878176641638504</v>
      </c>
      <c r="AW9" s="11">
        <f t="shared" si="51"/>
        <v>-0.4145197175099824</v>
      </c>
      <c r="AX9" s="11">
        <f t="shared" si="52"/>
        <v>-2.8304274107247807</v>
      </c>
      <c r="AY9" s="11">
        <f t="shared" si="53"/>
        <v>2.5876930595130965E-2</v>
      </c>
      <c r="AZ9" s="17"/>
      <c r="BA9" s="2"/>
      <c r="BB9" s="12">
        <v>0.21174572005565329</v>
      </c>
      <c r="BC9" s="12">
        <v>0.50423364660407455</v>
      </c>
      <c r="BD9" s="12">
        <f t="shared" si="66"/>
        <v>0.22268123353394198</v>
      </c>
      <c r="BE9" s="12">
        <f t="shared" si="67"/>
        <v>0.4534778579370875</v>
      </c>
      <c r="BF9" s="12">
        <v>0.69601338984367045</v>
      </c>
      <c r="BG9" s="14">
        <f t="shared" si="16"/>
        <v>0.33717299513788995</v>
      </c>
      <c r="BH9" s="14">
        <f t="shared" si="17"/>
        <v>1.0348209050885244</v>
      </c>
      <c r="BI9" s="11">
        <f t="shared" si="68"/>
        <v>6.3020593119891144</v>
      </c>
      <c r="BJ9" s="11">
        <f t="shared" si="18"/>
        <v>5.8936821879180377</v>
      </c>
      <c r="BK9" s="12">
        <f t="shared" si="19"/>
        <v>-1.1540629289756188E-2</v>
      </c>
      <c r="BL9" s="11">
        <f t="shared" si="20"/>
        <v>0.12574562525645394</v>
      </c>
      <c r="BM9" s="14">
        <f t="shared" si="54"/>
        <v>3.0696686846405221</v>
      </c>
      <c r="BN9" s="14">
        <f t="shared" si="69"/>
        <v>6.5740491912727848</v>
      </c>
      <c r="BO9" s="14">
        <f t="shared" si="70"/>
        <v>2.760678088545653</v>
      </c>
      <c r="BP9" s="14">
        <f t="shared" si="55"/>
        <v>59.383459371397507</v>
      </c>
      <c r="BQ9" s="15">
        <f t="shared" si="56"/>
        <v>272.36317304479422</v>
      </c>
      <c r="BR9" s="15">
        <f t="shared" si="57"/>
        <v>48.030158828089675</v>
      </c>
      <c r="BS9" s="15">
        <f t="shared" si="58"/>
        <v>142.24295375869139</v>
      </c>
      <c r="BT9" s="18">
        <f t="shared" si="21"/>
        <v>271.3384277103068</v>
      </c>
      <c r="BU9" s="18">
        <f t="shared" si="22"/>
        <v>47.635469364030698</v>
      </c>
      <c r="BV9" s="18">
        <f t="shared" si="23"/>
        <v>139.91293321174606</v>
      </c>
      <c r="BW9" s="11">
        <f t="shared" si="59"/>
        <v>-1.0247453344874202</v>
      </c>
      <c r="BX9" s="11">
        <f t="shared" si="60"/>
        <v>-2.3040160583738043</v>
      </c>
      <c r="BY9" s="11">
        <f t="shared" si="61"/>
        <v>-0.38590871476121436</v>
      </c>
      <c r="BZ9" s="11">
        <f t="shared" si="25"/>
        <v>183.72143137793296</v>
      </c>
      <c r="CA9" s="11">
        <f t="shared" si="26"/>
        <v>6.5616703613574234</v>
      </c>
      <c r="CB9" s="11">
        <f t="shared" si="27"/>
        <v>2.7493117064151926</v>
      </c>
      <c r="CC9" s="11">
        <f t="shared" si="28"/>
        <v>6.2634567112283195</v>
      </c>
      <c r="CD9" s="11">
        <f t="shared" si="29"/>
        <v>3.0775040413278174</v>
      </c>
      <c r="CE9" s="11">
        <f t="shared" si="30"/>
        <v>54.866380518130562</v>
      </c>
      <c r="CF9" s="11">
        <f t="shared" si="31"/>
        <v>53.52529550072304</v>
      </c>
      <c r="CG9" s="11">
        <f t="shared" si="32"/>
        <v>54.195838009426801</v>
      </c>
      <c r="CH9" s="14">
        <f t="shared" si="33"/>
        <v>-1.3580900329188239E-2</v>
      </c>
      <c r="CI9" s="14">
        <f t="shared" si="34"/>
        <v>-1.1871174436661747E-2</v>
      </c>
      <c r="CJ9" s="14"/>
      <c r="CK9" s="14">
        <f t="shared" si="35"/>
        <v>7.27406519118734E-3</v>
      </c>
      <c r="CL9" s="12"/>
      <c r="CM9" s="12"/>
      <c r="CN9" s="12"/>
      <c r="CQ9" s="17"/>
      <c r="CR9" s="20"/>
      <c r="CS9" s="20"/>
      <c r="CT9" s="21"/>
      <c r="DA9" s="14"/>
      <c r="DB9" s="14"/>
      <c r="DC9" s="14"/>
      <c r="DD9" s="14"/>
      <c r="DI9" s="12"/>
    </row>
    <row r="10" spans="1:140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2"/>
        <v>0.22134156987383763</v>
      </c>
      <c r="I10" s="12">
        <f t="shared" si="63"/>
        <v>0.45099458602459414</v>
      </c>
      <c r="J10" s="12">
        <f t="shared" si="36"/>
        <v>6.5340990449947026E-2</v>
      </c>
      <c r="K10" s="13">
        <f t="shared" si="37"/>
        <v>5.3622758216477759E-2</v>
      </c>
      <c r="L10" s="13">
        <f>SUM(K$3:$K10)</f>
        <v>0.45571276568315799</v>
      </c>
      <c r="M10" s="72">
        <f t="shared" si="64"/>
        <v>0.69510577555992392</v>
      </c>
      <c r="N10" s="12">
        <f t="shared" si="38"/>
        <v>1.4393847616358112E-4</v>
      </c>
      <c r="O10" s="21">
        <f t="shared" si="39"/>
        <v>6.8066340632979484E-9</v>
      </c>
      <c r="P10" s="11">
        <f>SUM(O$2:$O10)</f>
        <v>7.4794490708198178E-8</v>
      </c>
      <c r="Q10" s="12">
        <f t="shared" si="40"/>
        <v>1.012725351222809E-3</v>
      </c>
      <c r="R10" s="3">
        <f t="shared" si="0"/>
        <v>0.33585567504863822</v>
      </c>
      <c r="S10" s="1">
        <f t="shared" si="41"/>
        <v>1.4679617193505124E-3</v>
      </c>
      <c r="T10" s="1">
        <f t="shared" si="42"/>
        <v>0.96257530071576181</v>
      </c>
      <c r="U10" s="1">
        <f t="shared" si="43"/>
        <v>4.2092525197021599E-3</v>
      </c>
      <c r="V10" s="11">
        <f t="shared" si="44"/>
        <v>6.3267777549159359</v>
      </c>
      <c r="W10" s="12">
        <f t="shared" si="45"/>
        <v>4.3855268565382625E-2</v>
      </c>
      <c r="X10" s="13">
        <f t="shared" si="1"/>
        <v>-1.2877360273602423E-2</v>
      </c>
      <c r="Y10" s="12">
        <f t="shared" si="2"/>
        <v>1.1469958412345247E-2</v>
      </c>
      <c r="Z10" s="12">
        <f t="shared" si="3"/>
        <v>4.1630875580074703E-3</v>
      </c>
      <c r="AA10" s="12" t="e">
        <f>SQRT((Q10/M10)^2 + (0.0002/H10)^2)*#REF!</f>
        <v>#REF!</v>
      </c>
      <c r="AB10" s="12">
        <f t="shared" si="4"/>
        <v>4.6945122264417799E-3</v>
      </c>
      <c r="AC10" s="1">
        <f t="shared" si="46"/>
        <v>3.0825459865809459</v>
      </c>
      <c r="AD10" s="1">
        <f t="shared" si="47"/>
        <v>6.5966300561298405</v>
      </c>
      <c r="AE10" s="14">
        <f t="shared" si="48"/>
        <v>2.7570781134552993</v>
      </c>
      <c r="AF10" s="14">
        <f t="shared" si="5"/>
        <v>60.117610114899747</v>
      </c>
      <c r="AG10" s="14" t="e">
        <f>V10*#REF!*#REF!</f>
        <v>#REF!</v>
      </c>
      <c r="AH10" s="15">
        <f t="shared" si="6"/>
        <v>275.31307516027482</v>
      </c>
      <c r="AI10" s="16">
        <f t="shared" si="7"/>
        <v>48.092872820313204</v>
      </c>
      <c r="AJ10" s="15">
        <f t="shared" si="8"/>
        <v>143.05311763588881</v>
      </c>
      <c r="AK10" s="7"/>
      <c r="AL10" s="12">
        <f t="shared" si="49"/>
        <v>0.69510577555992392</v>
      </c>
      <c r="AM10" s="14">
        <f t="shared" si="9"/>
        <v>0.33585567504863822</v>
      </c>
      <c r="AN10" s="14">
        <f t="shared" si="10"/>
        <v>1.0388797627119766</v>
      </c>
      <c r="AO10" s="11">
        <f t="shared" si="65"/>
        <v>6.3267777549159359</v>
      </c>
      <c r="AP10" s="11">
        <f t="shared" si="11"/>
        <v>6.6176397248371019</v>
      </c>
      <c r="AQ10" s="12">
        <f t="shared" si="12"/>
        <v>-1.2877360214914479E-2</v>
      </c>
      <c r="AR10" s="18">
        <f t="shared" si="13"/>
        <v>274.68065253539442</v>
      </c>
      <c r="AS10" s="18">
        <f t="shared" si="14"/>
        <v>47.758022253767074</v>
      </c>
      <c r="AT10" s="18">
        <f t="shared" si="15"/>
        <v>141.82203509618404</v>
      </c>
      <c r="AU10" s="17"/>
      <c r="AV10" s="11">
        <f t="shared" si="50"/>
        <v>-0.63242262488040524</v>
      </c>
      <c r="AW10" s="11">
        <f t="shared" si="51"/>
        <v>-0.33485056654613032</v>
      </c>
      <c r="AX10" s="11">
        <f t="shared" si="52"/>
        <v>-1.2310825397047722</v>
      </c>
      <c r="AY10" s="11">
        <f t="shared" si="53"/>
        <v>3.1861410753339037E-2</v>
      </c>
      <c r="AZ10" s="17"/>
      <c r="BA10" s="2"/>
      <c r="BB10" s="12">
        <v>0.21074572005565329</v>
      </c>
      <c r="BC10" s="12">
        <v>0.50423364660407455</v>
      </c>
      <c r="BD10" s="12">
        <f t="shared" si="66"/>
        <v>0.22134156987383763</v>
      </c>
      <c r="BE10" s="12">
        <f t="shared" si="67"/>
        <v>0.45099458602459414</v>
      </c>
      <c r="BF10" s="12">
        <v>0.69539727621518321</v>
      </c>
      <c r="BG10" s="14">
        <f t="shared" si="16"/>
        <v>0.33627838716641362</v>
      </c>
      <c r="BH10" s="14">
        <f t="shared" si="17"/>
        <v>1.0375738593849433</v>
      </c>
      <c r="BI10" s="11">
        <f t="shared" si="68"/>
        <v>6.3188248036543042</v>
      </c>
      <c r="BJ10" s="11">
        <f t="shared" si="18"/>
        <v>6.3842556617188784</v>
      </c>
      <c r="BK10" s="12">
        <f t="shared" si="19"/>
        <v>-1.244746853496892E-2</v>
      </c>
      <c r="BL10" s="11">
        <f t="shared" si="20"/>
        <v>-0.20152265236488454</v>
      </c>
      <c r="BM10" s="14">
        <f t="shared" si="54"/>
        <v>3.0838386879316597</v>
      </c>
      <c r="BN10" s="14">
        <f t="shared" si="69"/>
        <v>6.5993964293229217</v>
      </c>
      <c r="BO10" s="14">
        <f t="shared" si="70"/>
        <v>2.7582343260849895</v>
      </c>
      <c r="BP10" s="14">
        <f t="shared" si="55"/>
        <v>60.092409667126212</v>
      </c>
      <c r="BQ10" s="15">
        <f t="shared" si="56"/>
        <v>275.19766783189488</v>
      </c>
      <c r="BR10" s="15">
        <f t="shared" si="57"/>
        <v>48.072712971518953</v>
      </c>
      <c r="BS10" s="15">
        <f t="shared" si="58"/>
        <v>142.99315180203521</v>
      </c>
      <c r="BT10" s="18">
        <f t="shared" si="21"/>
        <v>273.93156730027226</v>
      </c>
      <c r="BU10" s="18">
        <f t="shared" si="22"/>
        <v>47.725713830050537</v>
      </c>
      <c r="BV10" s="18">
        <f t="shared" si="23"/>
        <v>141.40308354454038</v>
      </c>
      <c r="BW10" s="11">
        <f t="shared" si="59"/>
        <v>-1.2661005316226124</v>
      </c>
      <c r="BX10" s="11">
        <f t="shared" si="60"/>
        <v>-1.6500340913484308</v>
      </c>
      <c r="BY10" s="11">
        <f t="shared" si="61"/>
        <v>-0.36715899026266641</v>
      </c>
      <c r="BZ10" s="11">
        <f t="shared" si="25"/>
        <v>185.57924479645101</v>
      </c>
      <c r="CA10" s="11">
        <f t="shared" si="26"/>
        <v>6.5841980233186517</v>
      </c>
      <c r="CB10" s="11">
        <f t="shared" si="27"/>
        <v>2.7482615339051013</v>
      </c>
      <c r="CC10" s="11">
        <f t="shared" si="28"/>
        <v>6.2801158537281667</v>
      </c>
      <c r="CD10" s="11">
        <f t="shared" si="29"/>
        <v>3.0836420012580694</v>
      </c>
      <c r="CE10" s="11">
        <f t="shared" si="30"/>
        <v>55.141125049176694</v>
      </c>
      <c r="CF10" s="11">
        <f t="shared" si="31"/>
        <v>53.739525656294568</v>
      </c>
      <c r="CG10" s="11">
        <f t="shared" si="32"/>
        <v>54.440325352735627</v>
      </c>
      <c r="CH10" s="14">
        <f t="shared" si="33"/>
        <v>-1.2432032811188876E-2</v>
      </c>
      <c r="CI10" s="14">
        <f t="shared" si="34"/>
        <v>-8.8165795501979893E-3</v>
      </c>
      <c r="CJ10" s="14"/>
      <c r="CK10" s="14">
        <f t="shared" si="35"/>
        <v>1.0960146771235024E-3</v>
      </c>
      <c r="CL10" s="12"/>
      <c r="CM10" s="12"/>
      <c r="CN10" s="12"/>
      <c r="CQ10" s="17"/>
      <c r="CR10" s="20"/>
      <c r="CS10" s="20"/>
      <c r="CT10" s="21"/>
      <c r="DA10" s="14"/>
      <c r="DB10" s="14"/>
      <c r="DC10" s="14"/>
      <c r="DD10" s="14"/>
      <c r="DI10" s="12"/>
    </row>
    <row r="11" spans="1:140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2"/>
        <v>0.22024501494487403</v>
      </c>
      <c r="I11" s="12">
        <f t="shared" si="63"/>
        <v>0.44912514961026817</v>
      </c>
      <c r="J11" s="12">
        <f t="shared" si="36"/>
        <v>6.4251004848438792E-2</v>
      </c>
      <c r="K11" s="13">
        <f t="shared" si="37"/>
        <v>4.4625576591629711E-2</v>
      </c>
      <c r="L11" s="13">
        <f>SUM(K$3:$K11)</f>
        <v>0.50033834227478768</v>
      </c>
      <c r="M11" s="72">
        <f t="shared" si="64"/>
        <v>0.69424687674017704</v>
      </c>
      <c r="N11" s="12">
        <f t="shared" si="38"/>
        <v>1.4137639436247103E-4</v>
      </c>
      <c r="O11" s="21">
        <f t="shared" si="39"/>
        <v>4.6994311607138134E-9</v>
      </c>
      <c r="P11" s="11">
        <f>SUM(O$2:$O11)</f>
        <v>7.9493921868911995E-8</v>
      </c>
      <c r="Q11" s="12">
        <f t="shared" si="40"/>
        <v>1.0139621040598898E-3</v>
      </c>
      <c r="R11" s="3">
        <f t="shared" si="0"/>
        <v>0.3346122250859383</v>
      </c>
      <c r="S11" s="1">
        <f t="shared" si="41"/>
        <v>1.4661244889659492E-3</v>
      </c>
      <c r="T11" s="1">
        <f t="shared" si="42"/>
        <v>0.95901152522917055</v>
      </c>
      <c r="U11" s="1">
        <f t="shared" si="43"/>
        <v>4.203986946656091E-3</v>
      </c>
      <c r="V11" s="11">
        <f t="shared" si="44"/>
        <v>6.3502886459520909</v>
      </c>
      <c r="W11" s="12">
        <f t="shared" si="45"/>
        <v>4.4061322727346114E-2</v>
      </c>
      <c r="X11" s="13">
        <f t="shared" si="1"/>
        <v>-1.4147174422708741E-2</v>
      </c>
      <c r="Y11" s="12">
        <f t="shared" si="2"/>
        <v>1.158970028362586E-2</v>
      </c>
      <c r="Z11" s="12">
        <f t="shared" si="3"/>
        <v>4.1639366225256977E-3</v>
      </c>
      <c r="AA11" s="12" t="e">
        <f>SQRT((Q11/M11)^2 + (0.0002/H11)^2)*#REF!</f>
        <v>#REF!</v>
      </c>
      <c r="AB11" s="12">
        <f t="shared" si="4"/>
        <v>4.7204897055605722E-3</v>
      </c>
      <c r="AC11" s="1">
        <f t="shared" si="46"/>
        <v>3.091551997667533</v>
      </c>
      <c r="AD11" s="1">
        <f t="shared" si="47"/>
        <v>6.6388819867357478</v>
      </c>
      <c r="AE11" s="14">
        <f t="shared" si="48"/>
        <v>2.7514886548374342</v>
      </c>
      <c r="AF11" s="14">
        <f t="shared" si="5"/>
        <v>60.694114129304928</v>
      </c>
      <c r="AG11" s="14" t="e">
        <f>V11*#REF!*#REF!</f>
        <v>#REF!</v>
      </c>
      <c r="AH11" s="15">
        <f t="shared" si="6"/>
        <v>279.88741011399912</v>
      </c>
      <c r="AI11" s="16">
        <f t="shared" si="7"/>
        <v>48.076065591359786</v>
      </c>
      <c r="AJ11" s="15">
        <f t="shared" si="8"/>
        <v>145.88113331744412</v>
      </c>
      <c r="AK11" s="7"/>
      <c r="AL11" s="12">
        <f t="shared" si="49"/>
        <v>0.69424687674017704</v>
      </c>
      <c r="AM11" s="14">
        <f t="shared" si="9"/>
        <v>0.3346122250859383</v>
      </c>
      <c r="AN11" s="14">
        <f t="shared" si="10"/>
        <v>1.0427403359527245</v>
      </c>
      <c r="AO11" s="11">
        <f t="shared" si="65"/>
        <v>6.3502886459520909</v>
      </c>
      <c r="AP11" s="11">
        <f t="shared" si="11"/>
        <v>7.3126827683371012</v>
      </c>
      <c r="AQ11" s="12">
        <f t="shared" si="12"/>
        <v>-1.4147174358154269E-2</v>
      </c>
      <c r="AR11" s="18">
        <f t="shared" si="13"/>
        <v>278.24525267135186</v>
      </c>
      <c r="AS11" s="18">
        <f t="shared" si="14"/>
        <v>47.877300823558315</v>
      </c>
      <c r="AT11" s="18">
        <f t="shared" si="15"/>
        <v>143.87153358244515</v>
      </c>
      <c r="AU11" s="17"/>
      <c r="AV11" s="11">
        <f t="shared" si="50"/>
        <v>-1.6421574426472603</v>
      </c>
      <c r="AW11" s="11">
        <f t="shared" si="51"/>
        <v>-0.19876476780147101</v>
      </c>
      <c r="AX11" s="11">
        <f t="shared" si="52"/>
        <v>-2.0095997349989716</v>
      </c>
      <c r="AY11" s="11">
        <f t="shared" si="53"/>
        <v>3.8195610950490178E-2</v>
      </c>
      <c r="AZ11" s="17"/>
      <c r="BA11" s="2"/>
      <c r="BB11" s="12">
        <v>0.20914572005565329</v>
      </c>
      <c r="BC11" s="12">
        <v>0.5046336466040745</v>
      </c>
      <c r="BD11" s="12">
        <f t="shared" si="66"/>
        <v>0.22024501494487403</v>
      </c>
      <c r="BE11" s="12">
        <f t="shared" si="67"/>
        <v>0.44912514961026817</v>
      </c>
      <c r="BF11" s="12">
        <v>0.69426566744215223</v>
      </c>
      <c r="BG11" s="14">
        <f t="shared" si="16"/>
        <v>0.33463939597712911</v>
      </c>
      <c r="BH11" s="14">
        <f t="shared" si="17"/>
        <v>1.0426556711327748</v>
      </c>
      <c r="BI11" s="11">
        <f t="shared" si="68"/>
        <v>6.3497730371985988</v>
      </c>
      <c r="BJ11" s="11">
        <f t="shared" si="18"/>
        <v>7.2993822294915693</v>
      </c>
      <c r="BK11" s="12">
        <f t="shared" si="19"/>
        <v>-1.4119343353281355E-2</v>
      </c>
      <c r="BL11" s="11">
        <f t="shared" si="20"/>
        <v>2.4895072104958338E-2</v>
      </c>
      <c r="BM11" s="14">
        <f t="shared" si="54"/>
        <v>3.0916356745758131</v>
      </c>
      <c r="BN11" s="14">
        <f t="shared" si="69"/>
        <v>6.6390616767812354</v>
      </c>
      <c r="BO11" s="14">
        <f t="shared" si="70"/>
        <v>2.7515631274854697</v>
      </c>
      <c r="BP11" s="14">
        <f t="shared" si="55"/>
        <v>60.6924714079898</v>
      </c>
      <c r="BQ11" s="15">
        <f t="shared" si="56"/>
        <v>279.87983479930807</v>
      </c>
      <c r="BR11" s="15">
        <f t="shared" si="57"/>
        <v>48.074764384828867</v>
      </c>
      <c r="BS11" s="15">
        <f t="shared" si="58"/>
        <v>145.87718496016754</v>
      </c>
      <c r="BT11" s="18">
        <f t="shared" si="21"/>
        <v>278.74790892538016</v>
      </c>
      <c r="BU11" s="18">
        <f t="shared" si="22"/>
        <v>47.884286410385549</v>
      </c>
      <c r="BV11" s="18">
        <f t="shared" si="23"/>
        <v>144.17617025352274</v>
      </c>
      <c r="BW11" s="11">
        <f t="shared" si="59"/>
        <v>-1.1319258739279121</v>
      </c>
      <c r="BX11" s="11">
        <f t="shared" si="60"/>
        <v>-1.7049630639213831</v>
      </c>
      <c r="BY11" s="11">
        <f t="shared" si="61"/>
        <v>-0.19177918097423685</v>
      </c>
      <c r="BZ11" s="11">
        <f t="shared" si="25"/>
        <v>189.03341647747524</v>
      </c>
      <c r="CA11" s="11">
        <f t="shared" si="26"/>
        <v>6.6256228034412636</v>
      </c>
      <c r="CB11" s="11">
        <f t="shared" si="27"/>
        <v>2.7461067060385091</v>
      </c>
      <c r="CC11" s="11">
        <f t="shared" si="28"/>
        <v>6.3106980224864069</v>
      </c>
      <c r="CD11" s="11">
        <f t="shared" si="29"/>
        <v>3.0948486806384503</v>
      </c>
      <c r="CE11" s="11">
        <f t="shared" si="30"/>
        <v>55.64491958060281</v>
      </c>
      <c r="CF11" s="11">
        <f t="shared" si="31"/>
        <v>54.127224790572669</v>
      </c>
      <c r="CG11" s="11">
        <f t="shared" si="32"/>
        <v>54.886072185587736</v>
      </c>
      <c r="CH11" s="14">
        <f t="shared" si="33"/>
        <v>-1.3259183294484167E-2</v>
      </c>
      <c r="CI11" s="14">
        <f t="shared" si="34"/>
        <v>-5.3819487989250625E-3</v>
      </c>
      <c r="CJ11" s="14"/>
      <c r="CK11" s="14">
        <f t="shared" si="35"/>
        <v>3.2966829709173417E-3</v>
      </c>
      <c r="CL11" s="12"/>
      <c r="CM11" s="12"/>
      <c r="CN11" s="12"/>
      <c r="CQ11" s="17"/>
      <c r="CR11" s="20"/>
      <c r="CS11" s="20"/>
      <c r="CT11" s="21"/>
      <c r="DA11" s="14"/>
      <c r="DB11" s="14"/>
      <c r="DC11" s="14"/>
      <c r="DD11" s="14"/>
      <c r="DI11" s="12"/>
    </row>
    <row r="12" spans="1:140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2"/>
        <v>0.21937759640869217</v>
      </c>
      <c r="I12" s="12">
        <f t="shared" si="63"/>
        <v>0.44776499001184611</v>
      </c>
      <c r="J12" s="12">
        <f t="shared" si="36"/>
        <v>6.3564126613688418E-2</v>
      </c>
      <c r="K12" s="13">
        <f t="shared" si="37"/>
        <v>3.5761135859269093E-2</v>
      </c>
      <c r="L12" s="13">
        <f>SUM(K$3:$K12)</f>
        <v>0.53609947813405678</v>
      </c>
      <c r="M12" s="72">
        <f t="shared" si="64"/>
        <v>0.69356012038617454</v>
      </c>
      <c r="N12" s="12">
        <f t="shared" si="38"/>
        <v>1.4015569129308025E-4</v>
      </c>
      <c r="O12" s="21">
        <f t="shared" si="39"/>
        <v>3.0482080873313215E-9</v>
      </c>
      <c r="P12" s="11">
        <f>SUM(O$2:$O12)</f>
        <v>8.2542129956243318E-8</v>
      </c>
      <c r="Q12" s="12">
        <f t="shared" si="40"/>
        <v>1.0149517451649187E-3</v>
      </c>
      <c r="R12" s="3">
        <f t="shared" si="0"/>
        <v>0.33362020119649599</v>
      </c>
      <c r="S12" s="1">
        <f t="shared" si="41"/>
        <v>1.464653440157939E-3</v>
      </c>
      <c r="T12" s="1">
        <f t="shared" si="42"/>
        <v>0.95616834655261895</v>
      </c>
      <c r="U12" s="1">
        <f t="shared" si="43"/>
        <v>4.1997708641125023E-3</v>
      </c>
      <c r="V12" s="11">
        <f t="shared" si="44"/>
        <v>6.3691713095889027</v>
      </c>
      <c r="W12" s="12">
        <f t="shared" si="45"/>
        <v>4.4227027326330437E-2</v>
      </c>
      <c r="X12" s="13">
        <f t="shared" si="1"/>
        <v>-1.5165885404844426E-2</v>
      </c>
      <c r="Y12" s="12">
        <f t="shared" si="2"/>
        <v>1.1666660938964938E-2</v>
      </c>
      <c r="Z12" s="12">
        <f t="shared" si="3"/>
        <v>4.1745103594157656E-3</v>
      </c>
      <c r="AA12" s="12" t="e">
        <f>SQRT((Q12/M12)^2 + (0.0002/H12)^2)*#REF!</f>
        <v>#REF!</v>
      </c>
      <c r="AB12" s="12">
        <f t="shared" si="4"/>
        <v>4.7398811246609452E-3</v>
      </c>
      <c r="AC12" s="1">
        <f t="shared" si="46"/>
        <v>3.0978756082195065</v>
      </c>
      <c r="AD12" s="1">
        <f t="shared" si="47"/>
        <v>6.6641785399260938</v>
      </c>
      <c r="AE12" s="14">
        <f t="shared" si="48"/>
        <v>2.7531314157396554</v>
      </c>
      <c r="AF12" s="14">
        <f t="shared" si="5"/>
        <v>61.123875215369424</v>
      </c>
      <c r="AG12" s="14" t="e">
        <f>V12*#REF!*#REF!</f>
        <v>#REF!</v>
      </c>
      <c r="AH12" s="15">
        <f t="shared" si="6"/>
        <v>282.86302245026883</v>
      </c>
      <c r="AI12" s="16">
        <f t="shared" si="7"/>
        <v>48.27661536144096</v>
      </c>
      <c r="AJ12" s="15">
        <f t="shared" si="8"/>
        <v>147.76801216560153</v>
      </c>
      <c r="AK12" s="7"/>
      <c r="AL12" s="12">
        <f t="shared" si="49"/>
        <v>0.69356012038617454</v>
      </c>
      <c r="AM12" s="14">
        <f t="shared" si="9"/>
        <v>0.33362020119649599</v>
      </c>
      <c r="AN12" s="14">
        <f t="shared" si="10"/>
        <v>1.0458409375351236</v>
      </c>
      <c r="AO12" s="11">
        <f t="shared" si="65"/>
        <v>6.3691713095889027</v>
      </c>
      <c r="AP12" s="11">
        <f t="shared" si="11"/>
        <v>7.8759013548265626</v>
      </c>
      <c r="AQ12" s="12">
        <f t="shared" si="12"/>
        <v>-1.5165885335573281E-2</v>
      </c>
      <c r="AR12" s="18">
        <f t="shared" si="13"/>
        <v>281.12251613890868</v>
      </c>
      <c r="AS12" s="18">
        <f t="shared" si="14"/>
        <v>47.968517587655612</v>
      </c>
      <c r="AT12" s="18">
        <f t="shared" si="15"/>
        <v>145.52887295523692</v>
      </c>
      <c r="AU12" s="17"/>
      <c r="AV12" s="11">
        <f t="shared" si="50"/>
        <v>-1.74050631136015</v>
      </c>
      <c r="AW12" s="11">
        <f t="shared" si="51"/>
        <v>-0.30809777378534875</v>
      </c>
      <c r="AX12" s="11">
        <f t="shared" si="52"/>
        <v>-2.2391392103646126</v>
      </c>
      <c r="AY12" s="11">
        <f t="shared" si="53"/>
        <v>4.1838262256323588E-2</v>
      </c>
      <c r="AZ12" s="17"/>
      <c r="BA12" s="2"/>
      <c r="BB12" s="12">
        <v>0.20814572005565329</v>
      </c>
      <c r="BC12" s="12">
        <v>0.50383364660407459</v>
      </c>
      <c r="BD12" s="12">
        <f t="shared" si="66"/>
        <v>0.21937759640869217</v>
      </c>
      <c r="BE12" s="12">
        <f t="shared" si="67"/>
        <v>0.44776499001184611</v>
      </c>
      <c r="BF12" s="12">
        <v>0.69353731251708994</v>
      </c>
      <c r="BG12" s="14">
        <f t="shared" si="16"/>
        <v>0.33358728876934102</v>
      </c>
      <c r="BH12" s="14">
        <f t="shared" si="17"/>
        <v>1.0459441224130586</v>
      </c>
      <c r="BI12" s="11">
        <f t="shared" si="68"/>
        <v>6.3697997054955273</v>
      </c>
      <c r="BJ12" s="11">
        <f t="shared" si="18"/>
        <v>7.8981809166262478</v>
      </c>
      <c r="BK12" s="12">
        <f t="shared" si="19"/>
        <v>-1.5199769682003206E-2</v>
      </c>
      <c r="BL12" s="11">
        <f t="shared" si="20"/>
        <v>6.4117824056008743E-2</v>
      </c>
      <c r="BM12" s="14">
        <f t="shared" si="54"/>
        <v>3.0977737339345879</v>
      </c>
      <c r="BN12" s="14">
        <f t="shared" si="69"/>
        <v>6.6639593870261109</v>
      </c>
      <c r="BO12" s="14">
        <f t="shared" si="70"/>
        <v>2.7530408784393448</v>
      </c>
      <c r="BP12" s="14">
        <f t="shared" si="55"/>
        <v>61.125885352846822</v>
      </c>
      <c r="BQ12" s="15">
        <f t="shared" si="56"/>
        <v>282.87232476561439</v>
      </c>
      <c r="BR12" s="15">
        <f t="shared" si="57"/>
        <v>48.278203000206958</v>
      </c>
      <c r="BS12" s="15">
        <f t="shared" si="58"/>
        <v>147.7728717072809</v>
      </c>
      <c r="BT12" s="18">
        <f t="shared" si="21"/>
        <v>281.88499082775076</v>
      </c>
      <c r="BU12" s="18">
        <f t="shared" si="22"/>
        <v>47.981289973482006</v>
      </c>
      <c r="BV12" s="18">
        <f t="shared" si="23"/>
        <v>145.98613065791116</v>
      </c>
      <c r="BW12" s="11">
        <f t="shared" si="59"/>
        <v>-0.98733393786363877</v>
      </c>
      <c r="BX12" s="11">
        <f t="shared" si="60"/>
        <v>-1.7818815076903718</v>
      </c>
      <c r="BY12" s="11">
        <f t="shared" si="61"/>
        <v>-0.29532538795895391</v>
      </c>
      <c r="BZ12" s="11">
        <f t="shared" si="25"/>
        <v>191.28575071452437</v>
      </c>
      <c r="CA12" s="11">
        <f t="shared" si="26"/>
        <v>6.6523193218350389</v>
      </c>
      <c r="CB12" s="11">
        <f t="shared" si="27"/>
        <v>2.7445621622594585</v>
      </c>
      <c r="CC12" s="11">
        <f t="shared" si="28"/>
        <v>6.3303712822692448</v>
      </c>
      <c r="CD12" s="11">
        <f t="shared" si="29"/>
        <v>3.1020154225732299</v>
      </c>
      <c r="CE12" s="11">
        <f t="shared" si="30"/>
        <v>55.968546018057125</v>
      </c>
      <c r="CF12" s="11">
        <f t="shared" si="31"/>
        <v>54.372633424594191</v>
      </c>
      <c r="CG12" s="11">
        <f t="shared" si="32"/>
        <v>55.170589721325655</v>
      </c>
      <c r="CH12" s="14">
        <f t="shared" si="33"/>
        <v>-1.1859218091054835E-2</v>
      </c>
      <c r="CI12" s="14">
        <f t="shared" si="34"/>
        <v>-8.5692534801968812E-3</v>
      </c>
      <c r="CJ12" s="14"/>
      <c r="CK12" s="14">
        <f t="shared" si="35"/>
        <v>4.1398143537234589E-3</v>
      </c>
      <c r="CL12" s="12"/>
      <c r="CM12" s="12"/>
      <c r="CN12" s="12"/>
      <c r="CQ12" s="17"/>
      <c r="CR12" s="20"/>
      <c r="CS12" s="20"/>
      <c r="CT12" s="21"/>
      <c r="DA12" s="14"/>
      <c r="DB12" s="14"/>
      <c r="DC12" s="14"/>
      <c r="DD12" s="14"/>
      <c r="DI12" s="12"/>
    </row>
    <row r="13" spans="1:140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2"/>
        <v>0.21834293437005509</v>
      </c>
      <c r="I13" s="12">
        <f t="shared" si="63"/>
        <v>0.44626509021859395</v>
      </c>
      <c r="J13" s="12">
        <f t="shared" si="36"/>
        <v>6.3125943187559611E-2</v>
      </c>
      <c r="K13" s="13">
        <f t="shared" si="37"/>
        <v>4.362628571538725E-2</v>
      </c>
      <c r="L13" s="13">
        <f>SUM(K$3:$K13)</f>
        <v>0.57972576384944408</v>
      </c>
      <c r="M13" s="72">
        <f t="shared" si="64"/>
        <v>0.69272415937871978</v>
      </c>
      <c r="N13" s="12">
        <f t="shared" si="38"/>
        <v>1.3890838379065608E-4</v>
      </c>
      <c r="O13" s="21">
        <f t="shared" si="39"/>
        <v>4.5241558546774555E-9</v>
      </c>
      <c r="P13" s="11">
        <f>SUM(O$2:$O13)</f>
        <v>8.7066285810920778E-8</v>
      </c>
      <c r="Q13" s="12">
        <f t="shared" si="40"/>
        <v>1.0161572447594165E-3</v>
      </c>
      <c r="R13" s="3">
        <f t="shared" si="0"/>
        <v>0.33241529861847674</v>
      </c>
      <c r="S13" s="1">
        <f t="shared" si="41"/>
        <v>1.4628602570883858E-3</v>
      </c>
      <c r="T13" s="1">
        <f t="shared" si="42"/>
        <v>0.95271504935523754</v>
      </c>
      <c r="U13" s="1">
        <f t="shared" si="43"/>
        <v>4.1946315323678068E-3</v>
      </c>
      <c r="V13" s="11">
        <f t="shared" si="44"/>
        <v>6.3922575843863134</v>
      </c>
      <c r="W13" s="12">
        <f t="shared" si="45"/>
        <v>4.4429877221290319E-2</v>
      </c>
      <c r="X13" s="13">
        <f t="shared" si="1"/>
        <v>-1.6410012500843507E-2</v>
      </c>
      <c r="Y13" s="12">
        <f t="shared" si="2"/>
        <v>1.1730740475321189E-2</v>
      </c>
      <c r="Z13" s="12">
        <f t="shared" si="3"/>
        <v>4.1770134677849768E-3</v>
      </c>
      <c r="AA13" s="12" t="e">
        <f>SQRT((Q13/M13)^2 + (0.0002/H13)^2)*#REF!</f>
        <v>#REF!</v>
      </c>
      <c r="AB13" s="12">
        <f t="shared" si="4"/>
        <v>4.7618514066411211E-3</v>
      </c>
      <c r="AC13" s="1">
        <f t="shared" si="46"/>
        <v>3.1045411104839182</v>
      </c>
      <c r="AD13" s="1">
        <f t="shared" si="47"/>
        <v>6.6818274251601339</v>
      </c>
      <c r="AE13" s="14">
        <f t="shared" si="48"/>
        <v>2.7487218920639407</v>
      </c>
      <c r="AF13" s="14">
        <f t="shared" si="5"/>
        <v>61.609700482251796</v>
      </c>
      <c r="AG13" s="14" t="e">
        <f>V13*#REF!*#REF!</f>
        <v>#REF!</v>
      </c>
      <c r="AH13" s="15">
        <f t="shared" si="6"/>
        <v>285.39395931481283</v>
      </c>
      <c r="AI13" s="16">
        <f t="shared" si="7"/>
        <v>48.296523450743464</v>
      </c>
      <c r="AJ13" s="15">
        <f t="shared" si="8"/>
        <v>148.86138131880091</v>
      </c>
      <c r="AK13" s="7"/>
      <c r="AL13" s="12">
        <f t="shared" si="49"/>
        <v>0.69272415937871978</v>
      </c>
      <c r="AM13" s="14">
        <f t="shared" si="9"/>
        <v>0.33241529861847674</v>
      </c>
      <c r="AN13" s="14">
        <f t="shared" si="10"/>
        <v>1.0496317872555525</v>
      </c>
      <c r="AO13" s="11">
        <f t="shared" si="65"/>
        <v>6.3922575843863134</v>
      </c>
      <c r="AP13" s="11">
        <f t="shared" si="11"/>
        <v>8.5705612976953613</v>
      </c>
      <c r="AQ13" s="12">
        <f t="shared" si="12"/>
        <v>-1.6410012425799758E-2</v>
      </c>
      <c r="AR13" s="18">
        <f t="shared" si="13"/>
        <v>284.65768225779493</v>
      </c>
      <c r="AS13" s="18">
        <f t="shared" si="14"/>
        <v>48.07442967714826</v>
      </c>
      <c r="AT13" s="18">
        <f t="shared" si="15"/>
        <v>147.56886550021596</v>
      </c>
      <c r="AU13" s="17"/>
      <c r="AV13" s="11">
        <f t="shared" si="50"/>
        <v>-0.73627705701790092</v>
      </c>
      <c r="AW13" s="11">
        <f t="shared" si="51"/>
        <v>-0.22209377359520488</v>
      </c>
      <c r="AX13" s="11">
        <f t="shared" si="52"/>
        <v>-1.2925158185849455</v>
      </c>
      <c r="AY13" s="11">
        <f t="shared" si="53"/>
        <v>4.7789361822275112E-2</v>
      </c>
      <c r="AZ13" s="17"/>
      <c r="BA13" s="2"/>
      <c r="BB13" s="12">
        <v>0.20734572005565327</v>
      </c>
      <c r="BC13" s="12">
        <v>0.50403364660407457</v>
      </c>
      <c r="BD13" s="12">
        <f t="shared" si="66"/>
        <v>0.21834293437005509</v>
      </c>
      <c r="BE13" s="12">
        <f t="shared" si="67"/>
        <v>0.44626509021859395</v>
      </c>
      <c r="BF13" s="12">
        <v>0.69299062205044293</v>
      </c>
      <c r="BG13" s="14">
        <f t="shared" si="16"/>
        <v>0.33279904593014831</v>
      </c>
      <c r="BH13" s="14">
        <f t="shared" si="17"/>
        <v>1.0484214671493799</v>
      </c>
      <c r="BI13" s="11">
        <f t="shared" si="68"/>
        <v>6.3848867349397231</v>
      </c>
      <c r="BJ13" s="11">
        <f t="shared" si="18"/>
        <v>8.3527255800502367</v>
      </c>
      <c r="BK13" s="12">
        <f t="shared" si="19"/>
        <v>-1.6012957885183643E-2</v>
      </c>
      <c r="BL13" s="11">
        <f t="shared" si="20"/>
        <v>-0.17004635582284955</v>
      </c>
      <c r="BM13" s="14">
        <f t="shared" si="54"/>
        <v>3.1057353005631492</v>
      </c>
      <c r="BN13" s="14">
        <f t="shared" si="69"/>
        <v>6.6843976510770382</v>
      </c>
      <c r="BO13" s="14">
        <f t="shared" si="70"/>
        <v>2.7497792130325642</v>
      </c>
      <c r="BP13" s="14">
        <f t="shared" si="55"/>
        <v>61.58601086096084</v>
      </c>
      <c r="BQ13" s="15">
        <f t="shared" si="56"/>
        <v>285.28422213443412</v>
      </c>
      <c r="BR13" s="15">
        <f t="shared" si="57"/>
        <v>48.277952895437039</v>
      </c>
      <c r="BS13" s="15">
        <f t="shared" si="58"/>
        <v>148.80414244698861</v>
      </c>
      <c r="BT13" s="18">
        <f t="shared" si="21"/>
        <v>284.25889451568389</v>
      </c>
      <c r="BU13" s="18">
        <f t="shared" si="22"/>
        <v>48.051421710631402</v>
      </c>
      <c r="BV13" s="18">
        <f t="shared" si="23"/>
        <v>147.35771818600392</v>
      </c>
      <c r="BW13" s="11">
        <f t="shared" si="59"/>
        <v>-1.0253276187502252</v>
      </c>
      <c r="BX13" s="11">
        <f t="shared" si="60"/>
        <v>-1.5036631327969872</v>
      </c>
      <c r="BY13" s="11">
        <f t="shared" si="61"/>
        <v>-0.24510174011206232</v>
      </c>
      <c r="BZ13" s="11">
        <f t="shared" si="25"/>
        <v>192.99144362923059</v>
      </c>
      <c r="CA13" s="11">
        <f t="shared" si="26"/>
        <v>6.6723747871584074</v>
      </c>
      <c r="CB13" s="11">
        <f t="shared" si="27"/>
        <v>2.743320331338825</v>
      </c>
      <c r="CC13" s="11">
        <f t="shared" si="28"/>
        <v>6.3451320130803071</v>
      </c>
      <c r="CD13" s="11">
        <f t="shared" si="29"/>
        <v>3.1073704788034453</v>
      </c>
      <c r="CE13" s="11">
        <f t="shared" si="30"/>
        <v>56.211088292314834</v>
      </c>
      <c r="CF13" s="11">
        <f t="shared" si="31"/>
        <v>54.554616049663586</v>
      </c>
      <c r="CG13" s="11">
        <f t="shared" si="32"/>
        <v>55.38285217098921</v>
      </c>
      <c r="CH13" s="14">
        <f t="shared" si="33"/>
        <v>-9.4526380017265765E-3</v>
      </c>
      <c r="CI13" s="14">
        <f t="shared" si="34"/>
        <v>-5.4015607251156617E-3</v>
      </c>
      <c r="CJ13" s="14"/>
      <c r="CK13" s="14">
        <f t="shared" si="35"/>
        <v>2.8293683195270702E-3</v>
      </c>
      <c r="CL13" s="12"/>
      <c r="CM13" s="12"/>
      <c r="CN13" s="12"/>
      <c r="CQ13" s="17"/>
      <c r="CR13" s="20"/>
      <c r="CS13" s="20"/>
      <c r="CT13" s="21"/>
      <c r="DA13" s="14"/>
      <c r="DB13" s="14"/>
      <c r="DC13" s="14"/>
      <c r="DD13" s="14"/>
      <c r="DI13" s="12"/>
    </row>
    <row r="14" spans="1:140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2"/>
        <v>0.21746956626893954</v>
      </c>
      <c r="I14" s="12">
        <f t="shared" si="63"/>
        <v>0.44506680642534358</v>
      </c>
      <c r="J14" s="12">
        <f t="shared" si="36"/>
        <v>6.2464739745651879E-2</v>
      </c>
      <c r="K14" s="13">
        <f t="shared" si="37"/>
        <v>3.7841743612992473E-2</v>
      </c>
      <c r="L14" s="13">
        <f>SUM(K$3:$K14)</f>
        <v>0.61756750746243649</v>
      </c>
      <c r="M14" s="72">
        <f t="shared" si="64"/>
        <v>0.69200067139427157</v>
      </c>
      <c r="N14" s="12">
        <f t="shared" si="38"/>
        <v>1.3732168282651387E-4</v>
      </c>
      <c r="O14" s="21">
        <f t="shared" si="39"/>
        <v>3.400095117608118E-9</v>
      </c>
      <c r="P14" s="11">
        <f>SUM(O$2:$O14)</f>
        <v>9.0466380928528898E-8</v>
      </c>
      <c r="Q14" s="12">
        <f t="shared" si="40"/>
        <v>1.0172012521673947E-3</v>
      </c>
      <c r="R14" s="3">
        <f t="shared" si="0"/>
        <v>0.33137485252057519</v>
      </c>
      <c r="S14" s="1">
        <f t="shared" si="41"/>
        <v>1.4613060168347626E-3</v>
      </c>
      <c r="T14" s="1">
        <f t="shared" si="42"/>
        <v>0.94973309076418178</v>
      </c>
      <c r="U14" s="1">
        <f t="shared" si="43"/>
        <v>4.1901770199368376E-3</v>
      </c>
      <c r="V14" s="11">
        <f t="shared" si="44"/>
        <v>6.4123279047798736</v>
      </c>
      <c r="W14" s="12">
        <f t="shared" si="45"/>
        <v>4.4606455271267054E-2</v>
      </c>
      <c r="X14" s="13">
        <f t="shared" si="1"/>
        <v>-1.7490392230969265E-2</v>
      </c>
      <c r="Y14" s="12">
        <f t="shared" si="2"/>
        <v>1.1809564594771407E-2</v>
      </c>
      <c r="Z14" s="12">
        <f t="shared" si="3"/>
        <v>4.1771754033689355E-3</v>
      </c>
      <c r="AA14" s="12" t="e">
        <f>SQRT((Q14/M14)^2 + (0.0002/H14)^2)*#REF!</f>
        <v>#REF!</v>
      </c>
      <c r="AB14" s="12">
        <f t="shared" si="4"/>
        <v>4.779829474890745E-3</v>
      </c>
      <c r="AC14" s="1">
        <f t="shared" si="46"/>
        <v>3.1096485354737378</v>
      </c>
      <c r="AD14" s="1">
        <f t="shared" si="47"/>
        <v>6.7071967492965969</v>
      </c>
      <c r="AE14" s="14">
        <f t="shared" si="48"/>
        <v>2.7436737261795572</v>
      </c>
      <c r="AF14" s="14">
        <f t="shared" si="5"/>
        <v>62.006659469909657</v>
      </c>
      <c r="AG14" s="14" t="e">
        <f>V14*#REF!*#REF!</f>
        <v>#REF!</v>
      </c>
      <c r="AH14" s="15">
        <f t="shared" si="6"/>
        <v>288.46811383948585</v>
      </c>
      <c r="AI14" s="16">
        <f t="shared" si="7"/>
        <v>48.270372630584312</v>
      </c>
      <c r="AJ14" s="15">
        <f t="shared" si="8"/>
        <v>150.71850806034118</v>
      </c>
      <c r="AK14" s="7"/>
      <c r="AL14" s="12">
        <f t="shared" si="49"/>
        <v>0.69200067139427157</v>
      </c>
      <c r="AM14" s="14">
        <f t="shared" si="9"/>
        <v>0.33137485252057519</v>
      </c>
      <c r="AN14" s="14">
        <f t="shared" si="10"/>
        <v>1.0529274063677954</v>
      </c>
      <c r="AO14" s="11">
        <f t="shared" si="65"/>
        <v>6.4123279047798736</v>
      </c>
      <c r="AP14" s="11">
        <f t="shared" si="11"/>
        <v>9.1798966548036489</v>
      </c>
      <c r="AQ14" s="12">
        <f t="shared" si="12"/>
        <v>-1.7490392150901646E-2</v>
      </c>
      <c r="AR14" s="18">
        <f t="shared" si="13"/>
        <v>287.74653302867642</v>
      </c>
      <c r="AS14" s="18">
        <f t="shared" si="14"/>
        <v>48.161433392005478</v>
      </c>
      <c r="AT14" s="18">
        <f t="shared" si="15"/>
        <v>149.35463000214588</v>
      </c>
      <c r="AU14" s="17"/>
      <c r="AV14" s="11">
        <f t="shared" si="50"/>
        <v>-0.72158081080942793</v>
      </c>
      <c r="AW14" s="11">
        <f t="shared" si="51"/>
        <v>-0.10893923857883436</v>
      </c>
      <c r="AX14" s="11">
        <f t="shared" si="52"/>
        <v>-1.3638780581952972</v>
      </c>
      <c r="AY14" s="11">
        <f t="shared" si="53"/>
        <v>5.4504481040519082E-2</v>
      </c>
      <c r="AZ14" s="17"/>
      <c r="BA14" s="2"/>
      <c r="BB14" s="12">
        <v>0.20634572005565327</v>
      </c>
      <c r="BC14" s="12">
        <v>0.50443364660407453</v>
      </c>
      <c r="BD14" s="12">
        <f t="shared" si="66"/>
        <v>0.21746956626893954</v>
      </c>
      <c r="BE14" s="12">
        <f t="shared" si="67"/>
        <v>0.44506680642534358</v>
      </c>
      <c r="BF14" s="12">
        <v>0.69226271374904658</v>
      </c>
      <c r="BG14" s="14">
        <f t="shared" si="16"/>
        <v>0.3317514437707374</v>
      </c>
      <c r="BH14" s="14">
        <f t="shared" si="17"/>
        <v>1.0517321644005349</v>
      </c>
      <c r="BI14" s="11">
        <f t="shared" si="68"/>
        <v>6.4050488811992565</v>
      </c>
      <c r="BJ14" s="11">
        <f t="shared" si="18"/>
        <v>8.964799011049589</v>
      </c>
      <c r="BK14" s="12">
        <f t="shared" si="19"/>
        <v>-1.7098694799228431E-2</v>
      </c>
      <c r="BL14" s="11">
        <f t="shared" si="20"/>
        <v>-0.16059316271354085</v>
      </c>
      <c r="BM14" s="14">
        <f t="shared" si="54"/>
        <v>3.1108260771416041</v>
      </c>
      <c r="BN14" s="14">
        <f t="shared" si="69"/>
        <v>6.7097365873383481</v>
      </c>
      <c r="BO14" s="14">
        <f t="shared" si="70"/>
        <v>2.7447126828650963</v>
      </c>
      <c r="BP14" s="14">
        <f t="shared" si="55"/>
        <v>61.983188075688197</v>
      </c>
      <c r="BQ14" s="15">
        <f t="shared" si="56"/>
        <v>288.35891994195714</v>
      </c>
      <c r="BR14" s="15">
        <f t="shared" si="57"/>
        <v>48.252100835991371</v>
      </c>
      <c r="BS14" s="15">
        <f t="shared" si="58"/>
        <v>150.66145655088391</v>
      </c>
      <c r="BT14" s="18">
        <f t="shared" si="21"/>
        <v>287.44556179786451</v>
      </c>
      <c r="BU14" s="18">
        <f t="shared" si="22"/>
        <v>48.14115421002127</v>
      </c>
      <c r="BV14" s="18">
        <f t="shared" si="23"/>
        <v>149.20152880299153</v>
      </c>
      <c r="BW14" s="11">
        <f t="shared" si="59"/>
        <v>-0.91335814409262639</v>
      </c>
      <c r="BX14" s="11">
        <f t="shared" si="60"/>
        <v>-1.5169792573496466</v>
      </c>
      <c r="BY14" s="11">
        <f t="shared" si="61"/>
        <v>-0.129218420563042</v>
      </c>
      <c r="BZ14" s="11">
        <f t="shared" si="25"/>
        <v>195.28287313461587</v>
      </c>
      <c r="CA14" s="11">
        <f t="shared" si="26"/>
        <v>6.6991018320825413</v>
      </c>
      <c r="CB14" s="11">
        <f t="shared" si="27"/>
        <v>2.7415553917592752</v>
      </c>
      <c r="CC14" s="11">
        <f t="shared" si="28"/>
        <v>6.3647779780967157</v>
      </c>
      <c r="CD14" s="11">
        <f t="shared" si="29"/>
        <v>3.1144681141799544</v>
      </c>
      <c r="CE14" s="11">
        <f t="shared" si="30"/>
        <v>56.533499124987358</v>
      </c>
      <c r="CF14" s="11">
        <f t="shared" si="31"/>
        <v>54.793868776185491</v>
      </c>
      <c r="CG14" s="11">
        <f t="shared" si="32"/>
        <v>55.663683950586424</v>
      </c>
      <c r="CH14" s="14">
        <f t="shared" si="33"/>
        <v>-8.0949172140556414E-3</v>
      </c>
      <c r="CI14" s="14">
        <f t="shared" si="34"/>
        <v>-2.1183344202819754E-3</v>
      </c>
      <c r="CJ14" s="14"/>
      <c r="CK14" s="14">
        <f t="shared" si="35"/>
        <v>4.8195787062166318E-3</v>
      </c>
      <c r="CL14" s="12"/>
      <c r="CM14" s="12"/>
      <c r="CN14" s="12"/>
      <c r="CQ14" s="17"/>
      <c r="CR14" s="20"/>
      <c r="CS14" s="20"/>
      <c r="CT14" s="21"/>
      <c r="DA14" s="14"/>
      <c r="DB14" s="14"/>
      <c r="DC14" s="14"/>
      <c r="DD14" s="14"/>
      <c r="DI14" s="12"/>
    </row>
    <row r="15" spans="1:140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2"/>
        <v>0.216863224419231</v>
      </c>
      <c r="I15" s="12">
        <f t="shared" si="63"/>
        <v>0.44424358753123327</v>
      </c>
      <c r="J15" s="12">
        <f t="shared" si="36"/>
        <v>6.1877379133646958E-2</v>
      </c>
      <c r="K15" s="13">
        <f t="shared" si="37"/>
        <v>2.6761099020998852E-2</v>
      </c>
      <c r="L15" s="13">
        <f>SUM(K$3:$K15)</f>
        <v>0.64432860648343537</v>
      </c>
      <c r="M15" s="72">
        <f t="shared" si="64"/>
        <v>0.6914899434003462</v>
      </c>
      <c r="N15" s="12">
        <f t="shared" si="38"/>
        <v>1.3635898908012113E-4</v>
      </c>
      <c r="O15" s="21">
        <f t="shared" si="39"/>
        <v>1.7104900764775685E-9</v>
      </c>
      <c r="P15" s="11">
        <f>SUM(O$2:$O15)</f>
        <v>9.2176871005006468E-8</v>
      </c>
      <c r="Q15" s="12">
        <f t="shared" si="40"/>
        <v>1.0179386066950142E-3</v>
      </c>
      <c r="R15" s="3">
        <f t="shared" si="0"/>
        <v>0.33064168472415256</v>
      </c>
      <c r="S15" s="1">
        <f t="shared" si="41"/>
        <v>1.4602075087671951E-3</v>
      </c>
      <c r="T15" s="1">
        <f t="shared" si="42"/>
        <v>0.94763180362048705</v>
      </c>
      <c r="U15" s="1">
        <f t="shared" si="43"/>
        <v>4.1870286535043667E-3</v>
      </c>
      <c r="V15" s="11">
        <f t="shared" si="44"/>
        <v>6.426546657396651</v>
      </c>
      <c r="W15" s="12">
        <f t="shared" si="45"/>
        <v>4.4731679206274598E-2</v>
      </c>
      <c r="X15" s="13">
        <f t="shared" si="1"/>
        <v>-1.825510164526345E-2</v>
      </c>
      <c r="Y15" s="12">
        <f t="shared" si="2"/>
        <v>1.1872846145631997E-2</v>
      </c>
      <c r="Z15" s="12">
        <f t="shared" si="3"/>
        <v>4.1851040491646353E-3</v>
      </c>
      <c r="AA15" s="12" t="e">
        <f>SQRT((Q15/M15)^2 + (0.0002/H15)^2)*#REF!</f>
        <v>#REF!</v>
      </c>
      <c r="AB15" s="12">
        <f t="shared" si="4"/>
        <v>4.7923172811082668E-3</v>
      </c>
      <c r="AC15" s="1">
        <f t="shared" si="46"/>
        <v>3.113111647792687</v>
      </c>
      <c r="AD15" s="1">
        <f t="shared" si="47"/>
        <v>6.7283321998932335</v>
      </c>
      <c r="AE15" s="14">
        <f t="shared" si="48"/>
        <v>2.7449137153149947</v>
      </c>
      <c r="AF15" s="14">
        <f t="shared" si="5"/>
        <v>62.282646420358112</v>
      </c>
      <c r="AG15" s="14" t="e">
        <f>V15*#REF!*#REF!</f>
        <v>#REF!</v>
      </c>
      <c r="AH15" s="15">
        <f t="shared" si="6"/>
        <v>290.93268606719778</v>
      </c>
      <c r="AI15" s="16">
        <f t="shared" si="7"/>
        <v>48.421145501074655</v>
      </c>
      <c r="AJ15" s="15">
        <f t="shared" si="8"/>
        <v>152.50589230719808</v>
      </c>
      <c r="AK15" s="7"/>
      <c r="AL15" s="12">
        <f t="shared" si="49"/>
        <v>0.6914899434003462</v>
      </c>
      <c r="AM15" s="14">
        <f t="shared" si="9"/>
        <v>0.33064168472415256</v>
      </c>
      <c r="AN15" s="14">
        <f t="shared" si="10"/>
        <v>1.055262176912422</v>
      </c>
      <c r="AO15" s="11">
        <f t="shared" si="65"/>
        <v>6.426546657396651</v>
      </c>
      <c r="AP15" s="11">
        <f t="shared" si="11"/>
        <v>9.6146359458430695</v>
      </c>
      <c r="AQ15" s="12">
        <f t="shared" si="12"/>
        <v>-1.825510156163368E-2</v>
      </c>
      <c r="AR15" s="18">
        <f t="shared" si="13"/>
        <v>289.94354176382905</v>
      </c>
      <c r="AS15" s="18">
        <f t="shared" si="14"/>
        <v>48.22018664177574</v>
      </c>
      <c r="AT15" s="18">
        <f t="shared" si="15"/>
        <v>150.62667076427283</v>
      </c>
      <c r="AU15" s="17"/>
      <c r="AV15" s="11">
        <f t="shared" si="50"/>
        <v>-0.98914430336873238</v>
      </c>
      <c r="AW15" s="11">
        <f t="shared" si="51"/>
        <v>-0.20095885929891466</v>
      </c>
      <c r="AX15" s="11">
        <f t="shared" si="52"/>
        <v>-1.8792215429252508</v>
      </c>
      <c r="AY15" s="11">
        <f t="shared" si="53"/>
        <v>5.8800745015613387E-2</v>
      </c>
      <c r="AZ15" s="17"/>
      <c r="BA15" s="2"/>
      <c r="BB15" s="12">
        <v>0.20554572005565327</v>
      </c>
      <c r="BC15" s="12">
        <v>0.50383364660407459</v>
      </c>
      <c r="BD15" s="12">
        <f t="shared" si="66"/>
        <v>0.216863224419231</v>
      </c>
      <c r="BE15" s="12">
        <f t="shared" si="67"/>
        <v>0.44424358753123327</v>
      </c>
      <c r="BF15" s="12">
        <v>0.69164775828557135</v>
      </c>
      <c r="BG15" s="14">
        <f t="shared" si="16"/>
        <v>0.33086811790537329</v>
      </c>
      <c r="BH15" s="14">
        <f t="shared" si="17"/>
        <v>1.0545399968086004</v>
      </c>
      <c r="BI15" s="11">
        <f t="shared" si="68"/>
        <v>6.4221485805643752</v>
      </c>
      <c r="BJ15" s="11">
        <f t="shared" si="18"/>
        <v>9.4880569329700162</v>
      </c>
      <c r="BK15" s="12">
        <f t="shared" si="19"/>
        <v>-1.8018625588105852E-2</v>
      </c>
      <c r="BL15" s="11">
        <f t="shared" si="20"/>
        <v>-6.77782678574399E-2</v>
      </c>
      <c r="BM15" s="14">
        <f t="shared" si="54"/>
        <v>3.1138221358656928</v>
      </c>
      <c r="BN15" s="14">
        <f t="shared" si="69"/>
        <v>6.7298677695483198</v>
      </c>
      <c r="BO15" s="14">
        <f t="shared" si="70"/>
        <v>2.7455401716316334</v>
      </c>
      <c r="BP15" s="14">
        <f t="shared" si="55"/>
        <v>62.268435243384552</v>
      </c>
      <c r="BQ15" s="15">
        <f t="shared" si="56"/>
        <v>290.86630327637693</v>
      </c>
      <c r="BR15" s="15">
        <f t="shared" si="57"/>
        <v>48.410097135156903</v>
      </c>
      <c r="BS15" s="15">
        <f t="shared" si="58"/>
        <v>152.47109468138015</v>
      </c>
      <c r="BT15" s="18">
        <f t="shared" si="21"/>
        <v>290.16093826382166</v>
      </c>
      <c r="BU15" s="18">
        <f t="shared" si="22"/>
        <v>48.213645975228701</v>
      </c>
      <c r="BV15" s="18">
        <f t="shared" si="23"/>
        <v>150.77501578307781</v>
      </c>
      <c r="BW15" s="11">
        <f t="shared" si="59"/>
        <v>-0.70536501255526218</v>
      </c>
      <c r="BX15" s="11">
        <f t="shared" si="60"/>
        <v>-1.7308765241202764</v>
      </c>
      <c r="BY15" s="11">
        <f t="shared" si="61"/>
        <v>-0.20749952584595377</v>
      </c>
      <c r="BZ15" s="11">
        <f t="shared" si="25"/>
        <v>197.23698994332577</v>
      </c>
      <c r="CA15" s="11">
        <f t="shared" si="26"/>
        <v>6.7217026871032894</v>
      </c>
      <c r="CB15" s="11">
        <f t="shared" si="27"/>
        <v>2.7399637228115683</v>
      </c>
      <c r="CC15" s="11">
        <f t="shared" si="28"/>
        <v>6.3813684490039551</v>
      </c>
      <c r="CD15" s="11">
        <f t="shared" si="29"/>
        <v>3.1204351335829696</v>
      </c>
      <c r="CE15" s="11">
        <f t="shared" si="30"/>
        <v>56.805372081285988</v>
      </c>
      <c r="CF15" s="11">
        <f t="shared" si="31"/>
        <v>54.993188809068059</v>
      </c>
      <c r="CG15" s="11">
        <f t="shared" si="32"/>
        <v>55.899280445177027</v>
      </c>
      <c r="CH15" s="14">
        <f t="shared" si="33"/>
        <v>-6.6295127899440587E-3</v>
      </c>
      <c r="CI15" s="14">
        <f t="shared" si="34"/>
        <v>-4.9499925034264258E-3</v>
      </c>
      <c r="CJ15" s="14"/>
      <c r="CK15" s="14">
        <f t="shared" si="35"/>
        <v>7.3234857902826356E-3</v>
      </c>
      <c r="CL15" s="12"/>
      <c r="CM15" s="12"/>
      <c r="CN15" s="12"/>
      <c r="CQ15" s="17"/>
      <c r="CR15" s="20"/>
      <c r="CS15" s="20"/>
      <c r="CT15" s="21"/>
      <c r="DA15" s="14"/>
      <c r="DB15" s="14"/>
      <c r="DC15" s="14"/>
      <c r="DD15" s="14"/>
      <c r="DI15" s="12"/>
    </row>
    <row r="16" spans="1:140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2"/>
        <v>0.2160919159128894</v>
      </c>
      <c r="I16" s="12">
        <f t="shared" si="63"/>
        <v>0.44317113824361481</v>
      </c>
      <c r="J16" s="12">
        <f t="shared" si="36"/>
        <v>6.1336603277710199E-2</v>
      </c>
      <c r="K16" s="13">
        <f t="shared" si="37"/>
        <v>3.4473789717763693E-2</v>
      </c>
      <c r="L16" s="13">
        <f>SUM(K$3:$K16)</f>
        <v>0.67880239620119909</v>
      </c>
      <c r="M16" s="72">
        <f t="shared" si="64"/>
        <v>0.69083313093326615</v>
      </c>
      <c r="N16" s="12">
        <f t="shared" si="38"/>
        <v>1.3540186741751415E-4</v>
      </c>
      <c r="O16" s="21">
        <f t="shared" si="39"/>
        <v>2.8387457116006314E-9</v>
      </c>
      <c r="P16" s="11">
        <f>SUM(O$2:$O16)</f>
        <v>9.5015616716607097E-8</v>
      </c>
      <c r="Q16" s="12">
        <f t="shared" si="40"/>
        <v>1.0188872810761097E-3</v>
      </c>
      <c r="R16" s="3">
        <f t="shared" si="0"/>
        <v>0.32970039829207076</v>
      </c>
      <c r="S16" s="1">
        <f t="shared" si="41"/>
        <v>1.4587931325689505E-3</v>
      </c>
      <c r="T16" s="1">
        <f t="shared" si="42"/>
        <v>0.94493404045096607</v>
      </c>
      <c r="U16" s="1">
        <f t="shared" si="43"/>
        <v>4.1829749968432042E-3</v>
      </c>
      <c r="V16" s="11">
        <f t="shared" si="44"/>
        <v>6.444894288170179</v>
      </c>
      <c r="W16" s="36">
        <f t="shared" si="45"/>
        <v>4.489342191606429E-2</v>
      </c>
      <c r="X16" s="37">
        <f t="shared" si="1"/>
        <v>-1.9241036496950747E-2</v>
      </c>
      <c r="Y16" s="36">
        <f t="shared" si="2"/>
        <v>1.1937677128681634E-2</v>
      </c>
      <c r="Z16" s="36">
        <f t="shared" si="3"/>
        <v>4.1938027899465474E-3</v>
      </c>
      <c r="AA16" s="36" t="e">
        <f>SQRT((Q16/M16)^2 + (0.0002/H16)^2)*#REF!</f>
        <v>#REF!</v>
      </c>
      <c r="AB16" s="36">
        <f t="shared" si="4"/>
        <v>4.8086116757338811E-3</v>
      </c>
      <c r="AC16" s="39">
        <f t="shared" si="46"/>
        <v>3.1176810550939331</v>
      </c>
      <c r="AD16" s="39">
        <f t="shared" si="47"/>
        <v>6.7482058305832844</v>
      </c>
      <c r="AE16" s="40">
        <f t="shared" si="48"/>
        <v>2.7455760782100005</v>
      </c>
      <c r="AF16" s="40">
        <f t="shared" si="5"/>
        <v>62.643954602392846</v>
      </c>
      <c r="AG16" s="40" t="e">
        <f>V16*#REF!*#REF!</f>
        <v>#REF!</v>
      </c>
      <c r="AH16" s="41">
        <f t="shared" si="6"/>
        <v>293.48941311610309</v>
      </c>
      <c r="AI16" s="42">
        <f t="shared" si="7"/>
        <v>48.582824792338258</v>
      </c>
      <c r="AJ16" s="41">
        <f t="shared" si="8"/>
        <v>154.14037410126284</v>
      </c>
      <c r="AK16" s="7"/>
      <c r="AL16" s="12">
        <f t="shared" si="49"/>
        <v>0.69083313093326615</v>
      </c>
      <c r="AM16" s="40">
        <f t="shared" si="9"/>
        <v>0.32970039829207076</v>
      </c>
      <c r="AN16" s="40">
        <f t="shared" si="10"/>
        <v>1.0582749241658749</v>
      </c>
      <c r="AO16" s="11">
        <f t="shared" si="65"/>
        <v>6.444894288170179</v>
      </c>
      <c r="AP16" s="11">
        <f t="shared" si="11"/>
        <v>10.179367987069382</v>
      </c>
      <c r="AQ16" s="12">
        <f t="shared" si="12"/>
        <v>-1.9241036408721102E-2</v>
      </c>
      <c r="AR16" s="18">
        <f t="shared" si="13"/>
        <v>292.78920274535767</v>
      </c>
      <c r="AS16" s="18">
        <f t="shared" si="14"/>
        <v>48.292433126792815</v>
      </c>
      <c r="AT16" s="18">
        <f t="shared" si="15"/>
        <v>152.27658797020865</v>
      </c>
      <c r="AU16" s="43"/>
      <c r="AV16" s="11">
        <f t="shared" si="50"/>
        <v>-0.70021037074542392</v>
      </c>
      <c r="AW16" s="11">
        <f t="shared" si="51"/>
        <v>-0.29039166554544238</v>
      </c>
      <c r="AX16" s="11">
        <f t="shared" si="52"/>
        <v>-1.8637861310541837</v>
      </c>
      <c r="AY16" s="11">
        <f t="shared" si="53"/>
        <v>6.3956851058353692E-2</v>
      </c>
      <c r="AZ16" s="43"/>
      <c r="BB16" s="55">
        <v>0.20474572005565328</v>
      </c>
      <c r="BC16" s="55">
        <v>0.50323364660407455</v>
      </c>
      <c r="BD16" s="12">
        <f t="shared" si="66"/>
        <v>0.2160919159128894</v>
      </c>
      <c r="BE16" s="12">
        <f t="shared" si="67"/>
        <v>0.44317113824361481</v>
      </c>
      <c r="BF16" s="36">
        <v>0.69104384879900871</v>
      </c>
      <c r="BG16" s="40">
        <f t="shared" si="16"/>
        <v>0.33000218589107544</v>
      </c>
      <c r="BH16" s="40">
        <f t="shared" si="17"/>
        <v>1.0573071298235783</v>
      </c>
      <c r="BI16" s="11">
        <f t="shared" si="68"/>
        <v>6.4390004206255913</v>
      </c>
      <c r="BJ16" s="34">
        <f t="shared" si="18"/>
        <v>10.007465490175475</v>
      </c>
      <c r="BK16" s="12">
        <f t="shared" si="19"/>
        <v>-1.8924423557876824E-2</v>
      </c>
      <c r="BL16" s="34">
        <f t="shared" si="20"/>
        <v>-0.10794564583555299</v>
      </c>
      <c r="BM16" s="14">
        <f t="shared" si="54"/>
        <v>3.1186320099172895</v>
      </c>
      <c r="BN16" s="14">
        <f t="shared" si="69"/>
        <v>6.7502641677801281</v>
      </c>
      <c r="BO16" s="14">
        <f t="shared" si="70"/>
        <v>2.746413533603393</v>
      </c>
      <c r="BP16" s="14">
        <f t="shared" si="55"/>
        <v>62.624852774862745</v>
      </c>
      <c r="BQ16" s="15">
        <f t="shared" si="56"/>
        <v>293.39992029613609</v>
      </c>
      <c r="BR16" s="15">
        <f t="shared" si="57"/>
        <v>48.568010581677406</v>
      </c>
      <c r="BS16" s="15">
        <f t="shared" si="58"/>
        <v>154.09337255322527</v>
      </c>
      <c r="BT16" s="44">
        <f t="shared" si="21"/>
        <v>292.84838846923748</v>
      </c>
      <c r="BU16" s="44">
        <f t="shared" si="22"/>
        <v>48.281813373519157</v>
      </c>
      <c r="BV16" s="44">
        <f t="shared" si="23"/>
        <v>152.33445475346261</v>
      </c>
      <c r="BW16" s="11">
        <f t="shared" si="59"/>
        <v>-0.55153182689861069</v>
      </c>
      <c r="BX16" s="34">
        <f t="shared" si="60"/>
        <v>-1.8059193478002271</v>
      </c>
      <c r="BY16" s="34">
        <f t="shared" si="61"/>
        <v>-0.3010114188191011</v>
      </c>
      <c r="BZ16" s="34">
        <f t="shared" si="25"/>
        <v>199.17243265872091</v>
      </c>
      <c r="CA16" s="34">
        <f t="shared" si="26"/>
        <v>6.743916625517806</v>
      </c>
      <c r="CB16" s="34">
        <f t="shared" si="27"/>
        <v>2.7383096681001127</v>
      </c>
      <c r="CC16" s="34">
        <f t="shared" si="28"/>
        <v>6.3976546297315817</v>
      </c>
      <c r="CD16" s="34">
        <f t="shared" si="29"/>
        <v>3.1262686301285552</v>
      </c>
      <c r="CE16" s="34">
        <f t="shared" si="30"/>
        <v>57.071874767266465</v>
      </c>
      <c r="CF16" s="34">
        <f t="shared" si="31"/>
        <v>55.186343551995101</v>
      </c>
      <c r="CG16" s="34">
        <f t="shared" si="32"/>
        <v>56.129109159630787</v>
      </c>
      <c r="CH16" s="40">
        <f t="shared" si="33"/>
        <v>-4.2892050654783631E-3</v>
      </c>
      <c r="CI16" s="40">
        <f t="shared" si="34"/>
        <v>-7.266410109887822E-3</v>
      </c>
      <c r="CJ16" s="40"/>
      <c r="CK16" s="40">
        <f t="shared" si="35"/>
        <v>8.5875750346220414E-3</v>
      </c>
      <c r="CL16" s="36"/>
      <c r="CM16" s="36"/>
      <c r="CN16" s="36"/>
      <c r="CQ16" s="43"/>
      <c r="CR16" s="45"/>
      <c r="CS16" s="45"/>
      <c r="CT16" s="38"/>
      <c r="DA16" s="40"/>
      <c r="DB16" s="40"/>
      <c r="DC16" s="40"/>
      <c r="DD16" s="40"/>
      <c r="DI16" s="36"/>
      <c r="DL16" s="1"/>
    </row>
    <row r="17" spans="1:113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2"/>
        <v>0.21538705444410439</v>
      </c>
      <c r="I17" s="12">
        <f t="shared" si="63"/>
        <v>0.44213982994496276</v>
      </c>
      <c r="J17" s="12">
        <f t="shared" si="36"/>
        <v>6.0860866096941288E-2</v>
      </c>
      <c r="K17" s="13">
        <f t="shared" si="37"/>
        <v>3.1559429170331346E-2</v>
      </c>
      <c r="L17" s="13">
        <f>SUM(K$3:$K17)</f>
        <v>0.71036182537153048</v>
      </c>
      <c r="M17" s="72">
        <f t="shared" si="64"/>
        <v>0.690232937402526</v>
      </c>
      <c r="N17" s="12">
        <f t="shared" si="38"/>
        <v>1.3390192775030208E-4</v>
      </c>
      <c r="O17" s="21">
        <f t="shared" si="39"/>
        <v>2.3727186493252283E-9</v>
      </c>
      <c r="P17" s="11">
        <f>SUM(O$2:$O17)</f>
        <v>9.7388335365932324E-8</v>
      </c>
      <c r="Q17" s="12">
        <f t="shared" si="40"/>
        <v>1.019754556289391E-3</v>
      </c>
      <c r="R17" s="13">
        <f t="shared" si="0"/>
        <v>0.32884181682252239</v>
      </c>
      <c r="S17" s="1">
        <f t="shared" si="41"/>
        <v>1.4574990101103569E-3</v>
      </c>
      <c r="T17" s="1">
        <f t="shared" si="42"/>
        <v>0.9424733128895818</v>
      </c>
      <c r="U17" s="1">
        <f t="shared" si="43"/>
        <v>4.1792659920316475E-3</v>
      </c>
      <c r="V17" s="11">
        <f t="shared" si="44"/>
        <v>6.4617214267089729</v>
      </c>
      <c r="W17" s="12">
        <f t="shared" si="45"/>
        <v>4.5041914610609197E-2</v>
      </c>
      <c r="X17" s="13">
        <f t="shared" si="1"/>
        <v>-2.0144443423809721E-2</v>
      </c>
      <c r="Y17" s="12">
        <f t="shared" si="2"/>
        <v>1.2002747591285938E-2</v>
      </c>
      <c r="Z17" s="12">
        <f t="shared" si="3"/>
        <v>4.1862292477883017E-3</v>
      </c>
      <c r="AA17" s="12" t="e">
        <f>SQRT((Q17/M17)^2 + (0.0002/H17)^2)*#REF!</f>
        <v>#REF!</v>
      </c>
      <c r="AB17" s="12">
        <f t="shared" si="4"/>
        <v>4.8241825735080585E-3</v>
      </c>
      <c r="AC17" s="1">
        <f t="shared" si="46"/>
        <v>3.1222382181150508</v>
      </c>
      <c r="AD17" s="1">
        <f t="shared" si="47"/>
        <v>6.7687906097188337</v>
      </c>
      <c r="AE17" s="14">
        <f t="shared" si="48"/>
        <v>2.7366649391819164</v>
      </c>
      <c r="AF17" s="14">
        <f t="shared" si="5"/>
        <v>62.991260936705288</v>
      </c>
      <c r="AG17" s="14" t="e">
        <f>V17*#REF!*#REF!</f>
        <v>#REF!</v>
      </c>
      <c r="AH17" s="15">
        <f t="shared" si="6"/>
        <v>296.05362980780393</v>
      </c>
      <c r="AI17" s="16">
        <f t="shared" si="7"/>
        <v>48.393996372468365</v>
      </c>
      <c r="AJ17" s="15">
        <f t="shared" si="8"/>
        <v>155.47384337015646</v>
      </c>
      <c r="AK17" s="7"/>
      <c r="AL17" s="12">
        <f t="shared" si="49"/>
        <v>0.690232937402526</v>
      </c>
      <c r="AM17" s="14">
        <f t="shared" si="9"/>
        <v>0.32884181682252239</v>
      </c>
      <c r="AN17" s="14">
        <f t="shared" si="10"/>
        <v>1.0610380011016374</v>
      </c>
      <c r="AO17" s="11">
        <f t="shared" si="65"/>
        <v>6.4617214267089729</v>
      </c>
      <c r="AP17" s="11">
        <f t="shared" si="11"/>
        <v>10.701021007658914</v>
      </c>
      <c r="AQ17" s="12">
        <f t="shared" si="12"/>
        <v>-2.0144443331357564E-2</v>
      </c>
      <c r="AR17" s="18">
        <f t="shared" si="13"/>
        <v>295.40960860342727</v>
      </c>
      <c r="AS17" s="18">
        <f t="shared" si="14"/>
        <v>48.355127748852794</v>
      </c>
      <c r="AT17" s="18">
        <f t="shared" si="15"/>
        <v>153.79820621952413</v>
      </c>
      <c r="AU17" s="17"/>
      <c r="AV17" s="11">
        <f t="shared" si="50"/>
        <v>-0.64402120437665644</v>
      </c>
      <c r="AW17" s="11">
        <f t="shared" si="51"/>
        <v>-3.8868623615570641E-2</v>
      </c>
      <c r="AX17" s="11">
        <f t="shared" si="52"/>
        <v>-1.6756371506323262</v>
      </c>
      <c r="AY17" s="11">
        <f t="shared" si="53"/>
        <v>6.9078239170757172E-2</v>
      </c>
      <c r="AZ17" s="17"/>
      <c r="BA17" s="2"/>
      <c r="BB17" s="12">
        <v>0.20394572005565328</v>
      </c>
      <c r="BC17" s="12">
        <v>0.50443364660407453</v>
      </c>
      <c r="BD17" s="12">
        <f t="shared" si="66"/>
        <v>0.21538705444410439</v>
      </c>
      <c r="BE17" s="12">
        <f t="shared" si="67"/>
        <v>0.44213982994496276</v>
      </c>
      <c r="BF17" s="12">
        <v>0.690232937402526</v>
      </c>
      <c r="BG17" s="14">
        <f t="shared" si="16"/>
        <v>0.32884181682252239</v>
      </c>
      <c r="BH17" s="14">
        <f t="shared" si="17"/>
        <v>1.0610380011016374</v>
      </c>
      <c r="BI17" s="11">
        <f t="shared" si="68"/>
        <v>6.4617214267089729</v>
      </c>
      <c r="BJ17" s="11">
        <f t="shared" si="18"/>
        <v>10.71365391031217</v>
      </c>
      <c r="BK17" s="12">
        <f t="shared" si="19"/>
        <v>-2.0144443331357564E-2</v>
      </c>
      <c r="BL17" s="11">
        <f t="shared" si="20"/>
        <v>8.1711141824012401E-2</v>
      </c>
      <c r="BM17" s="14">
        <f t="shared" si="54"/>
        <v>3.1222382181150508</v>
      </c>
      <c r="BN17" s="14">
        <f t="shared" si="69"/>
        <v>6.7687906097188337</v>
      </c>
      <c r="BO17" s="14">
        <f t="shared" si="70"/>
        <v>2.7366649391819164</v>
      </c>
      <c r="BP17" s="14">
        <f t="shared" si="55"/>
        <v>62.991260936705288</v>
      </c>
      <c r="BQ17" s="15">
        <f t="shared" si="56"/>
        <v>296.05362980780393</v>
      </c>
      <c r="BR17" s="15">
        <f t="shared" si="57"/>
        <v>48.393996372468365</v>
      </c>
      <c r="BS17" s="15">
        <f t="shared" si="58"/>
        <v>155.47384337015646</v>
      </c>
      <c r="BT17" s="18">
        <f t="shared" si="21"/>
        <v>296.48978789247639</v>
      </c>
      <c r="BU17" s="18">
        <f t="shared" si="22"/>
        <v>48.368526669307947</v>
      </c>
      <c r="BV17" s="18">
        <f t="shared" si="23"/>
        <v>154.45081207667468</v>
      </c>
      <c r="BW17" s="11">
        <f t="shared" si="59"/>
        <v>0.43615808467245643</v>
      </c>
      <c r="BX17" s="11">
        <f t="shared" si="60"/>
        <v>-1.0230312934817789</v>
      </c>
      <c r="BY17" s="11">
        <f t="shared" si="61"/>
        <v>-2.5469703160418078E-2</v>
      </c>
      <c r="BZ17" s="11">
        <f t="shared" si="25"/>
        <v>201.79713734860857</v>
      </c>
      <c r="CA17" s="11">
        <f t="shared" si="26"/>
        <v>6.7737748016067112</v>
      </c>
      <c r="CB17" s="11">
        <f t="shared" si="27"/>
        <v>2.7359446926398259</v>
      </c>
      <c r="CC17" s="11">
        <f t="shared" si="28"/>
        <v>6.419513249312069</v>
      </c>
      <c r="CD17" s="11">
        <f t="shared" si="29"/>
        <v>3.1340601605818241</v>
      </c>
      <c r="CE17" s="11">
        <f t="shared" si="30"/>
        <v>57.428911164745116</v>
      </c>
      <c r="CF17" s="11">
        <f t="shared" si="31"/>
        <v>55.441538139218601</v>
      </c>
      <c r="CG17" s="11">
        <f t="shared" si="32"/>
        <v>56.435224651981855</v>
      </c>
      <c r="CH17" s="14">
        <f t="shared" si="33"/>
        <v>4.9841918878774649E-3</v>
      </c>
      <c r="CI17" s="14">
        <f t="shared" si="34"/>
        <v>-7.2024654209057459E-4</v>
      </c>
      <c r="CJ17" s="14"/>
      <c r="CK17" s="14">
        <f t="shared" si="35"/>
        <v>1.1821942466773372E-2</v>
      </c>
      <c r="CL17" s="12"/>
      <c r="CM17" s="12"/>
      <c r="CN17" s="12"/>
      <c r="CQ17" s="17"/>
      <c r="CR17" s="20"/>
      <c r="CS17" s="20"/>
      <c r="CT17" s="21"/>
      <c r="DA17" s="14"/>
      <c r="DB17" s="14"/>
      <c r="DC17" s="14"/>
      <c r="DD17" s="14"/>
      <c r="DI17" s="12"/>
    </row>
    <row r="18" spans="1:113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2"/>
        <v>0.21497259919151673</v>
      </c>
      <c r="I18" s="12">
        <f t="shared" si="63"/>
        <v>0.44150718106829961</v>
      </c>
      <c r="J18" s="12">
        <f t="shared" si="36"/>
        <v>6.0476396527567526E-2</v>
      </c>
      <c r="K18" s="13">
        <f t="shared" si="37"/>
        <v>1.8280072516927051E-2</v>
      </c>
      <c r="L18" s="13">
        <f>SUM(K$3:$K18)</f>
        <v>0.72864189788845757</v>
      </c>
      <c r="M18" s="72">
        <f t="shared" si="64"/>
        <v>0.68988576586557904</v>
      </c>
      <c r="N18" s="12">
        <f t="shared" si="38"/>
        <v>1.3282548711181843E-4</v>
      </c>
      <c r="O18" s="21">
        <f t="shared" si="39"/>
        <v>7.919065595810542E-10</v>
      </c>
      <c r="P18" s="11">
        <f>SUM(O$2:$O18)</f>
        <v>9.8180241925513379E-8</v>
      </c>
      <c r="Q18" s="12">
        <f t="shared" si="40"/>
        <v>1.0202563710906443E-3</v>
      </c>
      <c r="R18" s="3">
        <f t="shared" si="0"/>
        <v>0.32834586639665136</v>
      </c>
      <c r="S18" s="1">
        <f t="shared" si="41"/>
        <v>1.4567497056218448E-3</v>
      </c>
      <c r="T18" s="1">
        <f t="shared" si="42"/>
        <v>0.94105189986670001</v>
      </c>
      <c r="U18" s="1">
        <f t="shared" si="43"/>
        <v>4.1771184565068935E-3</v>
      </c>
      <c r="V18" s="11">
        <f t="shared" si="44"/>
        <v>6.4714815419453995</v>
      </c>
      <c r="W18" s="12">
        <f t="shared" si="45"/>
        <v>4.5128110862525279E-2</v>
      </c>
      <c r="X18" s="13">
        <f t="shared" si="1"/>
        <v>-2.0668080211848627E-2</v>
      </c>
      <c r="Y18" s="12">
        <f t="shared" si="2"/>
        <v>1.2051286567070375E-2</v>
      </c>
      <c r="Z18" s="12">
        <f t="shared" si="3"/>
        <v>4.1809344930967629E-3</v>
      </c>
      <c r="AA18" s="12" t="e">
        <f>SQRT((Q18/M18)^2 + (0.0002/H18)^2)*#REF!</f>
        <v>#REF!</v>
      </c>
      <c r="AB18" s="12">
        <f t="shared" si="4"/>
        <v>4.8336536817216369E-3</v>
      </c>
      <c r="AC18" s="1">
        <f t="shared" si="46"/>
        <v>3.1251395014517604</v>
      </c>
      <c r="AD18" s="1">
        <f t="shared" si="47"/>
        <v>6.7853482795385665</v>
      </c>
      <c r="AE18" s="14">
        <f t="shared" si="48"/>
        <v>2.7309573323259162</v>
      </c>
      <c r="AF18" s="14">
        <f t="shared" si="5"/>
        <v>63.203704440688199</v>
      </c>
      <c r="AG18" s="14" t="e">
        <f>V18*#REF!*#REF!</f>
        <v>#REF!</v>
      </c>
      <c r="AH18" s="15">
        <f t="shared" si="6"/>
        <v>297.95316634742073</v>
      </c>
      <c r="AI18" s="16">
        <f t="shared" si="7"/>
        <v>48.265137372264455</v>
      </c>
      <c r="AJ18" s="15">
        <f t="shared" si="8"/>
        <v>156.6071903976206</v>
      </c>
      <c r="AK18" s="7"/>
      <c r="AL18" s="12">
        <f t="shared" si="49"/>
        <v>0.68988576586557904</v>
      </c>
      <c r="AM18" s="14">
        <f t="shared" si="9"/>
        <v>0.32834586639665136</v>
      </c>
      <c r="AN18" s="14">
        <f t="shared" si="10"/>
        <v>1.062640647281675</v>
      </c>
      <c r="AO18" s="11">
        <f t="shared" si="65"/>
        <v>6.4714815419453995</v>
      </c>
      <c r="AP18" s="11">
        <f t="shared" si="11"/>
        <v>11.005224488654319</v>
      </c>
      <c r="AQ18" s="12">
        <f t="shared" si="12"/>
        <v>-2.0668080116945986E-2</v>
      </c>
      <c r="AR18" s="18">
        <f t="shared" si="13"/>
        <v>296.93413174806972</v>
      </c>
      <c r="AS18" s="18">
        <f t="shared" si="14"/>
        <v>48.389916984408686</v>
      </c>
      <c r="AT18" s="18">
        <f t="shared" si="15"/>
        <v>154.68448089808342</v>
      </c>
      <c r="AU18" s="17"/>
      <c r="AV18" s="11">
        <f t="shared" si="50"/>
        <v>-1.0190345993510164</v>
      </c>
      <c r="AW18" s="11">
        <f t="shared" si="51"/>
        <v>0.12477961214423061</v>
      </c>
      <c r="AX18" s="11">
        <f t="shared" si="52"/>
        <v>-1.9227094995371772</v>
      </c>
      <c r="AY18" s="11">
        <f t="shared" si="53"/>
        <v>7.1971601221139991E-2</v>
      </c>
      <c r="AZ18" s="17"/>
      <c r="BA18" s="2"/>
      <c r="BB18" s="12">
        <v>0.2033457200556533</v>
      </c>
      <c r="BC18" s="12">
        <v>0.50523364660407455</v>
      </c>
      <c r="BD18" s="12">
        <f t="shared" si="66"/>
        <v>0.21497259919151673</v>
      </c>
      <c r="BE18" s="12">
        <f t="shared" si="67"/>
        <v>0.44150718106829961</v>
      </c>
      <c r="BF18" s="12">
        <v>0.68988576586557904</v>
      </c>
      <c r="BG18" s="14">
        <f t="shared" si="16"/>
        <v>0.32834586639665136</v>
      </c>
      <c r="BH18" s="14">
        <f t="shared" si="17"/>
        <v>1.062640647281675</v>
      </c>
      <c r="BI18" s="11">
        <f t="shared" si="68"/>
        <v>6.4714815419453995</v>
      </c>
      <c r="BJ18" s="11">
        <f t="shared" si="18"/>
        <v>11.019082966711839</v>
      </c>
      <c r="BK18" s="12">
        <f t="shared" si="19"/>
        <v>-2.0668080116945986E-2</v>
      </c>
      <c r="BL18" s="11">
        <f t="shared" si="20"/>
        <v>8.583007927865971E-2</v>
      </c>
      <c r="BM18" s="14">
        <f t="shared" si="54"/>
        <v>3.1251395014517604</v>
      </c>
      <c r="BN18" s="14">
        <f t="shared" si="69"/>
        <v>6.7853482795385665</v>
      </c>
      <c r="BO18" s="14">
        <f t="shared" si="70"/>
        <v>2.7309573323259162</v>
      </c>
      <c r="BP18" s="14">
        <f t="shared" si="55"/>
        <v>63.203704440688199</v>
      </c>
      <c r="BQ18" s="15">
        <f t="shared" si="56"/>
        <v>297.95316634742073</v>
      </c>
      <c r="BR18" s="15">
        <f t="shared" si="57"/>
        <v>48.265137372264455</v>
      </c>
      <c r="BS18" s="15">
        <f t="shared" si="58"/>
        <v>156.6071903976206</v>
      </c>
      <c r="BT18" s="18">
        <f t="shared" si="21"/>
        <v>298.06033232630682</v>
      </c>
      <c r="BU18" s="18">
        <f t="shared" si="22"/>
        <v>48.40392804487233</v>
      </c>
      <c r="BV18" s="18">
        <f t="shared" si="23"/>
        <v>155.36479563516662</v>
      </c>
      <c r="BW18" s="11">
        <f t="shared" si="59"/>
        <v>0.10716597888608703</v>
      </c>
      <c r="BX18" s="11">
        <f t="shared" si="60"/>
        <v>-1.2423947624539835</v>
      </c>
      <c r="BY18" s="11">
        <f t="shared" si="61"/>
        <v>0.13879067260787536</v>
      </c>
      <c r="BZ18" s="11">
        <f t="shared" si="25"/>
        <v>202.92997453221335</v>
      </c>
      <c r="CA18" s="11">
        <f t="shared" si="26"/>
        <v>6.786568426191387</v>
      </c>
      <c r="CB18" s="11">
        <f t="shared" si="27"/>
        <v>2.7348810682989955</v>
      </c>
      <c r="CC18" s="11">
        <f t="shared" si="28"/>
        <v>6.4288679258942842</v>
      </c>
      <c r="CD18" s="11">
        <f t="shared" si="29"/>
        <v>3.1373812227825058</v>
      </c>
      <c r="CE18" s="11">
        <f t="shared" si="30"/>
        <v>57.581464165151445</v>
      </c>
      <c r="CF18" s="11">
        <f t="shared" si="31"/>
        <v>55.549289773382867</v>
      </c>
      <c r="CG18" s="11">
        <f t="shared" si="32"/>
        <v>56.565376969267156</v>
      </c>
      <c r="CH18" s="14">
        <f t="shared" si="33"/>
        <v>1.2201466528205529E-3</v>
      </c>
      <c r="CI18" s="14">
        <f t="shared" si="34"/>
        <v>3.9237359730792676E-3</v>
      </c>
      <c r="CJ18" s="14"/>
      <c r="CK18" s="14">
        <f t="shared" si="35"/>
        <v>1.2241721330745303E-2</v>
      </c>
      <c r="CL18" s="12"/>
      <c r="CM18" s="12"/>
      <c r="CN18" s="12"/>
      <c r="CQ18" s="17"/>
      <c r="CR18" s="20"/>
      <c r="CS18" s="20"/>
      <c r="CT18" s="21"/>
      <c r="DA18" s="14"/>
      <c r="DB18" s="14"/>
      <c r="DC18" s="14"/>
      <c r="DD18" s="14"/>
      <c r="DI18" s="12"/>
    </row>
    <row r="19" spans="1:113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2"/>
        <v>0.2146720043241416</v>
      </c>
      <c r="I19" s="12">
        <f t="shared" si="63"/>
        <v>0.44103865632053879</v>
      </c>
      <c r="J19" s="12">
        <f t="shared" si="36"/>
        <v>5.9704829119676596E-2</v>
      </c>
      <c r="K19" s="13">
        <f t="shared" si="37"/>
        <v>1.2932792640973495E-2</v>
      </c>
      <c r="L19" s="13">
        <f>SUM(K$3:$K19)</f>
        <v>0.74157469052943104</v>
      </c>
      <c r="M19" s="72">
        <f t="shared" si="64"/>
        <v>0.68964035968165227</v>
      </c>
      <c r="N19" s="12">
        <f t="shared" si="38"/>
        <v>1.3133100972784838E-4</v>
      </c>
      <c r="O19" s="21">
        <f t="shared" si="39"/>
        <v>3.9732652985210963E-10</v>
      </c>
      <c r="P19" s="11">
        <f>SUM(O$2:$O19)</f>
        <v>9.8577568455365487E-8</v>
      </c>
      <c r="Q19" s="12">
        <f t="shared" si="40"/>
        <v>1.0206111552189835E-3</v>
      </c>
      <c r="R19" s="3">
        <f t="shared" si="0"/>
        <v>0.3279955934229859</v>
      </c>
      <c r="S19" s="1">
        <f t="shared" si="41"/>
        <v>1.4562197099283649E-3</v>
      </c>
      <c r="T19" s="1">
        <f t="shared" si="42"/>
        <v>0.94004800403284272</v>
      </c>
      <c r="U19" s="1">
        <f t="shared" si="43"/>
        <v>4.1755994684357367E-3</v>
      </c>
      <c r="V19" s="11">
        <f t="shared" si="44"/>
        <v>6.4783925649261107</v>
      </c>
      <c r="W19" s="12">
        <f t="shared" si="45"/>
        <v>4.5189175160578805E-2</v>
      </c>
      <c r="X19" s="13">
        <f t="shared" si="1"/>
        <v>-2.1038702086517813E-2</v>
      </c>
      <c r="Y19" s="12">
        <f t="shared" si="2"/>
        <v>1.2130814511088281E-2</v>
      </c>
      <c r="Z19" s="12">
        <f t="shared" si="3"/>
        <v>4.1786626665738158E-3</v>
      </c>
      <c r="AA19" s="12" t="e">
        <f>SQRT((Q19/M19)^2 + (0.0002/H19)^2)*#REF!</f>
        <v>#REF!</v>
      </c>
      <c r="AB19" s="12">
        <f t="shared" si="4"/>
        <v>4.8406200317533859E-3</v>
      </c>
      <c r="AC19" s="1">
        <f t="shared" si="46"/>
        <v>3.1273465479653297</v>
      </c>
      <c r="AD19" s="1">
        <f t="shared" si="47"/>
        <v>6.8164561078136288</v>
      </c>
      <c r="AE19" s="14">
        <f t="shared" si="48"/>
        <v>2.7278262208751318</v>
      </c>
      <c r="AF19" s="14">
        <f t="shared" si="5"/>
        <v>63.360599681821576</v>
      </c>
      <c r="AG19" s="14" t="e">
        <f>V19*#REF!*#REF!</f>
        <v>#REF!</v>
      </c>
      <c r="AH19" s="15">
        <f t="shared" si="6"/>
        <v>301.0125106939642</v>
      </c>
      <c r="AI19" s="16">
        <f t="shared" si="7"/>
        <v>48.205951593506761</v>
      </c>
      <c r="AJ19" s="15">
        <f t="shared" si="8"/>
        <v>159.13666324200625</v>
      </c>
      <c r="AK19" s="7"/>
      <c r="AL19" s="12">
        <f t="shared" si="49"/>
        <v>0.68964035968165227</v>
      </c>
      <c r="AM19" s="14">
        <f t="shared" si="9"/>
        <v>0.3279955934229859</v>
      </c>
      <c r="AN19" s="14">
        <f t="shared" si="10"/>
        <v>1.0637754622210365</v>
      </c>
      <c r="AO19" s="11">
        <f t="shared" si="65"/>
        <v>6.4783925649261107</v>
      </c>
      <c r="AP19" s="11">
        <f t="shared" si="11"/>
        <v>11.221353065587902</v>
      </c>
      <c r="AQ19" s="12">
        <f t="shared" si="12"/>
        <v>-2.1038701989879338E-2</v>
      </c>
      <c r="AR19" s="18">
        <f t="shared" si="13"/>
        <v>298.01568275607053</v>
      </c>
      <c r="AS19" s="18">
        <f t="shared" si="14"/>
        <v>48.413847473709282</v>
      </c>
      <c r="AT19" s="18">
        <f t="shared" si="15"/>
        <v>155.31368717941845</v>
      </c>
      <c r="AU19" s="17"/>
      <c r="AV19" s="11">
        <f t="shared" si="50"/>
        <v>-2.99682793789367</v>
      </c>
      <c r="AW19" s="11">
        <f t="shared" si="51"/>
        <v>0.20789588020252125</v>
      </c>
      <c r="AX19" s="11">
        <f t="shared" si="52"/>
        <v>-3.8229760625877987</v>
      </c>
      <c r="AY19" s="11">
        <f t="shared" si="53"/>
        <v>7.2878664622587408E-2</v>
      </c>
      <c r="AZ19" s="17"/>
      <c r="BA19" s="2"/>
      <c r="BB19" s="12">
        <v>0.20234572005565329</v>
      </c>
      <c r="BC19" s="12">
        <v>0.5056336466040745</v>
      </c>
      <c r="BD19" s="12">
        <f t="shared" si="66"/>
        <v>0.2146720043241416</v>
      </c>
      <c r="BE19" s="12">
        <f t="shared" si="67"/>
        <v>0.44103865632053879</v>
      </c>
      <c r="BF19" s="12">
        <v>0.68964035968165227</v>
      </c>
      <c r="BG19" s="14">
        <f t="shared" si="16"/>
        <v>0.3279955934229859</v>
      </c>
      <c r="BH19" s="14">
        <f t="shared" si="17"/>
        <v>1.0637754622210365</v>
      </c>
      <c r="BI19" s="11">
        <f t="shared" si="68"/>
        <v>6.4783925649261107</v>
      </c>
      <c r="BJ19" s="11">
        <f t="shared" si="18"/>
        <v>11.236109168731168</v>
      </c>
      <c r="BK19" s="12">
        <f t="shared" si="19"/>
        <v>-2.1038701989879338E-2</v>
      </c>
      <c r="BL19" s="11">
        <f t="shared" si="20"/>
        <v>8.7634767765853994E-2</v>
      </c>
      <c r="BM19" s="14">
        <f t="shared" si="54"/>
        <v>3.1273465479653297</v>
      </c>
      <c r="BN19" s="14">
        <f t="shared" si="69"/>
        <v>6.8164561078136288</v>
      </c>
      <c r="BO19" s="14">
        <f t="shared" si="70"/>
        <v>2.7278262208751318</v>
      </c>
      <c r="BP19" s="14">
        <f t="shared" si="55"/>
        <v>63.360599681821576</v>
      </c>
      <c r="BQ19" s="15">
        <f t="shared" si="56"/>
        <v>301.0125106939642</v>
      </c>
      <c r="BR19" s="15">
        <f t="shared" si="57"/>
        <v>48.205951593506761</v>
      </c>
      <c r="BS19" s="15">
        <f t="shared" si="58"/>
        <v>159.13666324200625</v>
      </c>
      <c r="BT19" s="18">
        <f t="shared" si="21"/>
        <v>299.17471728403331</v>
      </c>
      <c r="BU19" s="18">
        <f t="shared" si="22"/>
        <v>48.42831935962586</v>
      </c>
      <c r="BV19" s="18">
        <f t="shared" si="23"/>
        <v>156.01375060679334</v>
      </c>
      <c r="BW19" s="11">
        <f t="shared" si="59"/>
        <v>-1.8377934099308959</v>
      </c>
      <c r="BX19" s="11">
        <f t="shared" si="60"/>
        <v>-3.1229126352129128</v>
      </c>
      <c r="BY19" s="11">
        <f t="shared" si="61"/>
        <v>0.22236776611909903</v>
      </c>
      <c r="BZ19" s="11">
        <f t="shared" si="25"/>
        <v>203.73407283253997</v>
      </c>
      <c r="CA19" s="11">
        <f t="shared" si="26"/>
        <v>6.7956157488173199</v>
      </c>
      <c r="CB19" s="11">
        <f t="shared" si="27"/>
        <v>2.7341105352855619</v>
      </c>
      <c r="CC19" s="11">
        <f t="shared" si="28"/>
        <v>6.4354791953799086</v>
      </c>
      <c r="CD19" s="11">
        <f t="shared" si="29"/>
        <v>3.1397234385513721</v>
      </c>
      <c r="CE19" s="11">
        <f t="shared" si="30"/>
        <v>57.68918495122351</v>
      </c>
      <c r="CF19" s="11">
        <f t="shared" si="31"/>
        <v>55.624900029247989</v>
      </c>
      <c r="CG19" s="11">
        <f t="shared" si="32"/>
        <v>56.657042490235753</v>
      </c>
      <c r="CH19" s="14">
        <f t="shared" si="33"/>
        <v>-2.0840358996308872E-2</v>
      </c>
      <c r="CI19" s="14">
        <f t="shared" si="34"/>
        <v>6.2843144104300919E-3</v>
      </c>
      <c r="CJ19" s="14"/>
      <c r="CK19" s="14">
        <f t="shared" si="35"/>
        <v>1.2376890586042411E-2</v>
      </c>
      <c r="CL19" s="12"/>
      <c r="CM19" s="12"/>
      <c r="CN19" s="12"/>
      <c r="CQ19" s="17"/>
      <c r="CR19" s="20"/>
      <c r="CS19" s="20"/>
      <c r="CT19" s="21"/>
      <c r="DA19" s="14"/>
      <c r="DB19" s="14"/>
      <c r="DC19" s="14"/>
      <c r="DD19" s="14"/>
      <c r="DI19" s="12"/>
    </row>
    <row r="20" spans="1:113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2"/>
        <v>0.21411396466537747</v>
      </c>
      <c r="I20" s="12">
        <f t="shared" si="63"/>
        <v>0.44015968553222901</v>
      </c>
      <c r="J20" s="12">
        <f t="shared" si="36"/>
        <v>5.9320500874921134E-2</v>
      </c>
      <c r="K20" s="13">
        <f t="shared" si="37"/>
        <v>2.3055130503091516E-2</v>
      </c>
      <c r="L20" s="13">
        <f>SUM(K$3:$K20)</f>
        <v>0.76462982103252253</v>
      </c>
      <c r="M20" s="72">
        <f t="shared" si="64"/>
        <v>0.68920330986458733</v>
      </c>
      <c r="N20" s="12">
        <f t="shared" si="38"/>
        <v>1.30626905590321E-4</v>
      </c>
      <c r="O20" s="21">
        <f t="shared" si="39"/>
        <v>1.2682190157043404E-9</v>
      </c>
      <c r="P20" s="11">
        <f>SUM(O$2:$O20)</f>
        <v>9.9845787471069831E-8</v>
      </c>
      <c r="Q20" s="12">
        <f t="shared" si="40"/>
        <v>1.0212431255701405E-3</v>
      </c>
      <c r="R20" s="3">
        <f t="shared" si="0"/>
        <v>0.32737240083432456</v>
      </c>
      <c r="S20" s="1">
        <f t="shared" si="41"/>
        <v>1.4552751375459909E-3</v>
      </c>
      <c r="T20" s="1">
        <f t="shared" si="42"/>
        <v>0.93826191007046544</v>
      </c>
      <c r="U20" s="1">
        <f t="shared" si="43"/>
        <v>4.1728922876061144E-3</v>
      </c>
      <c r="V20" s="11">
        <f t="shared" si="44"/>
        <v>6.4907249613731279</v>
      </c>
      <c r="W20" s="12">
        <f t="shared" si="45"/>
        <v>4.5298202655418049E-2</v>
      </c>
      <c r="X20" s="13">
        <f t="shared" si="1"/>
        <v>-2.169973220691801E-2</v>
      </c>
      <c r="Y20" s="12">
        <f t="shared" si="2"/>
        <v>1.2180882072092222E-2</v>
      </c>
      <c r="Z20" s="12">
        <f t="shared" si="3"/>
        <v>4.1844317629624308E-3</v>
      </c>
      <c r="AA20" s="12" t="e">
        <f>SQRT((Q20/M20)^2 + (0.0002/H20)^2)*#REF!</f>
        <v>#REF!</v>
      </c>
      <c r="AB20" s="12">
        <f t="shared" si="4"/>
        <v>4.8535990906573056E-3</v>
      </c>
      <c r="AC20" s="1">
        <f t="shared" si="46"/>
        <v>3.1316057899815228</v>
      </c>
      <c r="AD20" s="1">
        <f t="shared" si="47"/>
        <v>6.8323958463601082</v>
      </c>
      <c r="AE20" s="14">
        <f t="shared" si="48"/>
        <v>2.728255786197392</v>
      </c>
      <c r="AF20" s="14">
        <f t="shared" si="5"/>
        <v>63.654246470194529</v>
      </c>
      <c r="AG20" s="14" t="e">
        <f>V20*#REF!*#REF!</f>
        <v>#REF!</v>
      </c>
      <c r="AH20" s="15">
        <f t="shared" si="6"/>
        <v>302.99764055957951</v>
      </c>
      <c r="AI20" s="16">
        <f t="shared" si="7"/>
        <v>48.312929993348718</v>
      </c>
      <c r="AJ20" s="15">
        <f t="shared" si="8"/>
        <v>160.3478311423446</v>
      </c>
      <c r="AK20" s="7"/>
      <c r="AL20" s="12">
        <f t="shared" si="49"/>
        <v>0.68920330986458733</v>
      </c>
      <c r="AM20" s="14">
        <f t="shared" si="9"/>
        <v>0.32737240083432456</v>
      </c>
      <c r="AN20" s="14">
        <f t="shared" si="10"/>
        <v>1.0658004862681656</v>
      </c>
      <c r="AO20" s="11">
        <f t="shared" si="65"/>
        <v>6.4907249613731279</v>
      </c>
      <c r="AP20" s="11">
        <f t="shared" si="11"/>
        <v>11.608520105933051</v>
      </c>
      <c r="AQ20" s="12">
        <f t="shared" si="12"/>
        <v>-2.1699732107180347E-2</v>
      </c>
      <c r="AR20" s="18">
        <f t="shared" si="13"/>
        <v>299.94988834793457</v>
      </c>
      <c r="AS20" s="18">
        <f t="shared" si="14"/>
        <v>48.455094315578414</v>
      </c>
      <c r="AT20" s="18">
        <f t="shared" si="15"/>
        <v>156.43986910631259</v>
      </c>
      <c r="AU20" s="17"/>
      <c r="AV20" s="11">
        <f t="shared" si="50"/>
        <v>-3.0477522116449336</v>
      </c>
      <c r="AW20" s="11">
        <f t="shared" si="51"/>
        <v>0.14216432222969644</v>
      </c>
      <c r="AX20" s="11">
        <f t="shared" si="52"/>
        <v>-3.9079620360320177</v>
      </c>
      <c r="AY20" s="11">
        <f t="shared" si="53"/>
        <v>7.2646980609855305E-2</v>
      </c>
      <c r="AZ20" s="17"/>
      <c r="BA20" s="2"/>
      <c r="BB20" s="12">
        <v>0.20174572005565328</v>
      </c>
      <c r="BC20" s="12">
        <v>0.50523364660407455</v>
      </c>
      <c r="BD20" s="12">
        <f t="shared" si="66"/>
        <v>0.21411396466537747</v>
      </c>
      <c r="BE20" s="12">
        <f t="shared" si="67"/>
        <v>0.44015968553222901</v>
      </c>
      <c r="BF20" s="12">
        <v>0.68920330986458733</v>
      </c>
      <c r="BG20" s="14">
        <f t="shared" si="16"/>
        <v>0.32737240083432456</v>
      </c>
      <c r="BH20" s="14">
        <f t="shared" si="17"/>
        <v>1.0658004862681656</v>
      </c>
      <c r="BI20" s="11">
        <f t="shared" si="68"/>
        <v>6.4907249613731279</v>
      </c>
      <c r="BJ20" s="11">
        <f t="shared" si="18"/>
        <v>11.624939713419161</v>
      </c>
      <c r="BK20" s="12">
        <f t="shared" si="19"/>
        <v>-2.1699732107180347E-2</v>
      </c>
      <c r="BL20" s="11">
        <f t="shared" si="20"/>
        <v>8.9066588095965571E-2</v>
      </c>
      <c r="BM20" s="14">
        <f t="shared" si="54"/>
        <v>3.1316057899815228</v>
      </c>
      <c r="BN20" s="14">
        <f t="shared" si="69"/>
        <v>6.8323958463601082</v>
      </c>
      <c r="BO20" s="14">
        <f t="shared" si="70"/>
        <v>2.728255786197392</v>
      </c>
      <c r="BP20" s="14">
        <f t="shared" si="55"/>
        <v>63.654246470194529</v>
      </c>
      <c r="BQ20" s="15">
        <f t="shared" si="56"/>
        <v>302.99764055957951</v>
      </c>
      <c r="BR20" s="15">
        <f t="shared" si="57"/>
        <v>48.312929993348718</v>
      </c>
      <c r="BS20" s="15">
        <f t="shared" si="58"/>
        <v>160.3478311423446</v>
      </c>
      <c r="BT20" s="18">
        <f t="shared" si="21"/>
        <v>301.16802371843085</v>
      </c>
      <c r="BU20" s="18">
        <f t="shared" si="22"/>
        <v>48.470445232565254</v>
      </c>
      <c r="BV20" s="18">
        <f t="shared" si="23"/>
        <v>157.17543837731205</v>
      </c>
      <c r="BW20" s="11">
        <f t="shared" si="59"/>
        <v>-1.8296168411486633</v>
      </c>
      <c r="BX20" s="11">
        <f t="shared" si="60"/>
        <v>-3.172392765032555</v>
      </c>
      <c r="BY20" s="11">
        <f t="shared" si="61"/>
        <v>0.15751523921653643</v>
      </c>
      <c r="BZ20" s="11">
        <f t="shared" si="25"/>
        <v>205.17296682435165</v>
      </c>
      <c r="CA20" s="11">
        <f t="shared" si="26"/>
        <v>6.8117362883557204</v>
      </c>
      <c r="CB20" s="11">
        <f t="shared" si="27"/>
        <v>2.7326996499781253</v>
      </c>
      <c r="CC20" s="11">
        <f t="shared" si="28"/>
        <v>6.4472506775440221</v>
      </c>
      <c r="CD20" s="11">
        <f t="shared" si="29"/>
        <v>3.143883705063959</v>
      </c>
      <c r="CE20" s="11">
        <f t="shared" si="30"/>
        <v>57.880784207762915</v>
      </c>
      <c r="CF20" s="11">
        <f t="shared" si="31"/>
        <v>55.758395531084005</v>
      </c>
      <c r="CG20" s="11">
        <f t="shared" si="32"/>
        <v>56.81958986942346</v>
      </c>
      <c r="CH20" s="14">
        <f t="shared" si="33"/>
        <v>-2.065955800438779E-2</v>
      </c>
      <c r="CI20" s="14">
        <f t="shared" si="34"/>
        <v>4.4438637807333592E-3</v>
      </c>
      <c r="CJ20" s="14"/>
      <c r="CK20" s="14">
        <f t="shared" si="35"/>
        <v>1.2277915082436142E-2</v>
      </c>
      <c r="CL20" s="12"/>
      <c r="CM20" s="12"/>
      <c r="CN20" s="12"/>
      <c r="CQ20" s="17"/>
      <c r="CR20" s="20"/>
      <c r="CS20" s="20"/>
      <c r="CT20" s="21"/>
      <c r="DA20" s="14"/>
      <c r="DB20" s="14"/>
      <c r="DC20" s="14"/>
      <c r="DD20" s="14"/>
      <c r="DI20" s="12"/>
    </row>
    <row r="21" spans="1:113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2"/>
        <v>0.21331253332335973</v>
      </c>
      <c r="I21" s="12">
        <f t="shared" si="63"/>
        <v>0.43892871432296038</v>
      </c>
      <c r="J21" s="12">
        <f t="shared" si="36"/>
        <v>5.8860154511449291E-2</v>
      </c>
      <c r="K21" s="13">
        <f t="shared" si="37"/>
        <v>3.0522023426971037E-2</v>
      </c>
      <c r="L21" s="13">
        <f>SUM(K$3:$K21)</f>
        <v>0.79515184445949361</v>
      </c>
      <c r="M21" s="72">
        <f t="shared" si="64"/>
        <v>0.68862556359445315</v>
      </c>
      <c r="N21" s="12">
        <f t="shared" si="38"/>
        <v>1.2937642711028898E-4</v>
      </c>
      <c r="O21" s="21">
        <f t="shared" si="39"/>
        <v>2.2135021076904881E-9</v>
      </c>
      <c r="P21" s="11">
        <f>SUM(O$2:$O21)</f>
        <v>1.0205928957876032E-7</v>
      </c>
      <c r="Q21" s="12">
        <f t="shared" si="40"/>
        <v>1.0220787760078494E-3</v>
      </c>
      <c r="R21" s="3">
        <f t="shared" si="0"/>
        <v>0.32654980027168945</v>
      </c>
      <c r="S21" s="1">
        <f t="shared" si="41"/>
        <v>1.4540251094883306E-3</v>
      </c>
      <c r="T21" s="1">
        <f t="shared" si="42"/>
        <v>0.93590430517415757</v>
      </c>
      <c r="U21" s="1">
        <f t="shared" si="43"/>
        <v>4.1693096590460004E-3</v>
      </c>
      <c r="V21" s="11">
        <f t="shared" si="44"/>
        <v>6.5070755272001266</v>
      </c>
      <c r="W21" s="12">
        <f t="shared" si="45"/>
        <v>4.5442874157999927E-2</v>
      </c>
      <c r="X21" s="13">
        <f t="shared" si="1"/>
        <v>-2.2575495556622527E-2</v>
      </c>
      <c r="Y21" s="12">
        <f t="shared" si="2"/>
        <v>1.2248167771665411E-2</v>
      </c>
      <c r="Z21" s="12">
        <f t="shared" si="3"/>
        <v>4.1820981494878036E-3</v>
      </c>
      <c r="AA21" s="12" t="e">
        <f>SQRT((Q21/M21)^2 + (0.0002/H21)^2)*#REF!</f>
        <v>#REF!</v>
      </c>
      <c r="AB21" s="12">
        <f t="shared" si="4"/>
        <v>4.8716731363574748E-3</v>
      </c>
      <c r="AC21" s="1">
        <f t="shared" si="46"/>
        <v>3.1377558183070602</v>
      </c>
      <c r="AD21" s="1">
        <f t="shared" si="47"/>
        <v>6.8538465353104669</v>
      </c>
      <c r="AE21" s="14">
        <f t="shared" si="48"/>
        <v>2.7227353032664241</v>
      </c>
      <c r="AF21" s="14">
        <f t="shared" si="5"/>
        <v>64.065487424529096</v>
      </c>
      <c r="AG21" s="14" t="e">
        <f>V21*#REF!*#REF!</f>
        <v>#REF!</v>
      </c>
      <c r="AH21" s="15">
        <f t="shared" si="6"/>
        <v>305.67125453488711</v>
      </c>
      <c r="AI21" s="16">
        <f t="shared" si="7"/>
        <v>48.238821873319068</v>
      </c>
      <c r="AJ21" s="15">
        <f t="shared" si="8"/>
        <v>161.71361413461889</v>
      </c>
      <c r="AK21" s="7"/>
      <c r="AL21" s="12">
        <f t="shared" si="49"/>
        <v>0.68862556359445315</v>
      </c>
      <c r="AM21" s="14">
        <f t="shared" si="9"/>
        <v>0.32654980027168945</v>
      </c>
      <c r="AN21" s="14">
        <f t="shared" si="10"/>
        <v>1.0684853082430421</v>
      </c>
      <c r="AO21" s="11">
        <f t="shared" si="65"/>
        <v>6.5070755272001266</v>
      </c>
      <c r="AP21" s="11">
        <f t="shared" si="11"/>
        <v>12.124793079372603</v>
      </c>
      <c r="AQ21" s="12">
        <f t="shared" si="12"/>
        <v>-2.2575495452773153E-2</v>
      </c>
      <c r="AR21" s="18">
        <f t="shared" si="13"/>
        <v>302.52265165339429</v>
      </c>
      <c r="AS21" s="18">
        <f t="shared" si="14"/>
        <v>48.506885456009215</v>
      </c>
      <c r="AT21" s="18">
        <f t="shared" si="15"/>
        <v>157.93969891471366</v>
      </c>
      <c r="AU21" s="17"/>
      <c r="AV21" s="11">
        <f t="shared" si="50"/>
        <v>-3.1486028814928204</v>
      </c>
      <c r="AW21" s="11">
        <f t="shared" si="51"/>
        <v>0.26806358269014652</v>
      </c>
      <c r="AX21" s="11">
        <f t="shared" si="52"/>
        <v>-3.7739152199052342</v>
      </c>
      <c r="AY21" s="11">
        <f t="shared" si="53"/>
        <v>7.2388321572251613E-2</v>
      </c>
      <c r="AZ21" s="17"/>
      <c r="BA21" s="2"/>
      <c r="BB21" s="12">
        <v>0.20094572005565328</v>
      </c>
      <c r="BC21" s="12">
        <v>0.50583364660407459</v>
      </c>
      <c r="BD21" s="12">
        <f t="shared" si="66"/>
        <v>0.21331253332335973</v>
      </c>
      <c r="BE21" s="12">
        <f t="shared" si="67"/>
        <v>0.43892871432296038</v>
      </c>
      <c r="BF21" s="12">
        <v>0.68862556359445315</v>
      </c>
      <c r="BG21" s="14">
        <f t="shared" si="16"/>
        <v>0.32654980027168945</v>
      </c>
      <c r="BH21" s="14">
        <f t="shared" si="17"/>
        <v>1.0684853082430421</v>
      </c>
      <c r="BI21" s="11">
        <f t="shared" si="68"/>
        <v>6.5070755272001266</v>
      </c>
      <c r="BJ21" s="11">
        <f t="shared" si="18"/>
        <v>12.143541005330064</v>
      </c>
      <c r="BK21" s="12">
        <f t="shared" si="19"/>
        <v>-2.2575495452773153E-2</v>
      </c>
      <c r="BL21" s="11">
        <f t="shared" si="20"/>
        <v>9.1136247529712833E-2</v>
      </c>
      <c r="BM21" s="14">
        <f t="shared" si="54"/>
        <v>3.1377558183070602</v>
      </c>
      <c r="BN21" s="14">
        <f t="shared" si="69"/>
        <v>6.8538465353104669</v>
      </c>
      <c r="BO21" s="14">
        <f t="shared" si="70"/>
        <v>2.7227353032664241</v>
      </c>
      <c r="BP21" s="14">
        <f t="shared" si="55"/>
        <v>64.065487424529096</v>
      </c>
      <c r="BQ21" s="15">
        <f t="shared" si="56"/>
        <v>305.67125453488711</v>
      </c>
      <c r="BR21" s="15">
        <f t="shared" si="57"/>
        <v>48.238821873319068</v>
      </c>
      <c r="BS21" s="15">
        <f t="shared" si="58"/>
        <v>161.71361413461889</v>
      </c>
      <c r="BT21" s="18">
        <f t="shared" si="21"/>
        <v>303.8201568804032</v>
      </c>
      <c r="BU21" s="18">
        <f t="shared" si="22"/>
        <v>48.523514658172026</v>
      </c>
      <c r="BV21" s="18">
        <f t="shared" si="23"/>
        <v>158.72286881383212</v>
      </c>
      <c r="BW21" s="11">
        <f t="shared" si="59"/>
        <v>-1.8510976544839082</v>
      </c>
      <c r="BX21" s="11">
        <f t="shared" si="60"/>
        <v>-2.9907453207867718</v>
      </c>
      <c r="BY21" s="11">
        <f t="shared" si="61"/>
        <v>0.28469278485295746</v>
      </c>
      <c r="BZ21" s="11">
        <f t="shared" si="25"/>
        <v>207.08863150268917</v>
      </c>
      <c r="CA21" s="11">
        <f t="shared" si="26"/>
        <v>6.8330621055114262</v>
      </c>
      <c r="CB21" s="11">
        <f t="shared" si="27"/>
        <v>2.7307579161311719</v>
      </c>
      <c r="CC21" s="11">
        <f t="shared" si="28"/>
        <v>6.4628063303449972</v>
      </c>
      <c r="CD21" s="11">
        <f t="shared" si="29"/>
        <v>3.1493614011416979</v>
      </c>
      <c r="CE21" s="11">
        <f t="shared" si="30"/>
        <v>58.13356640821744</v>
      </c>
      <c r="CF21" s="11">
        <f t="shared" si="31"/>
        <v>55.932537803471938</v>
      </c>
      <c r="CG21" s="11">
        <f t="shared" si="32"/>
        <v>57.033052105844689</v>
      </c>
      <c r="CH21" s="14">
        <f t="shared" si="33"/>
        <v>-2.0784429799040716E-2</v>
      </c>
      <c r="CI21" s="14">
        <f t="shared" si="34"/>
        <v>8.0226128647478134E-3</v>
      </c>
      <c r="CJ21" s="14"/>
      <c r="CK21" s="14">
        <f t="shared" si="35"/>
        <v>1.1605582834637751E-2</v>
      </c>
      <c r="CL21" s="12"/>
      <c r="CM21" s="12"/>
      <c r="CN21" s="12"/>
      <c r="CQ21" s="17"/>
      <c r="CR21" s="20"/>
      <c r="CS21" s="20"/>
      <c r="CT21" s="21"/>
      <c r="DA21" s="14"/>
      <c r="DB21" s="14"/>
      <c r="DC21" s="14"/>
      <c r="DD21" s="14"/>
      <c r="DI21" s="12"/>
    </row>
    <row r="22" spans="1:113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2"/>
        <v>0.21287428502659014</v>
      </c>
      <c r="I22" s="12">
        <f t="shared" si="63"/>
        <v>0.43830096371475474</v>
      </c>
      <c r="J22" s="12">
        <f t="shared" si="36"/>
        <v>5.8493542117970768E-2</v>
      </c>
      <c r="K22" s="13">
        <f t="shared" si="37"/>
        <v>1.5154224124305856E-2</v>
      </c>
      <c r="L22" s="13">
        <f>SUM(K$3:$K22)</f>
        <v>0.8103060685837995</v>
      </c>
      <c r="M22" s="72">
        <f t="shared" si="64"/>
        <v>0.68833907152648766</v>
      </c>
      <c r="N22" s="12">
        <f t="shared" si="38"/>
        <v>1.2824611447049164E-4</v>
      </c>
      <c r="O22" s="21">
        <f t="shared" si="39"/>
        <v>5.4536668453315195E-10</v>
      </c>
      <c r="P22" s="11">
        <f>SUM(O$2:$O22)</f>
        <v>1.0260465626329348E-7</v>
      </c>
      <c r="Q22" s="12">
        <f t="shared" si="40"/>
        <v>1.0224932497090015E-3</v>
      </c>
      <c r="R22" s="3">
        <f t="shared" si="0"/>
        <v>0.32614240175393233</v>
      </c>
      <c r="S22" s="1">
        <f t="shared" si="41"/>
        <v>1.453404657813811E-3</v>
      </c>
      <c r="T22" s="1">
        <f t="shared" si="42"/>
        <v>0.93473668533065069</v>
      </c>
      <c r="U22" s="1">
        <f t="shared" si="43"/>
        <v>4.1675314206491235E-3</v>
      </c>
      <c r="V22" s="11">
        <f t="shared" si="44"/>
        <v>6.515203795436511</v>
      </c>
      <c r="W22" s="12">
        <f t="shared" si="45"/>
        <v>4.5514844852067707E-2</v>
      </c>
      <c r="X22" s="13">
        <f t="shared" si="1"/>
        <v>-2.3010586044270198E-2</v>
      </c>
      <c r="Y22" s="12">
        <f t="shared" si="2"/>
        <v>1.229811362900431E-2</v>
      </c>
      <c r="Z22" s="12">
        <f t="shared" si="3"/>
        <v>4.1730124178362936E-3</v>
      </c>
      <c r="AA22" s="12" t="e">
        <f>SQRT((Q22/M22)^2 + (0.0002/H22)^2)*#REF!</f>
        <v>#REF!</v>
      </c>
      <c r="AB22" s="12">
        <f t="shared" si="4"/>
        <v>4.8808853440217874E-3</v>
      </c>
      <c r="AC22" s="1">
        <f t="shared" si="46"/>
        <v>3.1409425418213641</v>
      </c>
      <c r="AD22" s="1">
        <f t="shared" si="47"/>
        <v>6.8715126166436349</v>
      </c>
      <c r="AE22" s="14">
        <f t="shared" si="48"/>
        <v>2.7151613157695955</v>
      </c>
      <c r="AF22" s="14">
        <f t="shared" si="5"/>
        <v>64.275873680381693</v>
      </c>
      <c r="AG22" s="14" t="e">
        <f>V22*#REF!*#REF!</f>
        <v>#REF!</v>
      </c>
      <c r="AH22" s="15">
        <f t="shared" si="6"/>
        <v>307.63284469796878</v>
      </c>
      <c r="AI22" s="16">
        <f t="shared" si="7"/>
        <v>48.030740224331019</v>
      </c>
      <c r="AJ22" s="15">
        <f t="shared" si="8"/>
        <v>162.8359638811547</v>
      </c>
      <c r="AK22" s="7"/>
      <c r="AL22" s="12">
        <f t="shared" si="49"/>
        <v>0.68833907152648766</v>
      </c>
      <c r="AM22" s="14">
        <f t="shared" si="9"/>
        <v>0.32614240175393233</v>
      </c>
      <c r="AN22" s="14">
        <f t="shared" si="10"/>
        <v>1.0698199992506587</v>
      </c>
      <c r="AO22" s="11">
        <f t="shared" si="65"/>
        <v>6.515203795436511</v>
      </c>
      <c r="AP22" s="11">
        <f t="shared" si="11"/>
        <v>12.382701224889214</v>
      </c>
      <c r="AQ22" s="12">
        <f t="shared" si="12"/>
        <v>-2.3010585938375572E-2</v>
      </c>
      <c r="AR22" s="18">
        <f t="shared" si="13"/>
        <v>303.8051757100435</v>
      </c>
      <c r="AS22" s="18">
        <f t="shared" si="14"/>
        <v>48.531396243040987</v>
      </c>
      <c r="AT22" s="18">
        <f t="shared" si="15"/>
        <v>158.68815258879079</v>
      </c>
      <c r="AU22" s="17"/>
      <c r="AV22" s="11">
        <f t="shared" si="50"/>
        <v>-3.8276689879252785</v>
      </c>
      <c r="AW22" s="11">
        <f t="shared" si="51"/>
        <v>0.50065601870996801</v>
      </c>
      <c r="AX22" s="11">
        <f t="shared" si="52"/>
        <v>-4.1478112923639117</v>
      </c>
      <c r="AY22" s="11">
        <f t="shared" si="53"/>
        <v>7.2030650850283706E-2</v>
      </c>
      <c r="AZ22" s="17"/>
      <c r="BA22" s="2"/>
      <c r="BB22" s="12">
        <v>0.20034572005565329</v>
      </c>
      <c r="BC22" s="12">
        <v>0.50703364660407457</v>
      </c>
      <c r="BD22" s="12">
        <f t="shared" si="66"/>
        <v>0.21287428502659014</v>
      </c>
      <c r="BE22" s="12">
        <f t="shared" si="67"/>
        <v>0.43830096371475474</v>
      </c>
      <c r="BF22" s="12">
        <v>0.68833907152648766</v>
      </c>
      <c r="BG22" s="14">
        <f t="shared" si="16"/>
        <v>0.32614240175393233</v>
      </c>
      <c r="BH22" s="14">
        <f t="shared" si="17"/>
        <v>1.0698199992506587</v>
      </c>
      <c r="BI22" s="11">
        <f t="shared" si="68"/>
        <v>6.515203795436511</v>
      </c>
      <c r="BJ22" s="11">
        <f t="shared" si="18"/>
        <v>12.402659072608213</v>
      </c>
      <c r="BK22" s="12">
        <f t="shared" si="19"/>
        <v>-2.3010585938375572E-2</v>
      </c>
      <c r="BL22" s="11">
        <f t="shared" si="20"/>
        <v>9.1988498569282484E-2</v>
      </c>
      <c r="BM22" s="14">
        <f t="shared" si="54"/>
        <v>3.1409425418213641</v>
      </c>
      <c r="BN22" s="14">
        <f t="shared" si="69"/>
        <v>6.8715126166436349</v>
      </c>
      <c r="BO22" s="14">
        <f t="shared" si="70"/>
        <v>2.7151613157695955</v>
      </c>
      <c r="BP22" s="14">
        <f t="shared" si="55"/>
        <v>64.275873680381693</v>
      </c>
      <c r="BQ22" s="15">
        <f t="shared" si="56"/>
        <v>307.63284469796878</v>
      </c>
      <c r="BR22" s="15">
        <f t="shared" si="57"/>
        <v>48.030740224331019</v>
      </c>
      <c r="BS22" s="15">
        <f t="shared" si="58"/>
        <v>162.8359638811547</v>
      </c>
      <c r="BT22" s="18">
        <f t="shared" si="21"/>
        <v>305.14256919844433</v>
      </c>
      <c r="BU22" s="18">
        <f t="shared" si="22"/>
        <v>48.548709129776825</v>
      </c>
      <c r="BV22" s="18">
        <f t="shared" si="23"/>
        <v>159.4952100687081</v>
      </c>
      <c r="BW22" s="11">
        <f t="shared" si="59"/>
        <v>-2.4902754995244436</v>
      </c>
      <c r="BX22" s="11">
        <f t="shared" si="60"/>
        <v>-3.340753812446593</v>
      </c>
      <c r="BY22" s="11">
        <f t="shared" si="61"/>
        <v>0.51796890544580521</v>
      </c>
      <c r="BZ22" s="11">
        <f t="shared" si="25"/>
        <v>208.04432977862018</v>
      </c>
      <c r="CA22" s="11">
        <f t="shared" si="26"/>
        <v>6.8436437937214389</v>
      </c>
      <c r="CB22" s="11">
        <f t="shared" si="27"/>
        <v>2.7297623590323274</v>
      </c>
      <c r="CC22" s="11">
        <f t="shared" si="28"/>
        <v>6.4705177652662158</v>
      </c>
      <c r="CD22" s="11">
        <f t="shared" si="29"/>
        <v>3.1520683772612679</v>
      </c>
      <c r="CE22" s="11">
        <f t="shared" si="30"/>
        <v>58.258697303813349</v>
      </c>
      <c r="CF22" s="11">
        <f t="shared" si="31"/>
        <v>56.017887070830547</v>
      </c>
      <c r="CG22" s="11">
        <f t="shared" si="32"/>
        <v>57.138292187321952</v>
      </c>
      <c r="CH22" s="14">
        <f t="shared" si="33"/>
        <v>-2.7868822922195946E-2</v>
      </c>
      <c r="CI22" s="14">
        <f t="shared" si="34"/>
        <v>1.4601043262731928E-2</v>
      </c>
      <c r="CJ22" s="14"/>
      <c r="CK22" s="14">
        <f t="shared" si="35"/>
        <v>1.1125835439903753E-2</v>
      </c>
      <c r="CL22" s="12"/>
      <c r="CM22" s="12"/>
      <c r="CN22" s="12"/>
      <c r="CQ22" s="12"/>
      <c r="CR22" s="14"/>
      <c r="CS22" s="11"/>
      <c r="CT22" s="12"/>
    </row>
    <row r="23" spans="1:113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2"/>
        <v>0.21256349294839896</v>
      </c>
      <c r="I23" s="12">
        <f t="shared" si="63"/>
        <v>0.43788451653512361</v>
      </c>
      <c r="J23" s="12">
        <f t="shared" si="36"/>
        <v>5.8044917428681807E-2</v>
      </c>
      <c r="K23" s="13">
        <f t="shared" si="37"/>
        <v>1.0032633459334271E-2</v>
      </c>
      <c r="L23" s="13">
        <f>SUM(K$3:$K23)</f>
        <v>0.82033870204313375</v>
      </c>
      <c r="M23" s="73">
        <f t="shared" si="64"/>
        <v>0.68814953473623941</v>
      </c>
      <c r="N23" s="12">
        <f t="shared" si="38"/>
        <v>1.2750677771652236E-4</v>
      </c>
      <c r="O23" s="21">
        <f t="shared" si="39"/>
        <v>1.2049190933788425E-10</v>
      </c>
      <c r="P23" s="11">
        <f>SUM(O$2:$O23)</f>
        <v>1.0272514817263136E-7</v>
      </c>
      <c r="Q23" s="12">
        <f t="shared" si="40"/>
        <v>1.0227674880967745E-3</v>
      </c>
      <c r="R23" s="3">
        <f t="shared" si="0"/>
        <v>0.32587306226627066</v>
      </c>
      <c r="S23" s="1">
        <f t="shared" si="41"/>
        <v>1.4529939635586251E-3</v>
      </c>
      <c r="T23" s="1">
        <f t="shared" si="42"/>
        <v>0.93396474798496487</v>
      </c>
      <c r="U23" s="12">
        <f t="shared" si="43"/>
        <v>4.1663543550952064E-3</v>
      </c>
      <c r="V23" s="11">
        <f t="shared" si="44"/>
        <v>6.5205887193699921</v>
      </c>
      <c r="W23" s="12">
        <f t="shared" si="45"/>
        <v>4.5562543541859152E-2</v>
      </c>
      <c r="X23" s="13">
        <f t="shared" si="1"/>
        <v>-2.3298730974615101E-2</v>
      </c>
      <c r="Y23" s="12">
        <f t="shared" si="2"/>
        <v>1.2347809767322838E-2</v>
      </c>
      <c r="Z23" s="12">
        <f t="shared" si="3"/>
        <v>4.1757377978782883E-3</v>
      </c>
      <c r="AA23" s="12" t="e">
        <f>SQRT((Q23/M23)^2 + (0.0002/H23)^2)*#REF!</f>
        <v>#REF!</v>
      </c>
      <c r="AB23" s="12">
        <f t="shared" si="4"/>
        <v>4.887009181420896E-3</v>
      </c>
      <c r="AC23" s="1">
        <f t="shared" si="46"/>
        <v>3.1430640214520649</v>
      </c>
      <c r="AD23" s="1">
        <f t="shared" si="47"/>
        <v>6.8902556164358044</v>
      </c>
      <c r="AE23" s="14">
        <f t="shared" si="48"/>
        <v>2.715484811819544</v>
      </c>
      <c r="AF23" s="14">
        <f t="shared" si="5"/>
        <v>64.415927279208432</v>
      </c>
      <c r="AG23" s="14" t="e">
        <f>V23*#REF!*#REF!</f>
        <v>#REF!</v>
      </c>
      <c r="AH23" s="15">
        <f t="shared" si="6"/>
        <v>309.56900825660449</v>
      </c>
      <c r="AI23" s="16">
        <f t="shared" si="7"/>
        <v>48.081893749108289</v>
      </c>
      <c r="AJ23" s="15">
        <f t="shared" si="8"/>
        <v>164.4031201680875</v>
      </c>
      <c r="AK23" s="7"/>
      <c r="AL23" s="12">
        <f t="shared" si="49"/>
        <v>0.68814953473623941</v>
      </c>
      <c r="AM23" s="14">
        <f t="shared" si="9"/>
        <v>0.32587306226627066</v>
      </c>
      <c r="AN23" s="14">
        <f t="shared" si="10"/>
        <v>1.0707042232134636</v>
      </c>
      <c r="AO23" s="11">
        <f t="shared" si="65"/>
        <v>6.5205887193699921</v>
      </c>
      <c r="AP23" s="11">
        <f t="shared" si="11"/>
        <v>12.5540233853361</v>
      </c>
      <c r="AQ23" s="12">
        <f t="shared" si="12"/>
        <v>-2.3298730867365225E-2</v>
      </c>
      <c r="AR23" s="18">
        <f t="shared" si="13"/>
        <v>304.65613334954242</v>
      </c>
      <c r="AS23" s="18">
        <f t="shared" si="14"/>
        <v>48.547180212494041</v>
      </c>
      <c r="AT23" s="18">
        <f t="shared" si="15"/>
        <v>159.18504203823005</v>
      </c>
      <c r="AU23" s="17"/>
      <c r="AV23" s="11">
        <f t="shared" si="50"/>
        <v>-4.9128749070620756</v>
      </c>
      <c r="AW23" s="11">
        <f t="shared" si="51"/>
        <v>0.46528646338575186</v>
      </c>
      <c r="AX23" s="11">
        <f t="shared" si="52"/>
        <v>-5.2180781298574459</v>
      </c>
      <c r="AY23" s="11">
        <f t="shared" si="53"/>
        <v>7.1175600471450551E-2</v>
      </c>
      <c r="AZ23" s="17"/>
      <c r="BA23" s="2"/>
      <c r="BB23" s="12">
        <v>0.19974572005565328</v>
      </c>
      <c r="BC23" s="12">
        <v>0.50683364660407459</v>
      </c>
      <c r="BD23" s="12">
        <f t="shared" si="66"/>
        <v>0.21256349294839896</v>
      </c>
      <c r="BE23" s="12">
        <f t="shared" si="67"/>
        <v>0.43788451653512361</v>
      </c>
      <c r="BF23" s="12">
        <v>0.68814953473623941</v>
      </c>
      <c r="BG23" s="14">
        <f t="shared" si="16"/>
        <v>0.32587306226627066</v>
      </c>
      <c r="BH23" s="14">
        <f t="shared" si="17"/>
        <v>1.0707042232134636</v>
      </c>
      <c r="BI23" s="11">
        <f t="shared" si="68"/>
        <v>6.5205887193699921</v>
      </c>
      <c r="BJ23" s="11">
        <f t="shared" si="18"/>
        <v>12.574802088406583</v>
      </c>
      <c r="BK23" s="12">
        <f t="shared" si="19"/>
        <v>-2.3298730867365225E-2</v>
      </c>
      <c r="BL23" s="11">
        <f t="shared" si="20"/>
        <v>9.1954303541934124E-2</v>
      </c>
      <c r="BM23" s="14">
        <f t="shared" si="54"/>
        <v>3.1430640214520649</v>
      </c>
      <c r="BN23" s="14">
        <f t="shared" si="69"/>
        <v>6.8902556164358044</v>
      </c>
      <c r="BO23" s="14">
        <f t="shared" si="70"/>
        <v>2.715484811819544</v>
      </c>
      <c r="BP23" s="14">
        <f t="shared" si="55"/>
        <v>64.415927279208432</v>
      </c>
      <c r="BQ23" s="15">
        <f t="shared" si="56"/>
        <v>309.56900825660449</v>
      </c>
      <c r="BR23" s="15">
        <f t="shared" si="57"/>
        <v>48.081893749108289</v>
      </c>
      <c r="BS23" s="15">
        <f t="shared" si="58"/>
        <v>164.4031201680875</v>
      </c>
      <c r="BT23" s="18">
        <f t="shared" si="21"/>
        <v>306.02011094844318</v>
      </c>
      <c r="BU23" s="18">
        <f t="shared" si="22"/>
        <v>48.564963771270747</v>
      </c>
      <c r="BV23" s="18">
        <f t="shared" si="23"/>
        <v>160.00800712054999</v>
      </c>
      <c r="BW23" s="11">
        <f t="shared" si="59"/>
        <v>-3.5488973081613153</v>
      </c>
      <c r="BX23" s="11">
        <f t="shared" si="60"/>
        <v>-4.3951130475375066</v>
      </c>
      <c r="BY23" s="11">
        <f t="shared" si="61"/>
        <v>0.4830700221624582</v>
      </c>
      <c r="BZ23" s="11">
        <f t="shared" si="25"/>
        <v>208.67870839651437</v>
      </c>
      <c r="CA23" s="11">
        <f t="shared" si="26"/>
        <v>6.8506468453991003</v>
      </c>
      <c r="CB23" s="11">
        <f t="shared" si="27"/>
        <v>2.7290917111867006</v>
      </c>
      <c r="CC23" s="11">
        <f t="shared" si="28"/>
        <v>6.4756186400500821</v>
      </c>
      <c r="CD23" s="11">
        <f t="shared" si="29"/>
        <v>3.1538558450366021</v>
      </c>
      <c r="CE23" s="11">
        <f t="shared" si="30"/>
        <v>58.341399028341087</v>
      </c>
      <c r="CF23" s="11">
        <f t="shared" si="31"/>
        <v>56.073980102151204</v>
      </c>
      <c r="CG23" s="11">
        <f t="shared" si="32"/>
        <v>57.207689565246142</v>
      </c>
      <c r="CH23" s="14">
        <f t="shared" si="33"/>
        <v>-3.9608771036704127E-2</v>
      </c>
      <c r="CI23" s="14">
        <f t="shared" si="34"/>
        <v>1.3606899367156533E-2</v>
      </c>
      <c r="CJ23" s="14"/>
      <c r="CK23" s="14">
        <f t="shared" si="35"/>
        <v>1.079182358453723E-2</v>
      </c>
      <c r="CL23" s="12"/>
      <c r="CM23" s="12"/>
      <c r="CN23" s="12"/>
      <c r="CQ23" s="12"/>
      <c r="CR23" s="14"/>
      <c r="CS23" s="11"/>
      <c r="CT23" s="12"/>
    </row>
    <row r="24" spans="1:113" x14ac:dyDescent="0.2">
      <c r="AY24" s="11"/>
    </row>
    <row r="25" spans="1:113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BB25" s="46" t="s">
        <v>62</v>
      </c>
      <c r="BC25" s="14">
        <f>'Global Min'!M12</f>
        <v>239.51038215113027</v>
      </c>
      <c r="BF25" s="46" t="s">
        <v>64</v>
      </c>
      <c r="BG25" s="1">
        <f>3*BC36*(BC28-3)-7*BC25</f>
        <v>-461.3072645719144</v>
      </c>
    </row>
    <row r="26" spans="1:113" ht="15.75" x14ac:dyDescent="0.25">
      <c r="AG26" s="1" t="s">
        <v>65</v>
      </c>
      <c r="AP26" s="49" t="s">
        <v>88</v>
      </c>
      <c r="AQ26" s="11">
        <f>(AQ31+2*AQ32)/3</f>
        <v>3.8144600364137027</v>
      </c>
      <c r="BB26" s="46" t="s">
        <v>66</v>
      </c>
      <c r="BC26" s="14">
        <f>'Global Min'!M13</f>
        <v>121.79137885339955</v>
      </c>
      <c r="BF26" s="46" t="s">
        <v>68</v>
      </c>
      <c r="BG26" s="1">
        <f>3*BC36*(BC29-1)-7*BC26</f>
        <v>168.14821444487245</v>
      </c>
    </row>
    <row r="27" spans="1:113" ht="15.75" x14ac:dyDescent="0.25">
      <c r="B27" s="5" t="s">
        <v>69</v>
      </c>
      <c r="D27" s="1">
        <f>704/712</f>
        <v>0.9887640449438202</v>
      </c>
      <c r="AG27" s="1" t="s">
        <v>70</v>
      </c>
      <c r="AP27" s="48" t="s">
        <v>87</v>
      </c>
      <c r="AQ27" s="11">
        <f>(AQ28+2*AQ29)/3</f>
        <v>161.32641123456287</v>
      </c>
      <c r="BB27" s="46" t="s">
        <v>71</v>
      </c>
      <c r="BC27" s="14">
        <f>'Global Min'!M14</f>
        <v>46.243127025353878</v>
      </c>
      <c r="BF27" s="46" t="s">
        <v>73</v>
      </c>
      <c r="BG27" s="11">
        <f>3*BC36*(BC30-1)-7*BC27</f>
        <v>-667.67980537079279</v>
      </c>
      <c r="BH27" s="11"/>
      <c r="BN27" s="11"/>
      <c r="BO27" s="11"/>
      <c r="BP27" s="11"/>
      <c r="BQ27" s="11"/>
      <c r="BR27" s="11"/>
      <c r="BS27" s="11"/>
    </row>
    <row r="28" spans="1:113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P28" s="46" t="s">
        <v>62</v>
      </c>
      <c r="AQ28" s="14">
        <f>'Global Min'!L12</f>
        <v>239.89360432346049</v>
      </c>
      <c r="BB28" s="46" t="s">
        <v>63</v>
      </c>
      <c r="BC28" s="14">
        <f>'Global Min'!M15</f>
        <v>5.515592357290334</v>
      </c>
      <c r="BD28" s="46"/>
    </row>
    <row r="29" spans="1:113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P29" s="46" t="s">
        <v>66</v>
      </c>
      <c r="AQ29" s="14">
        <f>'Global Min'!L13</f>
        <v>122.04281469011407</v>
      </c>
      <c r="AR29" s="46"/>
      <c r="BB29" s="46" t="s">
        <v>67</v>
      </c>
      <c r="BC29" s="14">
        <f>'Global Min'!M16</f>
        <v>3.1128179686402473</v>
      </c>
      <c r="BN29" s="47"/>
      <c r="BO29" s="47"/>
      <c r="BP29" s="47"/>
      <c r="BQ29" s="47"/>
      <c r="BR29" s="47"/>
      <c r="BS29" s="47"/>
      <c r="CM29" s="21"/>
      <c r="CQ29" s="14"/>
      <c r="CR29" s="14"/>
    </row>
    <row r="30" spans="1:113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36.229587085533922</v>
      </c>
      <c r="M30" s="1">
        <f t="shared" ref="M30:M50" si="74">36*$B$40*($B$38^2)*(4*$B$40*$B$38^2 + $K$29*L3)/J30^2</f>
        <v>1.0002750326258736</v>
      </c>
      <c r="N30" s="14">
        <f t="shared" ref="N30:N50" si="75">(12*$K$29*L3*$D$38^3)/(J30^2)</f>
        <v>3.1802344813420097E-5</v>
      </c>
      <c r="O30" s="14">
        <f t="shared" si="72"/>
        <v>-1.9756026375704908E-2</v>
      </c>
      <c r="AP30" s="46" t="s">
        <v>71</v>
      </c>
      <c r="AQ30" s="14">
        <f>'Global Min'!L14</f>
        <v>46.221889892405528</v>
      </c>
      <c r="BB30" s="46" t="s">
        <v>72</v>
      </c>
      <c r="BC30" s="14">
        <f>'Global Min'!M17</f>
        <v>0.28796770681845224</v>
      </c>
      <c r="BN30" s="52"/>
      <c r="BO30" s="52"/>
      <c r="BP30" s="52"/>
      <c r="BQ30" s="52"/>
      <c r="BR30" s="52"/>
      <c r="BS30" s="52"/>
      <c r="CM30" s="21"/>
      <c r="CQ30" s="14"/>
      <c r="CR30" s="14"/>
    </row>
    <row r="31" spans="1:113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36.340206556154271</v>
      </c>
      <c r="M31" s="1">
        <f t="shared" si="74"/>
        <v>1.0032963203653738</v>
      </c>
      <c r="N31" s="14">
        <f t="shared" si="75"/>
        <v>3.8232537993356999E-4</v>
      </c>
      <c r="O31" s="14">
        <f t="shared" si="72"/>
        <v>-1.9635934873262418E-2</v>
      </c>
      <c r="AP31" s="46" t="s">
        <v>63</v>
      </c>
      <c r="AQ31" s="14">
        <f>'Global Min'!L15</f>
        <v>5.3841194796800016</v>
      </c>
      <c r="BB31" s="47" t="s">
        <v>82</v>
      </c>
      <c r="BC31" s="52">
        <f>BC35+BC33+BC34+BC32</f>
        <v>58.023771942403648</v>
      </c>
      <c r="BD31" s="49"/>
      <c r="CM31" s="21"/>
      <c r="CQ31" s="14"/>
      <c r="CR31" s="14"/>
    </row>
    <row r="32" spans="1:113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36.402202300409783</v>
      </c>
      <c r="M32" s="1">
        <f t="shared" si="74"/>
        <v>1.0049654526537271</v>
      </c>
      <c r="N32" s="14">
        <f t="shared" si="75"/>
        <v>5.769113060199733E-4</v>
      </c>
      <c r="O32" s="14">
        <f t="shared" si="72"/>
        <v>-1.9569108818557487E-2</v>
      </c>
      <c r="AP32" s="46" t="s">
        <v>67</v>
      </c>
      <c r="AQ32" s="14">
        <f>'Global Min'!L16</f>
        <v>3.0296303147805537</v>
      </c>
      <c r="AR32" s="49"/>
      <c r="BB32" s="1" t="s">
        <v>92</v>
      </c>
      <c r="BC32" s="51">
        <f>SUMSQ(BL6:BL16)</f>
        <v>0.15801571474259865</v>
      </c>
      <c r="BD32" s="49"/>
      <c r="CM32" s="21"/>
      <c r="CQ32" s="14"/>
      <c r="CR32" s="14"/>
    </row>
    <row r="33" spans="1:96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36.469089143397895</v>
      </c>
      <c r="M33" s="1">
        <f t="shared" si="74"/>
        <v>1.006747050047017</v>
      </c>
      <c r="N33" s="14">
        <f t="shared" si="75"/>
        <v>7.8536394862930789E-4</v>
      </c>
      <c r="O33" s="14">
        <f t="shared" si="72"/>
        <v>-1.9497392435268147E-2</v>
      </c>
      <c r="AP33" s="46" t="s">
        <v>72</v>
      </c>
      <c r="AQ33" s="14">
        <f>'Global Min'!L17</f>
        <v>0.29107402544791877</v>
      </c>
      <c r="AR33" s="49"/>
      <c r="BB33" s="1" t="s">
        <v>62</v>
      </c>
      <c r="BC33" s="14">
        <f>SUMSQ(BW6:BW16)</f>
        <v>11.0113552338952</v>
      </c>
      <c r="BN33" s="51"/>
      <c r="BO33" s="51"/>
      <c r="BP33" s="51"/>
      <c r="BQ33" s="51"/>
      <c r="BR33" s="51"/>
      <c r="BS33" s="51"/>
      <c r="CM33" s="21"/>
      <c r="CQ33" s="14"/>
      <c r="CR33" s="14"/>
    </row>
    <row r="34" spans="1:96" ht="15.75" x14ac:dyDescent="0.25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36.537808298309656</v>
      </c>
      <c r="M34" s="1">
        <f t="shared" si="74"/>
        <v>1.0085568640682758</v>
      </c>
      <c r="N34" s="14">
        <f t="shared" si="75"/>
        <v>9.9793476927055179E-4</v>
      </c>
      <c r="O34" s="14">
        <f t="shared" si="72"/>
        <v>-1.9424121244408933E-2</v>
      </c>
      <c r="AP34" s="47" t="s">
        <v>82</v>
      </c>
      <c r="AQ34" s="52">
        <f>AQ38+AQ36+AQ37+AQ35</f>
        <v>63.270721802577015</v>
      </c>
      <c r="BB34" s="1" t="s">
        <v>66</v>
      </c>
      <c r="BC34" s="12">
        <f>SUMSQ(BY6:BY16)</f>
        <v>1.1109461040118727</v>
      </c>
      <c r="BN34" s="47"/>
      <c r="CM34" s="21"/>
      <c r="CQ34" s="14"/>
      <c r="CR34" s="14"/>
    </row>
    <row r="35" spans="1:96" x14ac:dyDescent="0.2">
      <c r="C35" s="1">
        <f>12*B31*(B29^2)</f>
        <v>28.364467319999999</v>
      </c>
      <c r="J35" s="21">
        <f t="shared" si="73"/>
        <v>36.584965950939704</v>
      </c>
      <c r="M35" s="1">
        <f t="shared" si="74"/>
        <v>1.0097868535411938</v>
      </c>
      <c r="N35" s="14">
        <f t="shared" si="75"/>
        <v>1.142882137239187E-3</v>
      </c>
      <c r="O35" s="14">
        <f t="shared" si="72"/>
        <v>-1.9374078524198091E-2</v>
      </c>
      <c r="AP35" s="1" t="s">
        <v>92</v>
      </c>
      <c r="AQ35" s="51">
        <f>SUMSQ(AY6:AY16)</f>
        <v>1.8608560684339727E-2</v>
      </c>
      <c r="BB35" s="1" t="s">
        <v>71</v>
      </c>
      <c r="BC35" s="12">
        <f>SUMSQ(BX6:BX16)</f>
        <v>45.743454889753977</v>
      </c>
      <c r="BN35" s="51"/>
      <c r="BO35" s="51"/>
      <c r="BP35" s="51"/>
      <c r="BQ35" s="51"/>
      <c r="CM35" s="21"/>
      <c r="CQ35" s="14"/>
      <c r="CR35" s="14"/>
    </row>
    <row r="36" spans="1:96" ht="15.75" x14ac:dyDescent="0.25">
      <c r="B36" s="5" t="s">
        <v>96</v>
      </c>
      <c r="J36" s="21">
        <f t="shared" si="73"/>
        <v>36.628532363253413</v>
      </c>
      <c r="M36" s="1">
        <f t="shared" si="74"/>
        <v>1.0109145775750035</v>
      </c>
      <c r="N36" s="14">
        <f t="shared" si="75"/>
        <v>1.2761252985603359E-3</v>
      </c>
      <c r="O36" s="14">
        <f t="shared" si="72"/>
        <v>-1.9328018413579829E-2</v>
      </c>
      <c r="AP36" s="1" t="s">
        <v>62</v>
      </c>
      <c r="AQ36" s="14">
        <f>SUMSQ(AV6:AV16)</f>
        <v>14.288597927884393</v>
      </c>
      <c r="BB36" s="48" t="s">
        <v>87</v>
      </c>
      <c r="BC36" s="11">
        <f>(BC25+2*BC26)/3</f>
        <v>161.03104661930979</v>
      </c>
      <c r="CM36" s="21"/>
      <c r="CQ36" s="14"/>
      <c r="CR36" s="14"/>
    </row>
    <row r="37" spans="1:96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3"/>
        <v>36.683065314167855</v>
      </c>
      <c r="M37" s="1">
        <f t="shared" si="74"/>
        <v>1.0123146136303767</v>
      </c>
      <c r="N37" s="14">
        <f t="shared" si="75"/>
        <v>1.4420125152595218E-3</v>
      </c>
      <c r="O37" s="14">
        <f t="shared" si="72"/>
        <v>-1.9270595162647303E-2</v>
      </c>
      <c r="AP37" s="1" t="s">
        <v>66</v>
      </c>
      <c r="AQ37" s="12">
        <f>SUMSQ(AX6:AX16)</f>
        <v>47.875603157737331</v>
      </c>
      <c r="BB37" s="49" t="s">
        <v>88</v>
      </c>
      <c r="BC37" s="11">
        <f>(BC28+2*BC29)/3</f>
        <v>3.9137427648569427</v>
      </c>
      <c r="BN37" s="51"/>
      <c r="BO37" s="12"/>
      <c r="BP37" s="12"/>
      <c r="CM37" s="21"/>
      <c r="CQ37" s="14"/>
      <c r="CR37" s="14"/>
    </row>
    <row r="38" spans="1:96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36.728448365296558</v>
      </c>
      <c r="M38" s="1">
        <f t="shared" si="74"/>
        <v>1.0134700089348865</v>
      </c>
      <c r="N38" s="14">
        <f t="shared" si="75"/>
        <v>1.5793111288984413E-3</v>
      </c>
      <c r="O38" s="14">
        <f t="shared" si="72"/>
        <v>-1.9223001641775563E-2</v>
      </c>
      <c r="AP38" s="1" t="s">
        <v>71</v>
      </c>
      <c r="AQ38" s="12">
        <f>SUMSQ(AW6:AW16)</f>
        <v>1.0879121562709499</v>
      </c>
      <c r="CM38" s="21"/>
      <c r="CQ38" s="14"/>
      <c r="CR38" s="14"/>
    </row>
    <row r="39" spans="1:96" ht="15.75" x14ac:dyDescent="0.25">
      <c r="A39" s="1" t="s">
        <v>83</v>
      </c>
      <c r="B39" s="1">
        <f>0.000046</f>
        <v>4.6E-5</v>
      </c>
      <c r="C39" s="1" t="s">
        <v>98</v>
      </c>
      <c r="J39" s="21">
        <f t="shared" si="73"/>
        <v>36.7648165106759</v>
      </c>
      <c r="M39" s="1">
        <f t="shared" si="74"/>
        <v>1.0143895537582135</v>
      </c>
      <c r="N39" s="14">
        <f t="shared" si="75"/>
        <v>1.6888444548117979E-3</v>
      </c>
      <c r="O39" s="14">
        <f t="shared" si="72"/>
        <v>-1.9184989259086672E-2</v>
      </c>
      <c r="AP39" s="46" t="s">
        <v>64</v>
      </c>
      <c r="AQ39" s="1">
        <f>3*AQ27*(AQ31-3)-7*AQ28</f>
        <v>-525.39091143065957</v>
      </c>
      <c r="AR39" s="1">
        <f>3*AQ27*(AQ31-3)-7*AQ28</f>
        <v>-525.39091143065957</v>
      </c>
      <c r="CM39" s="21"/>
      <c r="CQ39" s="14"/>
      <c r="CR39" s="14"/>
    </row>
    <row r="40" spans="1:96" ht="15.75" x14ac:dyDescent="0.25">
      <c r="A40" s="1" t="s">
        <v>89</v>
      </c>
      <c r="B40" s="1">
        <v>6.09</v>
      </c>
      <c r="C40" s="1" t="s">
        <v>99</v>
      </c>
      <c r="J40" s="21">
        <f t="shared" si="73"/>
        <v>36.809183308965018</v>
      </c>
      <c r="M40" s="1">
        <f t="shared" si="74"/>
        <v>1.0155037420784405</v>
      </c>
      <c r="N40" s="14">
        <f t="shared" si="75"/>
        <v>1.8218780824714406E-3</v>
      </c>
      <c r="O40" s="14">
        <f t="shared" si="72"/>
        <v>-1.9138769076912251E-2</v>
      </c>
      <c r="AP40" s="46" t="s">
        <v>68</v>
      </c>
      <c r="AQ40" s="1">
        <f>3*AQ27*(AQ32-1)-7*AQ29</f>
        <v>127.99922161847007</v>
      </c>
      <c r="AR40" s="1">
        <f>3*AQ27*(AQ32-1)-7*AQ29</f>
        <v>127.99922161847007</v>
      </c>
      <c r="CM40" s="21"/>
      <c r="CQ40" s="14"/>
      <c r="CR40" s="14"/>
    </row>
    <row r="41" spans="1:96" ht="15.75" x14ac:dyDescent="0.25">
      <c r="A41" s="1" t="s">
        <v>90</v>
      </c>
      <c r="B41" s="1">
        <v>1.23</v>
      </c>
      <c r="J41" s="21">
        <f t="shared" si="73"/>
        <v>36.847667378334101</v>
      </c>
      <c r="M41" s="1">
        <f t="shared" si="74"/>
        <v>1.0164634708412486</v>
      </c>
      <c r="N41" s="14">
        <f t="shared" si="75"/>
        <v>1.9367497600958476E-3</v>
      </c>
      <c r="O41" s="14">
        <f t="shared" si="72"/>
        <v>-1.9098812512737533E-2</v>
      </c>
      <c r="AP41" s="46" t="s">
        <v>73</v>
      </c>
      <c r="AQ41" s="11">
        <f>3*AQ27*(AQ33-1)-7*AQ30</f>
        <v>-666.65867916319553</v>
      </c>
      <c r="AR41" s="11">
        <f>3*AQ27*(AQ33-1)-7*AQ30</f>
        <v>-666.65867916319553</v>
      </c>
      <c r="CM41" s="21"/>
      <c r="CQ41" s="14"/>
      <c r="CR41" s="14"/>
    </row>
    <row r="42" spans="1:96" x14ac:dyDescent="0.2">
      <c r="A42" s="1" t="s">
        <v>93</v>
      </c>
      <c r="B42" s="1">
        <v>300</v>
      </c>
      <c r="J42" s="21">
        <f t="shared" si="73"/>
        <v>36.874882720249879</v>
      </c>
      <c r="M42" s="1">
        <f t="shared" si="74"/>
        <v>1.0171384233235068</v>
      </c>
      <c r="N42" s="14">
        <f t="shared" si="75"/>
        <v>2.0176934827095656E-3</v>
      </c>
      <c r="O42" s="14">
        <f t="shared" si="72"/>
        <v>-1.9070631330128835E-2</v>
      </c>
      <c r="CM42" s="21"/>
      <c r="CQ42" s="14"/>
      <c r="CR42" s="14"/>
    </row>
    <row r="43" spans="1:96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36.90994166807431</v>
      </c>
      <c r="M43" s="1">
        <f t="shared" si="74"/>
        <v>1.018003339159631</v>
      </c>
      <c r="N43" s="14">
        <f t="shared" si="75"/>
        <v>2.1216108239009899E-3</v>
      </c>
      <c r="O43" s="14">
        <f t="shared" si="72"/>
        <v>-1.9034420016583616E-2</v>
      </c>
      <c r="CM43" s="21"/>
      <c r="CQ43" s="14"/>
      <c r="CR43" s="14"/>
    </row>
    <row r="44" spans="1:96" x14ac:dyDescent="0.2">
      <c r="C44" s="1">
        <f>12*B40*(B38^2)</f>
        <v>36.219617279999994</v>
      </c>
      <c r="J44" s="21">
        <f t="shared" si="73"/>
        <v>36.942036786995381</v>
      </c>
      <c r="M44" s="1">
        <f t="shared" si="74"/>
        <v>1.0187906525283612</v>
      </c>
      <c r="N44" s="14">
        <f t="shared" si="75"/>
        <v>2.2163942510213565E-3</v>
      </c>
      <c r="O44" s="14">
        <f t="shared" si="72"/>
        <v>-1.9001360302069267E-2</v>
      </c>
      <c r="CM44" s="21"/>
      <c r="CQ44" s="14"/>
      <c r="CR44" s="14"/>
    </row>
    <row r="45" spans="1:96" x14ac:dyDescent="0.2">
      <c r="A45" s="1" t="s">
        <v>100</v>
      </c>
      <c r="B45" s="1">
        <v>3</v>
      </c>
      <c r="J45" s="21">
        <f t="shared" si="73"/>
        <v>36.960627145463214</v>
      </c>
      <c r="M45" s="1">
        <f t="shared" si="74"/>
        <v>1.0192447330599292</v>
      </c>
      <c r="N45" s="14">
        <f t="shared" si="75"/>
        <v>2.2711433668810475E-3</v>
      </c>
      <c r="O45" s="14">
        <f t="shared" si="72"/>
        <v>-1.8982250601272597E-2</v>
      </c>
      <c r="BO45" s="1" t="s">
        <v>87</v>
      </c>
      <c r="BP45" s="1">
        <v>159.67398424945941</v>
      </c>
      <c r="BQ45" s="1" t="s">
        <v>88</v>
      </c>
      <c r="BR45" s="1">
        <v>4.3347144281946504</v>
      </c>
      <c r="CM45" s="21"/>
      <c r="CQ45" s="14"/>
      <c r="CR45" s="14"/>
    </row>
    <row r="46" spans="1:96" x14ac:dyDescent="0.2">
      <c r="A46" s="1" t="s">
        <v>101</v>
      </c>
      <c r="B46" s="1">
        <v>1</v>
      </c>
      <c r="J46" s="21">
        <f t="shared" si="73"/>
        <v>36.973779459326472</v>
      </c>
      <c r="M46" s="1">
        <f t="shared" si="74"/>
        <v>1.019565123490711</v>
      </c>
      <c r="N46" s="14">
        <f t="shared" si="75"/>
        <v>2.3098101195244765E-3</v>
      </c>
      <c r="O46" s="14">
        <f t="shared" si="72"/>
        <v>-1.8968748269795211E-2</v>
      </c>
      <c r="CM46" s="21"/>
      <c r="CQ46" s="14"/>
      <c r="CR46" s="14"/>
    </row>
    <row r="47" spans="1:96" x14ac:dyDescent="0.2">
      <c r="J47" s="21">
        <f t="shared" si="73"/>
        <v>36.997225927614721</v>
      </c>
      <c r="M47" s="1">
        <f t="shared" si="74"/>
        <v>1.020134510946789</v>
      </c>
      <c r="N47" s="14">
        <f t="shared" si="75"/>
        <v>2.3786031068926028E-3</v>
      </c>
      <c r="O47" s="14">
        <f t="shared" si="72"/>
        <v>-1.8944713536564805E-2</v>
      </c>
      <c r="CE47" s="1" t="s">
        <v>113</v>
      </c>
      <c r="CF47" s="1">
        <v>1.016974</v>
      </c>
      <c r="CM47" s="21"/>
      <c r="CQ47" s="14"/>
      <c r="CR47" s="14"/>
    </row>
    <row r="48" spans="1:96" x14ac:dyDescent="0.2">
      <c r="A48" s="1" t="s">
        <v>50</v>
      </c>
      <c r="B48" s="1">
        <v>151.13999999999999</v>
      </c>
      <c r="J48" s="21">
        <f t="shared" si="73"/>
        <v>37.028266031867346</v>
      </c>
      <c r="M48" s="1">
        <f t="shared" si="74"/>
        <v>1.0208848314822938</v>
      </c>
      <c r="N48" s="14">
        <f t="shared" si="75"/>
        <v>2.469405399760401E-3</v>
      </c>
      <c r="O48" s="14">
        <f t="shared" si="72"/>
        <v>-1.8912964849831192E-2</v>
      </c>
      <c r="CE48" s="1" t="s">
        <v>40</v>
      </c>
      <c r="CF48" s="1">
        <v>6.07</v>
      </c>
      <c r="CM48" s="21"/>
      <c r="CQ48" s="14"/>
      <c r="CR48" s="14"/>
    </row>
    <row r="49" spans="1:96" x14ac:dyDescent="0.2">
      <c r="A49" s="1" t="s">
        <v>102</v>
      </c>
      <c r="B49" s="1">
        <v>3.47</v>
      </c>
      <c r="J49" s="21">
        <f t="shared" si="73"/>
        <v>37.043677483791939</v>
      </c>
      <c r="M49" s="1">
        <f t="shared" si="74"/>
        <v>1.021255900301943</v>
      </c>
      <c r="N49" s="14">
        <f t="shared" si="75"/>
        <v>2.5143745719277692E-3</v>
      </c>
      <c r="O49" s="14">
        <f t="shared" si="72"/>
        <v>-1.8897231227457525E-2</v>
      </c>
      <c r="CE49" s="1" t="s">
        <v>114</v>
      </c>
      <c r="CF49" s="1">
        <v>1.02</v>
      </c>
      <c r="CM49" s="21"/>
      <c r="CQ49" s="14"/>
      <c r="CR49" s="14"/>
    </row>
    <row r="50" spans="1:96" x14ac:dyDescent="0.2">
      <c r="J50" s="21">
        <f t="shared" si="73"/>
        <v>37.053880411171605</v>
      </c>
      <c r="M50" s="1">
        <f t="shared" si="74"/>
        <v>1.0215010271006835</v>
      </c>
      <c r="N50" s="14">
        <f t="shared" si="75"/>
        <v>2.5441041332217979E-3</v>
      </c>
      <c r="O50" s="14">
        <f t="shared" si="72"/>
        <v>-1.8886825810768695E-2</v>
      </c>
      <c r="CM50" s="21"/>
      <c r="CQ50" s="14"/>
      <c r="CR50" s="14"/>
    </row>
    <row r="51" spans="1:96" x14ac:dyDescent="0.2">
      <c r="B51" s="1" t="s">
        <v>103</v>
      </c>
      <c r="J51" s="21"/>
      <c r="AU51" s="16">
        <v>47.947556023546788</v>
      </c>
      <c r="AV51" s="16"/>
      <c r="AW51" s="16"/>
      <c r="AX51" s="16"/>
      <c r="AY51" s="16"/>
      <c r="AZ51" s="16"/>
      <c r="BI51" s="1" t="s">
        <v>62</v>
      </c>
      <c r="BJ51" s="1">
        <v>246.36868691540607</v>
      </c>
      <c r="BK51" s="1" t="s">
        <v>63</v>
      </c>
      <c r="BL51" s="1">
        <v>5.434181546630243</v>
      </c>
    </row>
    <row r="52" spans="1:96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6">
        <v>48.018010097032921</v>
      </c>
      <c r="AV52" s="16"/>
      <c r="AW52" s="16"/>
      <c r="AX52" s="16"/>
      <c r="AY52" s="16"/>
      <c r="AZ52" s="16"/>
      <c r="BI52" s="1" t="s">
        <v>66</v>
      </c>
      <c r="BJ52" s="1">
        <v>125.61714953553738</v>
      </c>
      <c r="BK52" s="1" t="s">
        <v>67</v>
      </c>
      <c r="BL52" s="1">
        <v>3.0905172635997236</v>
      </c>
    </row>
    <row r="53" spans="1:96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6">
        <v>48.000039895449838</v>
      </c>
      <c r="AV53" s="16"/>
      <c r="AW53" s="16"/>
      <c r="AX53" s="16"/>
      <c r="AY53" s="16"/>
      <c r="AZ53" s="16"/>
      <c r="BI53" s="1" t="s">
        <v>71</v>
      </c>
      <c r="BJ53" s="1">
        <v>42.351506466222411</v>
      </c>
      <c r="BK53" s="1" t="s">
        <v>72</v>
      </c>
      <c r="BL53" s="1">
        <v>0.22637250016517993</v>
      </c>
    </row>
    <row r="54" spans="1:96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AU54" s="16">
        <v>48.199013840354468</v>
      </c>
      <c r="AV54" s="16"/>
      <c r="AW54" s="16"/>
      <c r="AX54" s="16"/>
      <c r="AY54" s="16"/>
      <c r="AZ54" s="16"/>
    </row>
    <row r="55" spans="1:96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  <c r="AU55" s="16">
        <v>48.217493837568213</v>
      </c>
      <c r="AV55" s="16"/>
      <c r="AW55" s="16"/>
      <c r="AX55" s="16"/>
      <c r="AY55" s="16"/>
      <c r="AZ55" s="16"/>
    </row>
    <row r="56" spans="1:96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AU56" s="16">
        <v>48.189995815381188</v>
      </c>
      <c r="AV56" s="16"/>
      <c r="AW56" s="16"/>
      <c r="AX56" s="16"/>
      <c r="AY56" s="16"/>
      <c r="AZ56" s="16"/>
    </row>
    <row r="57" spans="1:96" x14ac:dyDescent="0.2">
      <c r="AU57" s="16">
        <v>48.339357218136854</v>
      </c>
      <c r="AV57" s="16"/>
      <c r="AW57" s="16"/>
      <c r="AX57" s="16"/>
      <c r="AY57" s="16"/>
      <c r="AZ57" s="16"/>
    </row>
    <row r="58" spans="1:96" x14ac:dyDescent="0.2">
      <c r="AU58" s="1">
        <v>48.499352132150342</v>
      </c>
    </row>
    <row r="59" spans="1:96" x14ac:dyDescent="0.2">
      <c r="AU59" s="1">
        <v>48.3097411194247</v>
      </c>
    </row>
    <row r="60" spans="1:96" x14ac:dyDescent="0.2">
      <c r="AU60" s="1">
        <v>48.180418822030397</v>
      </c>
    </row>
    <row r="61" spans="1:96" x14ac:dyDescent="0.2">
      <c r="AU61" s="1">
        <v>48.120784404850681</v>
      </c>
    </row>
    <row r="62" spans="1:96" x14ac:dyDescent="0.2">
      <c r="AU62" s="1">
        <v>48.226412119564628</v>
      </c>
    </row>
    <row r="63" spans="1:96" x14ac:dyDescent="0.2">
      <c r="AU63" s="1">
        <v>48.150899687196002</v>
      </c>
    </row>
    <row r="64" spans="1:96" x14ac:dyDescent="0.2">
      <c r="AU64" s="1">
        <v>47.942411192719817</v>
      </c>
    </row>
    <row r="65" spans="47:47" x14ac:dyDescent="0.2">
      <c r="AU65" s="1">
        <v>47.992775844223317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F0C9-C9E8-4466-B2F6-2987585B8340}">
  <dimension ref="A1:EH112"/>
  <sheetViews>
    <sheetView zoomScale="85" zoomScaleNormal="85" workbookViewId="0">
      <pane xSplit="1" topLeftCell="AQ1" activePane="topRight" state="frozen"/>
      <selection activeCell="BA26" sqref="BA26:BA28"/>
      <selection pane="topRight" activeCell="BE37" sqref="BE37:BF37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425781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1.7109375" style="1" bestFit="1" customWidth="1"/>
    <col min="16" max="16" width="10.28515625" style="1" bestFit="1" customWidth="1"/>
    <col min="17" max="17" width="9.140625" style="1" bestFit="1" customWidth="1"/>
    <col min="18" max="21" width="15.5703125" style="1" bestFit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0" width="9.28515625" style="1" bestFit="1" customWidth="1"/>
    <col min="31" max="31" width="9.28515625" style="1" customWidth="1"/>
    <col min="32" max="32" width="15.140625" style="1" bestFit="1" customWidth="1"/>
    <col min="33" max="33" width="15" style="1" bestFit="1" customWidth="1"/>
    <col min="34" max="34" width="21.7109375" style="1" customWidth="1"/>
    <col min="35" max="36" width="10.140625" style="1" bestFit="1" customWidth="1"/>
    <col min="37" max="37" width="9.140625" style="1"/>
    <col min="38" max="38" width="13.140625" style="1" bestFit="1" customWidth="1"/>
    <col min="39" max="39" width="23.140625" style="1" bestFit="1" customWidth="1"/>
    <col min="40" max="40" width="21.85546875" style="1" bestFit="1" customWidth="1"/>
    <col min="41" max="41" width="19.140625" style="1" bestFit="1" customWidth="1"/>
    <col min="42" max="42" width="11.85546875" style="1" customWidth="1"/>
    <col min="43" max="43" width="14.28515625" style="1" bestFit="1" customWidth="1"/>
    <col min="44" max="47" width="10.85546875" style="1" bestFit="1" customWidth="1"/>
    <col min="48" max="56" width="14.140625" style="1" customWidth="1"/>
    <col min="57" max="57" width="13.5703125" style="1" bestFit="1" customWidth="1"/>
    <col min="58" max="58" width="16.140625" style="1" bestFit="1" customWidth="1"/>
    <col min="59" max="59" width="13.5703125" style="1" bestFit="1" customWidth="1"/>
    <col min="60" max="60" width="10.85546875" style="1" bestFit="1" customWidth="1"/>
    <col min="61" max="61" width="9.28515625" style="1" bestFit="1" customWidth="1"/>
    <col min="62" max="62" width="11.140625" style="1" bestFit="1" customWidth="1"/>
    <col min="63" max="74" width="9.28515625" style="1" bestFit="1" customWidth="1"/>
    <col min="75" max="75" width="12.140625" style="1" bestFit="1" customWidth="1"/>
    <col min="76" max="76" width="12.28515625" style="1" bestFit="1" customWidth="1"/>
    <col min="77" max="77" width="20.7109375" style="1" bestFit="1" customWidth="1"/>
    <col min="78" max="78" width="9.140625" style="1"/>
    <col min="79" max="79" width="5.5703125" style="1" customWidth="1"/>
    <col min="80" max="80" width="5.7109375" style="1" customWidth="1"/>
    <col min="81" max="81" width="4.7109375" style="1" customWidth="1"/>
    <col min="82" max="82" width="13.85546875" style="1" bestFit="1" customWidth="1"/>
    <col min="83" max="88" width="9.140625" style="1"/>
    <col min="89" max="89" width="15.42578125" style="1" bestFit="1" customWidth="1"/>
    <col min="90" max="90" width="16" style="1" bestFit="1" customWidth="1"/>
    <col min="91" max="91" width="12.7109375" style="1" bestFit="1" customWidth="1"/>
    <col min="92" max="92" width="12.7109375" style="1" customWidth="1"/>
    <col min="93" max="96" width="9.140625" style="1"/>
    <col min="97" max="97" width="16.7109375" style="1" bestFit="1" customWidth="1"/>
    <col min="98" max="16384" width="9.140625" style="1"/>
  </cols>
  <sheetData>
    <row r="1" spans="1:138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29</v>
      </c>
      <c r="AF1" s="1" t="s">
        <v>115</v>
      </c>
      <c r="AG1" s="1" t="s">
        <v>116</v>
      </c>
      <c r="AH1" s="2" t="s">
        <v>117</v>
      </c>
      <c r="AI1" s="2" t="s">
        <v>118</v>
      </c>
      <c r="AJ1" s="2" t="s">
        <v>119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75" t="s">
        <v>49</v>
      </c>
      <c r="AW1" s="75" t="s">
        <v>120</v>
      </c>
      <c r="AX1" s="75" t="s">
        <v>146</v>
      </c>
      <c r="AY1" s="2"/>
      <c r="AZ1" s="1" t="s">
        <v>4</v>
      </c>
      <c r="BA1" s="1" t="s">
        <v>5</v>
      </c>
      <c r="BB1" s="1" t="s">
        <v>6</v>
      </c>
      <c r="BC1" s="1" t="s">
        <v>7</v>
      </c>
      <c r="BD1" s="1" t="s">
        <v>37</v>
      </c>
      <c r="BE1" s="1" t="s">
        <v>38</v>
      </c>
      <c r="BF1" s="1" t="s">
        <v>39</v>
      </c>
      <c r="BG1" s="3" t="s">
        <v>40</v>
      </c>
      <c r="BH1" s="1" t="s">
        <v>41</v>
      </c>
      <c r="BI1" s="1" t="s">
        <v>42</v>
      </c>
      <c r="BJ1" s="1" t="s">
        <v>43</v>
      </c>
      <c r="BK1" s="76" t="s">
        <v>27</v>
      </c>
      <c r="BL1" s="77" t="s">
        <v>28</v>
      </c>
      <c r="BM1" s="76" t="s">
        <v>29</v>
      </c>
      <c r="BN1" s="77" t="s">
        <v>115</v>
      </c>
      <c r="BO1" s="77" t="s">
        <v>116</v>
      </c>
      <c r="BP1" s="77" t="s">
        <v>117</v>
      </c>
      <c r="BQ1" s="77" t="s">
        <v>118</v>
      </c>
      <c r="BR1" s="77" t="s">
        <v>119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49</v>
      </c>
      <c r="BX1" s="1" t="s">
        <v>120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J1" s="1" t="s">
        <v>59</v>
      </c>
      <c r="CK1" s="8"/>
      <c r="CN1" s="9"/>
      <c r="CO1" s="3"/>
      <c r="CP1" s="3"/>
      <c r="CR1" s="10"/>
    </row>
    <row r="2" spans="1:138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1/((0.33333333/(H2^2))-(1.33333333333333/(I2^2))+(0.66666666666667/(F2^2)))</f>
        <v>7.9823938051471852E-2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1">(1-((V2/$B$40)^0.66666667))/2</f>
        <v>0</v>
      </c>
      <c r="Y2" s="12">
        <f>(SQRT((Q2/M2)^2 + (0.0002/F2)^2))*AE2</f>
        <v>1.0357367298499591E-2</v>
      </c>
      <c r="Z2" s="12" t="e">
        <f>SQRT((Q2/M2)^2 + (0.0002/G2)^2)*#REF!</f>
        <v>#REF!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">
        <f>2*0.712/F2</f>
        <v>6.2129162562539788</v>
      </c>
      <c r="AF2" s="14">
        <f t="shared" ref="AF2:AF23" si="2">V2*AC2^2</f>
        <v>214.17303527656995</v>
      </c>
      <c r="AG2" s="14">
        <f t="shared" ref="AG2:AG23" si="3">V2*AD2^2</f>
        <v>55.052569320410058</v>
      </c>
      <c r="AH2" s="14">
        <f t="shared" ref="AH2:AH23" si="4">V2*AE2^2</f>
        <v>235.07599999999999</v>
      </c>
      <c r="AI2" s="14">
        <f>AG2+0.5*AF2-AH2*0.5</f>
        <v>44.601086958695035</v>
      </c>
      <c r="AJ2" s="14">
        <f t="shared" ref="AJ2:AJ23" si="5">AH2+AI2-3*AG2</f>
        <v>114.51937899746486</v>
      </c>
      <c r="AK2" s="7"/>
      <c r="AL2" s="12">
        <f>M2</f>
        <v>0.70399999999999996</v>
      </c>
      <c r="AM2" s="14">
        <f t="shared" ref="AM2:AM23" si="6">AL2^3</f>
        <v>0.34891366399999996</v>
      </c>
      <c r="AN2" s="14">
        <f>$AM$2/AM2</f>
        <v>1</v>
      </c>
      <c r="AO2" s="11">
        <v>6.09</v>
      </c>
      <c r="AP2" s="14">
        <f t="shared" ref="AP2:AP23" si="7">-3*$AQ$25*((1-2*AQ2)^2.5)*(1+3*(4-$AS$25)*AQ2/2)*AQ2</f>
        <v>0</v>
      </c>
      <c r="AQ2" s="14">
        <f t="shared" ref="AQ2:AQ23" si="8">0.5*(1-AN2^0.666666667)</f>
        <v>0</v>
      </c>
      <c r="AR2" s="89">
        <f>(1-2*AQ2)^(3.5)*($AQ$26-$AU$26*AQ2)+AP2*3</f>
        <v>239.89360432346049</v>
      </c>
      <c r="AS2" s="89">
        <f>(1-2*AQ2)^(3.5)*($AQ$28-$AU$28*AQ2)+AP2*1</f>
        <v>46.221889892405528</v>
      </c>
      <c r="AT2" s="89">
        <f>(1-2*AQ2)^(3.5)*($AQ$27-$AU$27*AQ2)+AP2*1</f>
        <v>122.04281469011407</v>
      </c>
      <c r="AU2" s="14">
        <f t="shared" ref="AU2:AU23" si="9">AR2-AH2</f>
        <v>4.8176043234605004</v>
      </c>
      <c r="AV2" s="14">
        <f t="shared" ref="AV2:AV23" si="10">AS2-AI2</f>
        <v>1.6208029337104932</v>
      </c>
      <c r="AW2" s="14">
        <f t="shared" ref="AW2:AW23" si="11">AT2-AJ2</f>
        <v>7.5234356926492154</v>
      </c>
      <c r="AX2" s="11">
        <f>AP2-A2</f>
        <v>0</v>
      </c>
      <c r="AY2" s="2"/>
      <c r="AZ2" s="12">
        <v>0.2291999346629835</v>
      </c>
      <c r="BA2" s="12">
        <v>0.51092691729323303</v>
      </c>
      <c r="BB2" s="12">
        <f>C2*0.712/0.623</f>
        <v>0.24012437076876564</v>
      </c>
      <c r="BC2" s="12">
        <f>D2*0.712/0.623</f>
        <v>0.47361978835900054</v>
      </c>
      <c r="BD2" s="12">
        <v>0.70399999999999996</v>
      </c>
      <c r="BE2" s="14">
        <f t="shared" ref="BE2:BE23" si="12">BD2^3</f>
        <v>0.34891366399999996</v>
      </c>
      <c r="BF2" s="14">
        <f t="shared" ref="BF2:BF23" si="13">$BE$2/BE2</f>
        <v>1</v>
      </c>
      <c r="BG2" s="11">
        <v>6.09</v>
      </c>
      <c r="BH2" s="11">
        <f t="shared" ref="BH2:BH23" si="14">-3*$BF$36*((1-2*BI2)^2.5)*(1+3*(4-$BF$37)*BI2/2)*BI2</f>
        <v>0</v>
      </c>
      <c r="BI2" s="12">
        <f t="shared" ref="BI2:BI23" si="15">0.5*(1-BF2^0.666666667)</f>
        <v>0</v>
      </c>
      <c r="BJ2" s="11">
        <f t="shared" ref="BJ2:BJ23" si="16">BH2-E2</f>
        <v>0</v>
      </c>
      <c r="BK2" s="14">
        <f>2*0.712/BB2</f>
        <v>5.9302602040809917</v>
      </c>
      <c r="BL2" s="14">
        <f>2*0.712/BC2</f>
        <v>3.0066311311313236</v>
      </c>
      <c r="BM2" s="14">
        <f>2*0.712/AZ2</f>
        <v>6.2129162562539788</v>
      </c>
      <c r="BN2" s="14">
        <f>BG2*BK2^2</f>
        <v>214.17303527656995</v>
      </c>
      <c r="BO2" s="14">
        <f>BG2*BL2^2</f>
        <v>55.052569320410058</v>
      </c>
      <c r="BP2" s="14">
        <f>BG2*BM2^2</f>
        <v>235.07599999999999</v>
      </c>
      <c r="BQ2" s="14">
        <f>BO2+0.5*BN2-BP2*0.5</f>
        <v>44.601086958695035</v>
      </c>
      <c r="BR2" s="14">
        <f t="shared" ref="BR2:BR23" si="17">BP2+BQ2-3*BO2</f>
        <v>114.51937899746486</v>
      </c>
      <c r="BS2" s="18">
        <f t="shared" ref="BS2:BS23" si="18">(1-2*BI2)^(3.5)*($BF$25-$BJ$25*BI2)+BH2*3</f>
        <v>239.51038215113027</v>
      </c>
      <c r="BT2" s="18">
        <f t="shared" ref="BT2:BT23" si="19">(1-2*BI2)^(3.5)*($BF$27-$BJ$27*BI2)+BH2*1</f>
        <v>46.243127025353878</v>
      </c>
      <c r="BU2" s="18">
        <f t="shared" ref="BU2:BU23" si="20">(1-2*BI2)^(3.5)*($BF$26-$BJ$26*BI2)+BH2*1</f>
        <v>121.79137885339955</v>
      </c>
      <c r="BV2" s="11">
        <f>BS2-BP2</f>
        <v>4.4343821511302792</v>
      </c>
      <c r="BW2" s="11">
        <f t="shared" ref="BW2:BX17" si="21">BT2-BQ2</f>
        <v>1.6420400666588435</v>
      </c>
      <c r="BX2" s="11">
        <f t="shared" si="21"/>
        <v>7.2719998559346948</v>
      </c>
      <c r="BY2" s="11">
        <f t="shared" ref="BY2:BY23" si="22">(BS2+2*BU2)/3</f>
        <v>161.03104661930979</v>
      </c>
      <c r="BZ2" s="11">
        <f t="shared" ref="BZ2:BZ23" si="23">SQRT(BS2/BG2)</f>
        <v>6.2712415019320575</v>
      </c>
      <c r="CA2" s="11">
        <f t="shared" ref="CA2:CA23" si="24">SQRT(BT2/BG2)</f>
        <v>2.7555922248965512</v>
      </c>
      <c r="CB2" s="11">
        <f t="shared" ref="CB2:CB23" si="25">SQRT((0.33333334*(BS2+2*BU2+4*BT2))/BG2)</f>
        <v>6.0470046293555182</v>
      </c>
      <c r="CC2" s="11">
        <f t="shared" ref="CC2:CC23" si="26">SQRT((0.3333334*(BS2-BU2+BT2))/BG2)</f>
        <v>2.9957291540633704</v>
      </c>
      <c r="CD2" s="11">
        <f t="shared" ref="CD2:CD23" si="27">(BS2-BU2+3*BT2)/5</f>
        <v>51.28967687475847</v>
      </c>
      <c r="CE2" s="11">
        <f t="shared" ref="CE2:CE23" si="28">((5*(BS2-BU2)*BT2)/(3*(BS2-BU2)+4*BT2))</f>
        <v>50.579782754544624</v>
      </c>
      <c r="CF2" s="11">
        <f t="shared" ref="CF2:CF23" si="29">(CD2+CE2)/2</f>
        <v>50.934729814651547</v>
      </c>
      <c r="CG2" s="14">
        <f t="shared" ref="CG2:CG23" si="30">BZ2-AE2</f>
        <v>5.832524567807873E-2</v>
      </c>
      <c r="CH2" s="14" t="e">
        <f>CA2-#REF!</f>
        <v>#REF!</v>
      </c>
      <c r="CI2" s="14">
        <f t="shared" ref="CI2:CI23" si="31">CB2-AC2</f>
        <v>0.11674442527452644</v>
      </c>
      <c r="CJ2" s="14">
        <f t="shared" ref="CJ2:CJ23" si="32">CC2-AD2</f>
        <v>-1.0901977067953261E-2</v>
      </c>
      <c r="CK2" s="19"/>
      <c r="CL2" s="12"/>
      <c r="CO2" s="17"/>
      <c r="CP2" s="20"/>
      <c r="CQ2" s="20"/>
      <c r="CR2" s="21"/>
      <c r="CY2" s="14"/>
      <c r="CZ2" s="14"/>
      <c r="DA2" s="14"/>
      <c r="DB2" s="14"/>
      <c r="DG2" s="12"/>
      <c r="DO2" s="1" t="s">
        <v>61</v>
      </c>
      <c r="EH2" s="1">
        <v>0</v>
      </c>
    </row>
    <row r="3" spans="1:138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3">1/((0.33333333/(H3^2))-(1.33333333333333/(I3^2))+(0.66666666666667/(F3^2)))</f>
        <v>7.4070744921295117E-2</v>
      </c>
      <c r="K3" s="13">
        <f t="shared" ref="K3:K23" si="34">(J3*(E3-E2)+0.5*(E3-E2)*(J2-J3))</f>
        <v>9.9364339781836605E-3</v>
      </c>
      <c r="L3" s="13">
        <f>SUM(K$3:$K3)</f>
        <v>9.9364339781836605E-3</v>
      </c>
      <c r="M3" s="72">
        <f>$B$38/((L3*$B$43+1))</f>
        <v>0.70380364224676162</v>
      </c>
      <c r="N3" s="12">
        <f t="shared" ref="N3:N23" si="35">(6*F3*G3*SQRT(9*(G3^6)*(0.0002^2)+16*(F3^6)*(0.0002)^2))/((4*F3^2 - 3*G3^2)^2)</f>
        <v>1.6605783510823934E-4</v>
      </c>
      <c r="O3" s="21">
        <f t="shared" ref="O3:O23" si="36">(((E3-E2)/2)^2)*(N3^2+N4^2)</f>
        <v>2.216109036549626E-10</v>
      </c>
      <c r="P3" s="11">
        <f>SUM(O$2:$O3)</f>
        <v>2.216109036549626E-10</v>
      </c>
      <c r="Q3" s="12">
        <f t="shared" ref="Q3:Q23" si="37">SQRT(((M30*0.001)^2)+((N30*0.02)^2)+((O30*P3)^2))</f>
        <v>1.0002789694172707E-3</v>
      </c>
      <c r="R3" s="3">
        <f t="shared" si="0"/>
        <v>0.34862179129078985</v>
      </c>
      <c r="S3" s="1">
        <f t="shared" ref="S3:S23" si="38">3*Q3/M3*R3</f>
        <v>1.4864332542903601E-3</v>
      </c>
      <c r="T3" s="1">
        <f t="shared" ref="T3:T23" si="39">R3/$R$2</f>
        <v>0.99916348157345281</v>
      </c>
      <c r="U3" s="1">
        <f t="shared" ref="U3:U23" si="40">T3*3*SQRT((Q3/M3)^2)+(0.001/$M$2)^2</f>
        <v>4.2621926503009083E-3</v>
      </c>
      <c r="V3" s="11">
        <f t="shared" ref="V3:V23" si="41">$B$40/((M3/$B$38)^3)</f>
        <v>6.0950986623426733</v>
      </c>
      <c r="W3" s="12">
        <f t="shared" ref="W3:W23" si="42">(SQRT((0.02/$V$2)^2+(9*(0.001/$M$2)^2)+(9*(Q3/M3)^2))*V3)</f>
        <v>4.1840907213923591E-2</v>
      </c>
      <c r="X3" s="13">
        <f t="shared" si="1"/>
        <v>-2.7903400018947089E-4</v>
      </c>
      <c r="Y3" s="12">
        <f t="shared" ref="Y3:Y23" si="43">(SQRT((Q3/M3)^2 + (0.0002/F3)^2))*AE3</f>
        <v>1.0502353120040666E-2</v>
      </c>
      <c r="Z3" s="12" t="e">
        <f>SQRT((Q3/M3)^2 + (0.0002/G3)^2)*#REF!</f>
        <v>#REF!</v>
      </c>
      <c r="AA3" s="12">
        <f t="shared" ref="AA3:AA23" si="44">SQRT((Q3/M3)^2 + (0.0002/H3)^2)*AC3</f>
        <v>9.9751241196038773E-3</v>
      </c>
      <c r="AB3" s="12">
        <f t="shared" ref="AB3:AB23" si="45">SQRT((Q3/M3)^2 + (0.0002/I3)^2)*AD3</f>
        <v>4.3421962435553864E-3</v>
      </c>
      <c r="AC3" s="14">
        <f t="shared" ref="AC3:AC23" si="46">2*M3/H3</f>
        <v>6.0148708887662519</v>
      </c>
      <c r="AD3" s="1">
        <f t="shared" ref="AD3:AD23" si="47">2*M3/I3</f>
        <v>2.9318578508530244</v>
      </c>
      <c r="AE3" s="1">
        <f t="shared" ref="AE3:AE23" si="48">2*M3/F3</f>
        <v>6.2631105239510712</v>
      </c>
      <c r="AF3" s="14">
        <f t="shared" si="2"/>
        <v>220.51257414549187</v>
      </c>
      <c r="AG3" s="14">
        <f t="shared" si="3"/>
        <v>52.392190919947581</v>
      </c>
      <c r="AH3" s="14">
        <f t="shared" si="4"/>
        <v>239.08971337136342</v>
      </c>
      <c r="AI3" s="14">
        <f t="shared" ref="AI3:AI23" si="49">AG3+0.5*AF3-AH3*0.5</f>
        <v>43.103621307011821</v>
      </c>
      <c r="AJ3" s="14">
        <f t="shared" si="5"/>
        <v>125.01676191853247</v>
      </c>
      <c r="AK3" s="7"/>
      <c r="AL3" s="12">
        <f t="shared" ref="AL3:AL23" si="50">M3</f>
        <v>0.70380364224676162</v>
      </c>
      <c r="AM3" s="14">
        <f t="shared" si="6"/>
        <v>0.34862179129078985</v>
      </c>
      <c r="AN3" s="14">
        <f t="shared" ref="AN3:AN23" si="51">$AM$2/AM3</f>
        <v>1.0008372187754799</v>
      </c>
      <c r="AO3" s="11">
        <f>$AO$2/((AL3/$AL$2)^3)</f>
        <v>6.0950986623426733</v>
      </c>
      <c r="AP3" s="14">
        <f t="shared" si="7"/>
        <v>0.13522465081520024</v>
      </c>
      <c r="AQ3" s="14">
        <f t="shared" si="8"/>
        <v>-2.7903399893347558E-4</v>
      </c>
      <c r="AR3" s="89">
        <f t="shared" ref="AR3:AR23" si="52">(1-2*AQ3)^(3.5)*($AQ$26-$AU$26*AQ3)+AP3*3</f>
        <v>240.62128606088388</v>
      </c>
      <c r="AS3" s="89">
        <f t="shared" ref="AS3:AS23" si="53">(1-2*AQ3)^(3.5)*($AQ$28-$AU$28*AQ3)+AP3*1</f>
        <v>46.261075858945212</v>
      </c>
      <c r="AT3" s="89">
        <f t="shared" ref="AT3:AT23" si="54">(1-2*AQ3)^(3.5)*($AQ$27-$AU$27*AQ3)+AP3*1</f>
        <v>122.45237028453836</v>
      </c>
      <c r="AU3" s="14">
        <f t="shared" si="9"/>
        <v>1.5315726895204591</v>
      </c>
      <c r="AV3" s="14">
        <f t="shared" si="10"/>
        <v>3.157454551933391</v>
      </c>
      <c r="AW3" s="14">
        <f t="shared" si="11"/>
        <v>-2.5643916339941057</v>
      </c>
      <c r="AX3" s="11">
        <f t="shared" ref="AX3:AX23" si="55">AP3-A3</f>
        <v>6.0917426959249121E-3</v>
      </c>
      <c r="AY3" s="2"/>
      <c r="AZ3" s="12">
        <v>0.22474572005565327</v>
      </c>
      <c r="BA3" s="12">
        <v>0.50723364660407455</v>
      </c>
      <c r="BB3" s="12">
        <f t="shared" ref="BB3:BB23" si="56">C3*0.704/0.607</f>
        <v>0.23402119688428533</v>
      </c>
      <c r="BC3" s="12">
        <f t="shared" ref="BC3:BC23" si="57">D3*0.704/0.607</f>
        <v>0.48010761643303401</v>
      </c>
      <c r="BD3" s="12">
        <v>0.70380364224676162</v>
      </c>
      <c r="BE3" s="14">
        <f t="shared" si="12"/>
        <v>0.34862179129078985</v>
      </c>
      <c r="BF3" s="14">
        <f t="shared" si="13"/>
        <v>1.0008372187754799</v>
      </c>
      <c r="BG3" s="11">
        <f t="shared" ref="BG3:BG23" si="58">$BG$2/((BD3/$BD$2)^3)</f>
        <v>6.0950986623426733</v>
      </c>
      <c r="BH3" s="11">
        <f t="shared" si="14"/>
        <v>0.1349826840255719</v>
      </c>
      <c r="BI3" s="12">
        <f t="shared" si="15"/>
        <v>-2.7903399893347558E-4</v>
      </c>
      <c r="BJ3" s="11">
        <f t="shared" si="16"/>
        <v>5.8497759062965671E-3</v>
      </c>
      <c r="BK3" s="14">
        <f>2*BD3/BB3</f>
        <v>6.0148708887662519</v>
      </c>
      <c r="BL3" s="14">
        <f>2*BD3/BC3</f>
        <v>2.9318578508530244</v>
      </c>
      <c r="BM3" s="14">
        <f>2*BD3/AZ3</f>
        <v>6.2631105239510712</v>
      </c>
      <c r="BN3" s="14">
        <f t="shared" ref="BN3:BN23" si="59">BG3*BK3^2</f>
        <v>220.51257414549187</v>
      </c>
      <c r="BO3" s="14">
        <f t="shared" ref="BO3:BO23" si="60">BG3*BL3^2</f>
        <v>52.392190919947581</v>
      </c>
      <c r="BP3" s="14">
        <f t="shared" ref="BP3:BP23" si="61">BG3*BM3^2</f>
        <v>239.08971337136342</v>
      </c>
      <c r="BQ3" s="14">
        <f t="shared" ref="BQ3:BQ23" si="62">BO3+0.5*BN3-BP3*0.5</f>
        <v>43.103621307011821</v>
      </c>
      <c r="BR3" s="14">
        <f t="shared" si="17"/>
        <v>125.01676191853247</v>
      </c>
      <c r="BS3" s="18">
        <f t="shared" si="18"/>
        <v>240.25450540925067</v>
      </c>
      <c r="BT3" s="18">
        <f t="shared" si="19"/>
        <v>46.281827049372104</v>
      </c>
      <c r="BU3" s="18">
        <f t="shared" si="20"/>
        <v>122.21142585560254</v>
      </c>
      <c r="BV3" s="11">
        <f t="shared" ref="BV3:BX23" si="63">BS3-BP3</f>
        <v>1.1647920378872527</v>
      </c>
      <c r="BW3" s="11">
        <f t="shared" si="21"/>
        <v>3.1782057423602836</v>
      </c>
      <c r="BX3" s="11">
        <f t="shared" si="21"/>
        <v>-2.8053360629299249</v>
      </c>
      <c r="BY3" s="11">
        <f t="shared" si="22"/>
        <v>161.55911904015193</v>
      </c>
      <c r="BZ3" s="11">
        <f t="shared" si="23"/>
        <v>6.2783482302720932</v>
      </c>
      <c r="CA3" s="11">
        <f t="shared" si="24"/>
        <v>2.7555917607821518</v>
      </c>
      <c r="CB3" s="11">
        <f t="shared" si="25"/>
        <v>6.0523368480515636</v>
      </c>
      <c r="CC3" s="11">
        <f t="shared" si="26"/>
        <v>2.9977868011054527</v>
      </c>
      <c r="CD3" s="11">
        <f t="shared" si="27"/>
        <v>51.377712140352891</v>
      </c>
      <c r="CE3" s="11">
        <f t="shared" si="28"/>
        <v>50.655383083475513</v>
      </c>
      <c r="CF3" s="11">
        <f t="shared" si="29"/>
        <v>51.016547611914206</v>
      </c>
      <c r="CG3" s="14">
        <f t="shared" si="30"/>
        <v>1.523770632102206E-2</v>
      </c>
      <c r="CH3" s="14" t="e">
        <f>CA3-#REF!</f>
        <v>#REF!</v>
      </c>
      <c r="CI3" s="14">
        <f t="shared" si="31"/>
        <v>3.7465959285311712E-2</v>
      </c>
      <c r="CJ3" s="14">
        <f t="shared" si="32"/>
        <v>6.5928950252428287E-2</v>
      </c>
      <c r="CK3" s="19"/>
      <c r="CL3" s="12"/>
      <c r="CO3" s="17"/>
      <c r="CP3" s="20"/>
      <c r="CQ3" s="20"/>
      <c r="CR3" s="21"/>
      <c r="CY3" s="14"/>
      <c r="CZ3" s="14"/>
      <c r="DA3" s="14"/>
      <c r="DB3" s="14"/>
      <c r="DG3" s="12"/>
    </row>
    <row r="4" spans="1:138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4">C4*0.704/0.607</f>
        <v>0.23045788397015871</v>
      </c>
      <c r="I4" s="12">
        <f t="shared" ref="I4:I23" si="65">D4*0.704/0.607</f>
        <v>0.46884969357888606</v>
      </c>
      <c r="J4" s="12">
        <f t="shared" si="33"/>
        <v>7.2113355241870847E-2</v>
      </c>
      <c r="K4" s="13">
        <f t="shared" si="34"/>
        <v>0.11011687152008026</v>
      </c>
      <c r="L4" s="13">
        <f>SUM(K$3:$K4)</f>
        <v>0.12005330549826393</v>
      </c>
      <c r="M4" s="72">
        <f t="shared" ref="M4:M23" si="66">$B$38/((L4*$B$43+1))</f>
        <v>0.70163489028365256</v>
      </c>
      <c r="N4" s="12">
        <f t="shared" si="35"/>
        <v>1.5994952484815503E-4</v>
      </c>
      <c r="O4" s="21">
        <f t="shared" si="36"/>
        <v>2.8357893464738583E-8</v>
      </c>
      <c r="P4" s="11">
        <f>SUM(O$2:$O4)</f>
        <v>2.8579504368393547E-8</v>
      </c>
      <c r="Q4" s="12">
        <f t="shared" si="37"/>
        <v>1.0033668201493557E-3</v>
      </c>
      <c r="R4" s="3">
        <f t="shared" si="0"/>
        <v>0.34540890610591546</v>
      </c>
      <c r="S4" s="1">
        <f t="shared" si="38"/>
        <v>1.4818469288092979E-3</v>
      </c>
      <c r="T4" s="1">
        <f t="shared" si="39"/>
        <v>0.98995522888411591</v>
      </c>
      <c r="U4" s="1">
        <f t="shared" si="40"/>
        <v>4.2490480648224149E-3</v>
      </c>
      <c r="V4" s="11">
        <f t="shared" si="41"/>
        <v>6.1517933562154017</v>
      </c>
      <c r="W4" s="12">
        <f t="shared" si="42"/>
        <v>4.2331093908301129E-2</v>
      </c>
      <c r="X4" s="13">
        <f t="shared" si="1"/>
        <v>-3.3765366893785398E-3</v>
      </c>
      <c r="Y4" s="12">
        <f t="shared" si="43"/>
        <v>1.0749115928116511E-2</v>
      </c>
      <c r="Z4" s="12" t="e">
        <f>SQRT((Q4/M4)^2 + (0.0002/G4)^2)*#REF!</f>
        <v>#REF!</v>
      </c>
      <c r="AA4" s="12">
        <f t="shared" si="44"/>
        <v>1.0185582388677557E-2</v>
      </c>
      <c r="AB4" s="12">
        <f t="shared" si="45"/>
        <v>4.4664880582922749E-3</v>
      </c>
      <c r="AC4" s="14">
        <f t="shared" si="46"/>
        <v>6.0890508772917933</v>
      </c>
      <c r="AD4" s="1">
        <f t="shared" si="47"/>
        <v>2.993005647195115</v>
      </c>
      <c r="AE4" s="1">
        <f t="shared" si="48"/>
        <v>6.3511969374823831</v>
      </c>
      <c r="AF4" s="14">
        <f t="shared" si="2"/>
        <v>228.08721604993087</v>
      </c>
      <c r="AG4" s="14">
        <f t="shared" si="3"/>
        <v>55.108274278947263</v>
      </c>
      <c r="AH4" s="14">
        <f t="shared" si="4"/>
        <v>248.14921048247925</v>
      </c>
      <c r="AI4" s="14">
        <f t="shared" si="49"/>
        <v>45.07727706267309</v>
      </c>
      <c r="AJ4" s="14">
        <f t="shared" si="5"/>
        <v>127.90166470831053</v>
      </c>
      <c r="AK4" s="7"/>
      <c r="AL4" s="12">
        <f t="shared" si="50"/>
        <v>0.70163489028365256</v>
      </c>
      <c r="AM4" s="14">
        <f t="shared" si="6"/>
        <v>0.34540890610591546</v>
      </c>
      <c r="AN4" s="14">
        <f t="shared" si="51"/>
        <v>1.0101466923177997</v>
      </c>
      <c r="AO4" s="11">
        <f t="shared" ref="AO4:AO23" si="67">$AO$2/((AL4/$AL$2)^3)</f>
        <v>6.1517933562154017</v>
      </c>
      <c r="AP4" s="14">
        <f t="shared" si="7"/>
        <v>1.6603410298915471</v>
      </c>
      <c r="AQ4" s="14">
        <f t="shared" si="8"/>
        <v>-3.3765366741328462E-3</v>
      </c>
      <c r="AR4" s="89">
        <f t="shared" si="52"/>
        <v>248.77643230925338</v>
      </c>
      <c r="AS4" s="89">
        <f t="shared" si="53"/>
        <v>46.67932136844032</v>
      </c>
      <c r="AT4" s="89">
        <f t="shared" si="54"/>
        <v>127.05465778287973</v>
      </c>
      <c r="AU4" s="14">
        <f t="shared" si="9"/>
        <v>0.6272218267741323</v>
      </c>
      <c r="AV4" s="14">
        <f t="shared" si="10"/>
        <v>1.6020443057672296</v>
      </c>
      <c r="AW4" s="14">
        <f t="shared" si="11"/>
        <v>-0.84700692543080436</v>
      </c>
      <c r="AX4" s="11">
        <f t="shared" si="55"/>
        <v>2.4657527047245109E-2</v>
      </c>
      <c r="AY4" s="2"/>
      <c r="AZ4" s="12">
        <v>0.22094572005565327</v>
      </c>
      <c r="BA4" s="12">
        <v>0.50583364660407459</v>
      </c>
      <c r="BB4" s="12">
        <f t="shared" si="56"/>
        <v>0.23045788397015871</v>
      </c>
      <c r="BC4" s="12">
        <f t="shared" si="57"/>
        <v>0.46884969357888606</v>
      </c>
      <c r="BD4" s="12">
        <v>0.70163489028365256</v>
      </c>
      <c r="BE4" s="14">
        <f t="shared" si="12"/>
        <v>0.34540890610591546</v>
      </c>
      <c r="BF4" s="14">
        <f t="shared" si="13"/>
        <v>1.0101466923177997</v>
      </c>
      <c r="BG4" s="11">
        <f t="shared" si="58"/>
        <v>6.1517933562154017</v>
      </c>
      <c r="BH4" s="11">
        <f t="shared" si="14"/>
        <v>1.6581353468211251</v>
      </c>
      <c r="BI4" s="12">
        <f t="shared" si="15"/>
        <v>-3.3765366741328462E-3</v>
      </c>
      <c r="BJ4" s="11">
        <f t="shared" si="16"/>
        <v>2.2451843976823094E-2</v>
      </c>
      <c r="BK4" s="14">
        <f>2*BD4/BB4</f>
        <v>6.0890508772917933</v>
      </c>
      <c r="BL4" s="14">
        <f>2*BD4/BC4</f>
        <v>2.993005647195115</v>
      </c>
      <c r="BM4" s="14">
        <f t="shared" ref="BM4:BM23" si="68">2*BD4/AZ4</f>
        <v>6.3511969374823831</v>
      </c>
      <c r="BN4" s="14">
        <f t="shared" si="59"/>
        <v>228.08721604993087</v>
      </c>
      <c r="BO4" s="14">
        <f t="shared" si="60"/>
        <v>55.108274278947263</v>
      </c>
      <c r="BP4" s="14">
        <f t="shared" si="61"/>
        <v>248.14921048247925</v>
      </c>
      <c r="BQ4" s="14">
        <f t="shared" si="62"/>
        <v>45.07727706267309</v>
      </c>
      <c r="BR4" s="14">
        <f t="shared" si="17"/>
        <v>127.90166470831053</v>
      </c>
      <c r="BS4" s="18">
        <f t="shared" si="18"/>
        <v>248.5989970488047</v>
      </c>
      <c r="BT4" s="18">
        <f t="shared" si="19"/>
        <v>46.695328972182104</v>
      </c>
      <c r="BU4" s="18">
        <f t="shared" si="20"/>
        <v>126.93381890770561</v>
      </c>
      <c r="BV4" s="11">
        <f t="shared" si="63"/>
        <v>0.44978656632545722</v>
      </c>
      <c r="BW4" s="11">
        <f t="shared" si="21"/>
        <v>1.6180519095090133</v>
      </c>
      <c r="BX4" s="11">
        <f t="shared" si="21"/>
        <v>-0.96784580060491976</v>
      </c>
      <c r="BY4" s="11">
        <f t="shared" si="22"/>
        <v>167.48887828807199</v>
      </c>
      <c r="BZ4" s="11">
        <f t="shared" si="23"/>
        <v>6.3569503101164138</v>
      </c>
      <c r="CA4" s="11">
        <f t="shared" si="24"/>
        <v>2.7550903799549178</v>
      </c>
      <c r="CB4" s="11">
        <f t="shared" si="25"/>
        <v>6.1111965155142265</v>
      </c>
      <c r="CC4" s="11">
        <f t="shared" si="26"/>
        <v>3.0203596469178042</v>
      </c>
      <c r="CD4" s="11">
        <f t="shared" si="27"/>
        <v>52.350233011529077</v>
      </c>
      <c r="CE4" s="11">
        <f t="shared" si="28"/>
        <v>51.48091583169073</v>
      </c>
      <c r="CF4" s="11">
        <f t="shared" si="29"/>
        <v>51.915574421609904</v>
      </c>
      <c r="CG4" s="14">
        <f t="shared" si="30"/>
        <v>5.7533726340306401E-3</v>
      </c>
      <c r="CH4" s="14" t="e">
        <f>CA4-#REF!</f>
        <v>#REF!</v>
      </c>
      <c r="CI4" s="14">
        <f t="shared" si="31"/>
        <v>2.2145638222433206E-2</v>
      </c>
      <c r="CJ4" s="14">
        <f t="shared" si="32"/>
        <v>2.7353999722689259E-2</v>
      </c>
      <c r="CK4" s="19"/>
      <c r="CL4" s="12"/>
      <c r="CO4" s="17"/>
      <c r="CP4" s="20"/>
      <c r="CQ4" s="20"/>
      <c r="CR4" s="21"/>
      <c r="CY4" s="14"/>
      <c r="CZ4" s="14"/>
      <c r="DA4" s="14"/>
      <c r="DB4" s="14"/>
      <c r="DG4" s="12"/>
    </row>
    <row r="5" spans="1:138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4"/>
        <v>0.22862378849011855</v>
      </c>
      <c r="I5" s="12">
        <f t="shared" si="65"/>
        <v>0.46500793877458718</v>
      </c>
      <c r="J5" s="12">
        <f t="shared" si="33"/>
        <v>7.0703364222383283E-2</v>
      </c>
      <c r="K5" s="13">
        <f t="shared" si="34"/>
        <v>6.1474461041586104E-2</v>
      </c>
      <c r="L5" s="13">
        <f>SUM(K$3:$K5)</f>
        <v>0.18152776653985003</v>
      </c>
      <c r="M5" s="72">
        <f t="shared" si="66"/>
        <v>0.70042995436291211</v>
      </c>
      <c r="N5" s="12">
        <f t="shared" si="35"/>
        <v>1.5618171297467797E-4</v>
      </c>
      <c r="O5" s="21">
        <f t="shared" si="36"/>
        <v>8.8434243448866546E-9</v>
      </c>
      <c r="P5" s="11">
        <f>SUM(O$2:$O5)</f>
        <v>3.7422928713280205E-8</v>
      </c>
      <c r="Q5" s="12">
        <f t="shared" si="37"/>
        <v>1.0050873477764493E-3</v>
      </c>
      <c r="R5" s="3">
        <f t="shared" si="0"/>
        <v>0.34363242120054627</v>
      </c>
      <c r="S5" s="1">
        <f t="shared" si="38"/>
        <v>1.4792939537341897E-3</v>
      </c>
      <c r="T5" s="1">
        <f t="shared" si="39"/>
        <v>0.98486375472112864</v>
      </c>
      <c r="U5" s="1">
        <f t="shared" si="40"/>
        <v>4.2417311399251768E-3</v>
      </c>
      <c r="V5" s="11">
        <f t="shared" si="41"/>
        <v>6.1835964323049204</v>
      </c>
      <c r="W5" s="12">
        <f t="shared" si="42"/>
        <v>4.2606856297887949E-2</v>
      </c>
      <c r="X5" s="13">
        <f t="shared" si="1"/>
        <v>-5.1099239506594563E-3</v>
      </c>
      <c r="Y5" s="12">
        <f t="shared" si="43"/>
        <v>1.0896412222038028E-2</v>
      </c>
      <c r="Z5" s="12" t="e">
        <f>SQRT((Q5/M5)^2 + (0.0002/G5)^2)*#REF!</f>
        <v>#REF!</v>
      </c>
      <c r="AA5" s="12">
        <f t="shared" si="44"/>
        <v>1.0297568575553823E-2</v>
      </c>
      <c r="AB5" s="12">
        <f t="shared" si="45"/>
        <v>4.5128868888541446E-3</v>
      </c>
      <c r="AC5" s="14">
        <f t="shared" si="46"/>
        <v>6.1273584782117778</v>
      </c>
      <c r="AD5" s="1">
        <f t="shared" si="47"/>
        <v>3.0125505220780577</v>
      </c>
      <c r="AE5" s="1">
        <f t="shared" si="48"/>
        <v>6.4040563096247887</v>
      </c>
      <c r="AF5" s="14">
        <f t="shared" si="2"/>
        <v>232.16017180028271</v>
      </c>
      <c r="AG5" s="14">
        <f t="shared" si="3"/>
        <v>56.118986084946535</v>
      </c>
      <c r="AH5" s="14">
        <f t="shared" si="4"/>
        <v>253.60126865599656</v>
      </c>
      <c r="AI5" s="14">
        <f t="shared" si="49"/>
        <v>45.398437657089616</v>
      </c>
      <c r="AJ5" s="14">
        <f t="shared" si="5"/>
        <v>130.64274805824655</v>
      </c>
      <c r="AK5" s="7"/>
      <c r="AL5" s="12">
        <f t="shared" si="50"/>
        <v>0.70042995436291211</v>
      </c>
      <c r="AM5" s="14">
        <f t="shared" si="6"/>
        <v>0.34363242120054627</v>
      </c>
      <c r="AN5" s="14">
        <f t="shared" si="51"/>
        <v>1.0153688722996586</v>
      </c>
      <c r="AO5" s="11">
        <f t="shared" si="67"/>
        <v>6.1835964323049204</v>
      </c>
      <c r="AP5" s="14">
        <f t="shared" si="7"/>
        <v>2.5331612515363222</v>
      </c>
      <c r="AQ5" s="14">
        <f t="shared" si="8"/>
        <v>-5.1099239275476105E-3</v>
      </c>
      <c r="AR5" s="89">
        <f t="shared" si="52"/>
        <v>253.40216315696003</v>
      </c>
      <c r="AS5" s="89">
        <f t="shared" si="53"/>
        <v>46.899621495852557</v>
      </c>
      <c r="AT5" s="89">
        <f t="shared" si="54"/>
        <v>129.67519729371429</v>
      </c>
      <c r="AU5" s="14">
        <f t="shared" si="9"/>
        <v>-0.19910549903653418</v>
      </c>
      <c r="AV5" s="14">
        <f t="shared" si="10"/>
        <v>1.501183838762941</v>
      </c>
      <c r="AW5" s="14">
        <f t="shared" si="11"/>
        <v>-0.96755076453226252</v>
      </c>
      <c r="AX5" s="11">
        <f t="shared" si="55"/>
        <v>3.6591694563425481E-2</v>
      </c>
      <c r="AY5" s="2"/>
      <c r="AZ5" s="12">
        <v>0.21874572005565329</v>
      </c>
      <c r="BA5" s="12">
        <v>0.50583364660407459</v>
      </c>
      <c r="BB5" s="12">
        <f t="shared" si="56"/>
        <v>0.22862378849011855</v>
      </c>
      <c r="BC5" s="12">
        <f t="shared" si="57"/>
        <v>0.46500793877458718</v>
      </c>
      <c r="BD5" s="12">
        <v>0.70042995436291211</v>
      </c>
      <c r="BE5" s="14">
        <f t="shared" si="12"/>
        <v>0.34363242120054627</v>
      </c>
      <c r="BF5" s="14">
        <f t="shared" si="13"/>
        <v>1.0153688722996586</v>
      </c>
      <c r="BG5" s="11">
        <f t="shared" si="58"/>
        <v>6.1835964323049204</v>
      </c>
      <c r="BH5" s="11">
        <f t="shared" si="14"/>
        <v>2.5304503341952183</v>
      </c>
      <c r="BI5" s="12">
        <f t="shared" si="15"/>
        <v>-5.1099239275476105E-3</v>
      </c>
      <c r="BJ5" s="11">
        <f t="shared" si="16"/>
        <v>3.3880777222321523E-2</v>
      </c>
      <c r="BK5" s="14">
        <f t="shared" ref="BK5:BK23" si="69">2*BD5/BB5</f>
        <v>6.1273584782117778</v>
      </c>
      <c r="BL5" s="14">
        <f t="shared" ref="BL5:BL23" si="70">2*BD5/BC5</f>
        <v>3.0125505220780577</v>
      </c>
      <c r="BM5" s="14">
        <f t="shared" si="68"/>
        <v>6.4040563096247887</v>
      </c>
      <c r="BN5" s="14">
        <f t="shared" si="59"/>
        <v>232.16017180028271</v>
      </c>
      <c r="BO5" s="14">
        <f t="shared" si="60"/>
        <v>56.118986084946535</v>
      </c>
      <c r="BP5" s="14">
        <f t="shared" si="61"/>
        <v>253.60126865599656</v>
      </c>
      <c r="BQ5" s="14">
        <f t="shared" si="62"/>
        <v>45.398437657089616</v>
      </c>
      <c r="BR5" s="14">
        <f t="shared" si="17"/>
        <v>130.64274805824655</v>
      </c>
      <c r="BS5" s="18">
        <f t="shared" si="18"/>
        <v>253.33625069181548</v>
      </c>
      <c r="BT5" s="18">
        <f t="shared" si="19"/>
        <v>46.913510191886218</v>
      </c>
      <c r="BU5" s="18">
        <f t="shared" si="20"/>
        <v>129.62453226126274</v>
      </c>
      <c r="BV5" s="11">
        <f t="shared" si="63"/>
        <v>-0.2650179641810837</v>
      </c>
      <c r="BW5" s="11">
        <f t="shared" si="21"/>
        <v>1.5150725347966016</v>
      </c>
      <c r="BX5" s="11">
        <f t="shared" si="21"/>
        <v>-1.0182157969838102</v>
      </c>
      <c r="BY5" s="11">
        <f t="shared" si="22"/>
        <v>170.86177173811367</v>
      </c>
      <c r="BZ5" s="11">
        <f t="shared" si="23"/>
        <v>6.4007092569756736</v>
      </c>
      <c r="CA5" s="11">
        <f t="shared" si="24"/>
        <v>2.7544087899920946</v>
      </c>
      <c r="CB5" s="11">
        <f t="shared" si="25"/>
        <v>6.1438706829875418</v>
      </c>
      <c r="CC5" s="11">
        <f t="shared" si="26"/>
        <v>3.0327769471120272</v>
      </c>
      <c r="CD5" s="11">
        <f t="shared" si="27"/>
        <v>52.890449801242276</v>
      </c>
      <c r="CE5" s="11">
        <f t="shared" si="28"/>
        <v>51.931488693569818</v>
      </c>
      <c r="CF5" s="11">
        <f t="shared" si="29"/>
        <v>52.410969247406044</v>
      </c>
      <c r="CG5" s="14">
        <f t="shared" si="30"/>
        <v>-3.3470526491150565E-3</v>
      </c>
      <c r="CH5" s="14" t="e">
        <f>CA5-#REF!</f>
        <v>#REF!</v>
      </c>
      <c r="CI5" s="14">
        <f t="shared" si="31"/>
        <v>1.6512204775763983E-2</v>
      </c>
      <c r="CJ5" s="14">
        <f t="shared" si="32"/>
        <v>2.0226425033969431E-2</v>
      </c>
      <c r="CK5" s="19"/>
      <c r="CL5" s="12"/>
      <c r="CO5" s="17"/>
      <c r="CP5" s="20"/>
      <c r="CQ5" s="20"/>
      <c r="CR5" s="21"/>
      <c r="CY5" s="14"/>
      <c r="CZ5" s="14"/>
      <c r="DA5" s="14"/>
      <c r="DB5" s="14"/>
      <c r="DG5" s="12"/>
    </row>
    <row r="6" spans="1:138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4"/>
        <v>0.22676621932328164</v>
      </c>
      <c r="I6" s="12">
        <f t="shared" si="65"/>
        <v>0.46145041845044033</v>
      </c>
      <c r="J6" s="12">
        <f t="shared" si="33"/>
        <v>6.9263602307079564E-2</v>
      </c>
      <c r="K6" s="13">
        <f t="shared" si="34"/>
        <v>6.6272585238144083E-2</v>
      </c>
      <c r="L6" s="13">
        <f>SUM(K$3:$K6)</f>
        <v>0.24780035177799412</v>
      </c>
      <c r="M6" s="72">
        <f t="shared" si="66"/>
        <v>0.69913559945886694</v>
      </c>
      <c r="N6" s="12">
        <f t="shared" si="35"/>
        <v>1.5276458095088427E-4</v>
      </c>
      <c r="O6" s="21">
        <f t="shared" si="36"/>
        <v>1.0265500870415706E-8</v>
      </c>
      <c r="P6" s="11">
        <f>SUM(O$2:$O6)</f>
        <v>4.7688429583695914E-8</v>
      </c>
      <c r="Q6" s="12">
        <f t="shared" si="37"/>
        <v>1.0069391573161827E-3</v>
      </c>
      <c r="R6" s="3">
        <f t="shared" si="0"/>
        <v>0.34173089965408499</v>
      </c>
      <c r="S6" s="1">
        <f t="shared" si="38"/>
        <v>1.4765471436138631E-3</v>
      </c>
      <c r="T6" s="1">
        <f t="shared" si="39"/>
        <v>0.97941392072878242</v>
      </c>
      <c r="U6" s="1">
        <f t="shared" si="40"/>
        <v>4.2338586763224721E-3</v>
      </c>
      <c r="V6" s="11">
        <f t="shared" si="41"/>
        <v>6.2180043300471235</v>
      </c>
      <c r="W6" s="24">
        <f t="shared" si="42"/>
        <v>4.2905837948874162E-2</v>
      </c>
      <c r="X6" s="25">
        <f t="shared" si="1"/>
        <v>-6.9819405212937502E-3</v>
      </c>
      <c r="Y6" s="24">
        <f t="shared" si="43"/>
        <v>1.1047942591074972E-2</v>
      </c>
      <c r="Z6" s="24" t="e">
        <f>SQRT((Q6/M6)^2 + (0.0002/G6)^2)*#REF!</f>
        <v>#REF!</v>
      </c>
      <c r="AA6" s="24">
        <f t="shared" si="44"/>
        <v>1.0413689641293444E-2</v>
      </c>
      <c r="AB6" s="24">
        <f t="shared" si="45"/>
        <v>4.5575615511246285E-3</v>
      </c>
      <c r="AC6" s="28">
        <f t="shared" si="46"/>
        <v>6.1661353401334242</v>
      </c>
      <c r="AD6" s="27">
        <f t="shared" si="47"/>
        <v>3.0301656321239374</v>
      </c>
      <c r="AE6" s="27">
        <f t="shared" si="48"/>
        <v>6.4571638661727953</v>
      </c>
      <c r="AF6" s="14">
        <f t="shared" si="2"/>
        <v>236.41614188790973</v>
      </c>
      <c r="AG6" s="14">
        <f t="shared" si="3"/>
        <v>57.093117325973232</v>
      </c>
      <c r="AH6" s="14">
        <f t="shared" si="4"/>
        <v>259.25947412123412</v>
      </c>
      <c r="AI6" s="14">
        <f t="shared" si="49"/>
        <v>45.671451209311044</v>
      </c>
      <c r="AJ6" s="14">
        <f t="shared" si="5"/>
        <v>133.65157335262546</v>
      </c>
      <c r="AK6" s="7"/>
      <c r="AL6" s="12">
        <f t="shared" si="50"/>
        <v>0.69913559945886694</v>
      </c>
      <c r="AM6" s="28">
        <f t="shared" si="6"/>
        <v>0.34173089965408499</v>
      </c>
      <c r="AN6" s="14">
        <f t="shared" si="51"/>
        <v>1.0210187734067528</v>
      </c>
      <c r="AO6" s="11">
        <f t="shared" si="67"/>
        <v>6.2180043300471235</v>
      </c>
      <c r="AP6" s="14">
        <f t="shared" si="7"/>
        <v>3.4915186441655339</v>
      </c>
      <c r="AQ6" s="28">
        <f t="shared" si="8"/>
        <v>-6.9819404896567239E-3</v>
      </c>
      <c r="AR6" s="89">
        <f t="shared" si="52"/>
        <v>258.44802067688676</v>
      </c>
      <c r="AS6" s="89">
        <f t="shared" si="53"/>
        <v>47.126089436797351</v>
      </c>
      <c r="AT6" s="89">
        <f t="shared" si="54"/>
        <v>132.54197176794855</v>
      </c>
      <c r="AU6" s="28">
        <f t="shared" si="9"/>
        <v>-0.81145344434736444</v>
      </c>
      <c r="AV6" s="28">
        <f t="shared" si="10"/>
        <v>1.4546382274863063</v>
      </c>
      <c r="AW6" s="28">
        <f t="shared" si="11"/>
        <v>-1.1096015846769092</v>
      </c>
      <c r="AX6" s="11">
        <f t="shared" si="55"/>
        <v>4.7974427651183316E-2</v>
      </c>
      <c r="AY6" s="2"/>
      <c r="AZ6" s="55">
        <v>0.21654572005565328</v>
      </c>
      <c r="BA6" s="55">
        <v>0.50523364660407455</v>
      </c>
      <c r="BB6" s="12">
        <f t="shared" si="56"/>
        <v>0.22676621932328164</v>
      </c>
      <c r="BC6" s="12">
        <f t="shared" si="57"/>
        <v>0.46145041845044033</v>
      </c>
      <c r="BD6" s="24">
        <v>0.69917845972210113</v>
      </c>
      <c r="BE6" s="28">
        <f t="shared" si="12"/>
        <v>0.34179375258670702</v>
      </c>
      <c r="BF6" s="28">
        <f t="shared" si="13"/>
        <v>1.0208310168322539</v>
      </c>
      <c r="BG6" s="11">
        <f t="shared" si="58"/>
        <v>6.2168608925084268</v>
      </c>
      <c r="BH6" s="22">
        <f t="shared" si="14"/>
        <v>3.4566673738413489</v>
      </c>
      <c r="BI6" s="12">
        <f t="shared" si="15"/>
        <v>-6.9197855044224044E-3</v>
      </c>
      <c r="BJ6" s="22">
        <f t="shared" si="16"/>
        <v>1.3123157326998314E-2</v>
      </c>
      <c r="BK6" s="14">
        <f t="shared" si="69"/>
        <v>6.1665133529023635</v>
      </c>
      <c r="BL6" s="14">
        <f t="shared" si="70"/>
        <v>3.0303513953674863</v>
      </c>
      <c r="BM6" s="14">
        <f t="shared" si="68"/>
        <v>6.4575597203436663</v>
      </c>
      <c r="BN6" s="14">
        <f t="shared" si="59"/>
        <v>236.40164936753351</v>
      </c>
      <c r="BO6" s="14">
        <f t="shared" si="60"/>
        <v>57.089617466955225</v>
      </c>
      <c r="BP6" s="14">
        <f t="shared" si="61"/>
        <v>259.24358128421625</v>
      </c>
      <c r="BQ6" s="14">
        <f t="shared" si="62"/>
        <v>45.668651508613863</v>
      </c>
      <c r="BR6" s="14">
        <f t="shared" si="17"/>
        <v>133.6433803919644</v>
      </c>
      <c r="BS6" s="32">
        <f t="shared" si="18"/>
        <v>258.33453532008554</v>
      </c>
      <c r="BT6" s="32">
        <f t="shared" si="19"/>
        <v>47.130865516431207</v>
      </c>
      <c r="BU6" s="32">
        <f t="shared" si="20"/>
        <v>132.4710934285616</v>
      </c>
      <c r="BV6" s="11">
        <f t="shared" si="63"/>
        <v>-0.90904596413071204</v>
      </c>
      <c r="BW6" s="11">
        <f t="shared" si="21"/>
        <v>1.4622140078173445</v>
      </c>
      <c r="BX6" s="11">
        <f t="shared" si="21"/>
        <v>-1.1722869634027973</v>
      </c>
      <c r="BY6" s="22">
        <f t="shared" si="22"/>
        <v>174.42557405906959</v>
      </c>
      <c r="BZ6" s="22">
        <f t="shared" si="23"/>
        <v>6.4462279572916863</v>
      </c>
      <c r="CA6" s="22">
        <f t="shared" si="24"/>
        <v>2.7533862085638621</v>
      </c>
      <c r="CB6" s="22">
        <f t="shared" si="25"/>
        <v>6.1777858574260778</v>
      </c>
      <c r="CC6" s="22">
        <f t="shared" si="26"/>
        <v>3.0455781452536348</v>
      </c>
      <c r="CD6" s="22">
        <f t="shared" si="27"/>
        <v>53.451207688163507</v>
      </c>
      <c r="CE6" s="22">
        <f t="shared" si="28"/>
        <v>52.392761682266993</v>
      </c>
      <c r="CF6" s="22">
        <f t="shared" si="29"/>
        <v>52.92198468521525</v>
      </c>
      <c r="CG6" s="28">
        <f t="shared" si="30"/>
        <v>-1.0935908881108958E-2</v>
      </c>
      <c r="CH6" s="28" t="e">
        <f>CA6-#REF!</f>
        <v>#REF!</v>
      </c>
      <c r="CI6" s="28">
        <f t="shared" si="31"/>
        <v>1.1650517292653539E-2</v>
      </c>
      <c r="CJ6" s="28">
        <f t="shared" si="32"/>
        <v>1.5412513129697381E-2</v>
      </c>
      <c r="CK6" s="19"/>
      <c r="CL6" s="24"/>
      <c r="CO6" s="31"/>
      <c r="CP6" s="33"/>
      <c r="CQ6" s="33"/>
      <c r="CR6" s="26"/>
      <c r="CY6" s="28"/>
      <c r="CZ6" s="28"/>
      <c r="DA6" s="28"/>
      <c r="DB6" s="28"/>
      <c r="DG6" s="24"/>
      <c r="DJ6" s="1"/>
    </row>
    <row r="7" spans="1:138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4"/>
        <v>0.22496299651535173</v>
      </c>
      <c r="I7" s="12">
        <f t="shared" si="65"/>
        <v>0.45795413466486506</v>
      </c>
      <c r="J7" s="12">
        <f t="shared" si="33"/>
        <v>6.8095350581769187E-2</v>
      </c>
      <c r="K7" s="13">
        <f t="shared" si="34"/>
        <v>6.7993983997239882E-2</v>
      </c>
      <c r="L7" s="13">
        <f>SUM(K$3:$K7)</f>
        <v>0.31579433577523397</v>
      </c>
      <c r="M7" s="72">
        <f t="shared" si="66"/>
        <v>0.69781258668369384</v>
      </c>
      <c r="N7" s="12">
        <f t="shared" si="35"/>
        <v>1.4984065271274547E-4</v>
      </c>
      <c r="O7" s="21">
        <f t="shared" si="36"/>
        <v>1.0840844214984978E-8</v>
      </c>
      <c r="P7" s="11">
        <f>SUM(O$2:$O7)</f>
        <v>5.8529273798680891E-8</v>
      </c>
      <c r="Q7" s="12">
        <f t="shared" si="37"/>
        <v>1.0088355284522499E-3</v>
      </c>
      <c r="R7" s="3">
        <f t="shared" si="0"/>
        <v>0.33979453999047932</v>
      </c>
      <c r="S7" s="1">
        <f t="shared" si="38"/>
        <v>1.47373439885458E-3</v>
      </c>
      <c r="T7" s="1">
        <f t="shared" si="39"/>
        <v>0.97386423935085376</v>
      </c>
      <c r="U7" s="1">
        <f t="shared" si="40"/>
        <v>4.2257972415049375E-3</v>
      </c>
      <c r="V7" s="11">
        <f t="shared" si="41"/>
        <v>6.2534383684315129</v>
      </c>
      <c r="W7" s="12">
        <f t="shared" si="42"/>
        <v>4.3214417652333567E-2</v>
      </c>
      <c r="X7" s="13">
        <f t="shared" si="1"/>
        <v>-8.9061804848989956E-3</v>
      </c>
      <c r="Y7" s="12">
        <f t="shared" si="43"/>
        <v>1.1176453774362237E-2</v>
      </c>
      <c r="Z7" s="12" t="e">
        <f>SQRT((Q7/M7)^2 + (0.0002/G7)^2)*#REF!</f>
        <v>#REF!</v>
      </c>
      <c r="AA7" s="12">
        <f t="shared" si="44"/>
        <v>1.0529044736157738E-2</v>
      </c>
      <c r="AB7" s="12">
        <f t="shared" si="45"/>
        <v>4.6024740098782966E-3</v>
      </c>
      <c r="AC7" s="14">
        <f t="shared" si="46"/>
        <v>6.2037988246309146</v>
      </c>
      <c r="AD7" s="1">
        <f t="shared" si="47"/>
        <v>3.0475217226474407</v>
      </c>
      <c r="AE7" s="1">
        <f t="shared" si="48"/>
        <v>6.4989661866401756</v>
      </c>
      <c r="AF7" s="14">
        <f t="shared" si="2"/>
        <v>240.67683200100888</v>
      </c>
      <c r="AG7" s="14">
        <f t="shared" si="3"/>
        <v>58.078112526495531</v>
      </c>
      <c r="AH7" s="14">
        <f t="shared" si="4"/>
        <v>264.12373420402753</v>
      </c>
      <c r="AI7" s="14">
        <f t="shared" si="49"/>
        <v>46.354661424986205</v>
      </c>
      <c r="AJ7" s="14">
        <f t="shared" si="5"/>
        <v>136.24405804952715</v>
      </c>
      <c r="AK7" s="7"/>
      <c r="AL7" s="12">
        <f t="shared" si="50"/>
        <v>0.69781258668369384</v>
      </c>
      <c r="AM7" s="14">
        <f t="shared" si="6"/>
        <v>0.33979453999047932</v>
      </c>
      <c r="AN7" s="14">
        <f t="shared" si="51"/>
        <v>1.0268371705142059</v>
      </c>
      <c r="AO7" s="11">
        <f t="shared" si="67"/>
        <v>6.2534383684315129</v>
      </c>
      <c r="AP7" s="14">
        <f t="shared" si="7"/>
        <v>4.4937582702037666</v>
      </c>
      <c r="AQ7" s="14">
        <f t="shared" si="8"/>
        <v>-8.9061804444663384E-3</v>
      </c>
      <c r="AR7" s="89">
        <f t="shared" si="52"/>
        <v>263.68910035893174</v>
      </c>
      <c r="AS7" s="89">
        <f t="shared" si="53"/>
        <v>47.346151406619782</v>
      </c>
      <c r="AT7" s="89">
        <f t="shared" si="54"/>
        <v>135.52869116955213</v>
      </c>
      <c r="AU7" s="14">
        <f t="shared" si="9"/>
        <v>-0.43463384509578873</v>
      </c>
      <c r="AV7" s="14">
        <f t="shared" si="10"/>
        <v>0.9914899816335776</v>
      </c>
      <c r="AW7" s="14">
        <f t="shared" si="11"/>
        <v>-0.71536687997502213</v>
      </c>
      <c r="AX7" s="11">
        <f t="shared" si="55"/>
        <v>6.0195091441490156E-2</v>
      </c>
      <c r="AY7" s="2"/>
      <c r="AZ7" s="12">
        <v>0.21474572005565329</v>
      </c>
      <c r="BA7" s="12">
        <v>0.50523364660407455</v>
      </c>
      <c r="BB7" s="12">
        <f t="shared" si="56"/>
        <v>0.22496299651535173</v>
      </c>
      <c r="BC7" s="12">
        <f t="shared" si="57"/>
        <v>0.45795413466486506</v>
      </c>
      <c r="BD7" s="12">
        <v>0.69798567771661646</v>
      </c>
      <c r="BE7" s="14">
        <f t="shared" si="12"/>
        <v>0.34004745880827392</v>
      </c>
      <c r="BF7" s="14">
        <f t="shared" si="13"/>
        <v>1.0260734346399718</v>
      </c>
      <c r="BG7" s="11">
        <f t="shared" si="58"/>
        <v>6.248787216957429</v>
      </c>
      <c r="BH7" s="11">
        <f t="shared" si="14"/>
        <v>4.3589543629936829</v>
      </c>
      <c r="BI7" s="12">
        <f t="shared" si="15"/>
        <v>-8.6538080045041044E-3</v>
      </c>
      <c r="BJ7" s="11">
        <f t="shared" si="16"/>
        <v>-7.4608815768593573E-2</v>
      </c>
      <c r="BK7" s="14">
        <f t="shared" si="69"/>
        <v>6.2053376646677547</v>
      </c>
      <c r="BL7" s="14">
        <f t="shared" si="70"/>
        <v>3.0482776543874142</v>
      </c>
      <c r="BM7" s="14">
        <f t="shared" si="68"/>
        <v>6.5005782423577729</v>
      </c>
      <c r="BN7" s="14">
        <f t="shared" si="59"/>
        <v>240.61714739317017</v>
      </c>
      <c r="BO7" s="14">
        <f t="shared" si="60"/>
        <v>58.06370993800649</v>
      </c>
      <c r="BP7" s="14">
        <f t="shared" si="61"/>
        <v>264.05823508071848</v>
      </c>
      <c r="BQ7" s="14">
        <f t="shared" si="62"/>
        <v>46.343166094232345</v>
      </c>
      <c r="BR7" s="14">
        <f t="shared" si="17"/>
        <v>136.21027136093136</v>
      </c>
      <c r="BS7" s="18">
        <f t="shared" si="18"/>
        <v>263.17342748875154</v>
      </c>
      <c r="BT7" s="18">
        <f t="shared" si="19"/>
        <v>47.328843667133725</v>
      </c>
      <c r="BU7" s="18">
        <f t="shared" si="20"/>
        <v>135.23423759373182</v>
      </c>
      <c r="BV7" s="11">
        <f t="shared" si="63"/>
        <v>-0.8848075919669327</v>
      </c>
      <c r="BW7" s="11">
        <f t="shared" si="21"/>
        <v>0.98567757290138047</v>
      </c>
      <c r="BX7" s="11">
        <f t="shared" si="21"/>
        <v>-0.97603376719953872</v>
      </c>
      <c r="BY7" s="11">
        <f t="shared" si="22"/>
        <v>177.88063422540506</v>
      </c>
      <c r="BZ7" s="11">
        <f t="shared" si="23"/>
        <v>6.4896780192957237</v>
      </c>
      <c r="CA7" s="11">
        <f t="shared" si="24"/>
        <v>2.7521055034608981</v>
      </c>
      <c r="CB7" s="11">
        <f t="shared" si="25"/>
        <v>6.2100890191629068</v>
      </c>
      <c r="CC7" s="11">
        <f t="shared" si="26"/>
        <v>3.0576861418107519</v>
      </c>
      <c r="CD7" s="11">
        <f t="shared" si="27"/>
        <v>53.985144179284177</v>
      </c>
      <c r="CE7" s="11">
        <f t="shared" si="28"/>
        <v>52.825561478327458</v>
      </c>
      <c r="CF7" s="11">
        <f t="shared" si="29"/>
        <v>53.405352828805817</v>
      </c>
      <c r="CG7" s="14">
        <f t="shared" si="30"/>
        <v>-9.2881673444518142E-3</v>
      </c>
      <c r="CH7" s="14" t="e">
        <f>CA7-#REF!</f>
        <v>#REF!</v>
      </c>
      <c r="CI7" s="14">
        <f t="shared" si="31"/>
        <v>6.2901945319921992E-3</v>
      </c>
      <c r="CJ7" s="14">
        <f t="shared" si="32"/>
        <v>1.0164419163311234E-2</v>
      </c>
      <c r="CK7" s="19"/>
      <c r="CL7" s="12"/>
      <c r="CO7" s="17"/>
      <c r="CP7" s="20"/>
      <c r="CQ7" s="20"/>
      <c r="CR7" s="21"/>
      <c r="CY7" s="14"/>
      <c r="CZ7" s="14"/>
      <c r="DA7" s="14"/>
      <c r="DB7" s="14"/>
      <c r="DG7" s="12"/>
    </row>
    <row r="8" spans="1:138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4"/>
        <v>0.22376844444720004</v>
      </c>
      <c r="I8" s="12">
        <f t="shared" si="65"/>
        <v>0.45559644121199777</v>
      </c>
      <c r="J8" s="12">
        <f t="shared" si="33"/>
        <v>6.7203484581880968E-2</v>
      </c>
      <c r="K8" s="13">
        <f t="shared" si="34"/>
        <v>4.6590752132890045E-2</v>
      </c>
      <c r="L8" s="13">
        <f>SUM(K$3:$K8)</f>
        <v>0.36238508790812402</v>
      </c>
      <c r="M8" s="72">
        <f t="shared" si="66"/>
        <v>0.69690892081840861</v>
      </c>
      <c r="N8" s="12">
        <f t="shared" si="35"/>
        <v>1.4761406785215972E-4</v>
      </c>
      <c r="O8" s="21">
        <f t="shared" si="36"/>
        <v>5.0935317558639293E-9</v>
      </c>
      <c r="P8" s="11">
        <f>SUM(O$2:$O8)</f>
        <v>6.3622805554544815E-8</v>
      </c>
      <c r="Q8" s="12">
        <f t="shared" si="37"/>
        <v>1.0101327332552247E-3</v>
      </c>
      <c r="R8" s="13">
        <f t="shared" si="0"/>
        <v>0.33847614908657286</v>
      </c>
      <c r="S8" s="1">
        <f t="shared" si="38"/>
        <v>1.4718099915424047E-3</v>
      </c>
      <c r="T8" s="1">
        <f t="shared" si="39"/>
        <v>0.97008568024029262</v>
      </c>
      <c r="U8" s="1">
        <f t="shared" si="40"/>
        <v>4.2202818160265712E-3</v>
      </c>
      <c r="V8" s="11">
        <f t="shared" si="41"/>
        <v>6.2777959968355495</v>
      </c>
      <c r="W8" s="12">
        <f t="shared" si="42"/>
        <v>4.3426935524604637E-2</v>
      </c>
      <c r="X8" s="13">
        <f t="shared" si="1"/>
        <v>-1.0226810171726108E-2</v>
      </c>
      <c r="Y8" s="12">
        <f t="shared" si="43"/>
        <v>1.1277386649238769E-2</v>
      </c>
      <c r="Z8" s="12" t="e">
        <f>SQRT((Q8/M8)^2 + (0.0002/G8)^2)*#REF!</f>
        <v>#REF!</v>
      </c>
      <c r="AA8" s="12">
        <f t="shared" si="44"/>
        <v>1.0606860463951758E-2</v>
      </c>
      <c r="AB8" s="12">
        <f t="shared" si="45"/>
        <v>4.6332424848281482E-3</v>
      </c>
      <c r="AC8" s="14">
        <f t="shared" si="46"/>
        <v>6.228840018440132</v>
      </c>
      <c r="AD8" s="1">
        <f t="shared" si="47"/>
        <v>3.0593255687619538</v>
      </c>
      <c r="AE8" s="1">
        <f t="shared" si="48"/>
        <v>6.5331418004224622</v>
      </c>
      <c r="AF8" s="14">
        <f t="shared" si="2"/>
        <v>243.56874138290416</v>
      </c>
      <c r="AG8" s="14">
        <f t="shared" si="3"/>
        <v>58.756861728106664</v>
      </c>
      <c r="AH8" s="14">
        <f t="shared" si="4"/>
        <v>267.94852327144537</v>
      </c>
      <c r="AI8" s="14">
        <f t="shared" si="49"/>
        <v>46.566970783836069</v>
      </c>
      <c r="AJ8" s="14">
        <f t="shared" si="5"/>
        <v>138.24490887096147</v>
      </c>
      <c r="AK8" s="7"/>
      <c r="AL8" s="12">
        <f t="shared" si="50"/>
        <v>0.69690892081840861</v>
      </c>
      <c r="AM8" s="14">
        <f t="shared" si="6"/>
        <v>0.33847614908657286</v>
      </c>
      <c r="AN8" s="14">
        <f t="shared" si="51"/>
        <v>1.0308367810895811</v>
      </c>
      <c r="AO8" s="11">
        <f t="shared" si="67"/>
        <v>6.2777959968355495</v>
      </c>
      <c r="AP8" s="14">
        <f t="shared" si="7"/>
        <v>5.1917316414389818</v>
      </c>
      <c r="AQ8" s="14">
        <f t="shared" si="8"/>
        <v>-1.0226810125237851E-2</v>
      </c>
      <c r="AR8" s="89">
        <f t="shared" si="52"/>
        <v>267.318144833644</v>
      </c>
      <c r="AS8" s="89">
        <f t="shared" si="53"/>
        <v>47.489537542811966</v>
      </c>
      <c r="AT8" s="89">
        <f t="shared" si="54"/>
        <v>137.60212453575721</v>
      </c>
      <c r="AU8" s="14">
        <f t="shared" si="9"/>
        <v>-0.63037843780136882</v>
      </c>
      <c r="AV8" s="14">
        <f t="shared" si="10"/>
        <v>0.92256675897589702</v>
      </c>
      <c r="AW8" s="14">
        <f t="shared" si="11"/>
        <v>-0.64278433520425438</v>
      </c>
      <c r="AX8" s="11">
        <f t="shared" si="55"/>
        <v>6.9459619373858139E-2</v>
      </c>
      <c r="AY8" s="2"/>
      <c r="AZ8" s="12">
        <v>0.21334572005565328</v>
      </c>
      <c r="BA8" s="12">
        <v>0.50523364660407455</v>
      </c>
      <c r="BB8" s="12">
        <f t="shared" si="56"/>
        <v>0.22376844444720004</v>
      </c>
      <c r="BC8" s="12">
        <f t="shared" si="57"/>
        <v>0.45559644121199777</v>
      </c>
      <c r="BD8" s="12">
        <v>0.69706001221867187</v>
      </c>
      <c r="BE8" s="14">
        <f t="shared" si="12"/>
        <v>0.33869634395870463</v>
      </c>
      <c r="BF8" s="14">
        <f t="shared" si="13"/>
        <v>1.0301666085965813</v>
      </c>
      <c r="BG8" s="11">
        <f t="shared" si="58"/>
        <v>6.2737146463531808</v>
      </c>
      <c r="BH8" s="11">
        <f t="shared" si="14"/>
        <v>5.0725440882557509</v>
      </c>
      <c r="BI8" s="12">
        <f t="shared" si="15"/>
        <v>-1.0005645442269007E-2</v>
      </c>
      <c r="BJ8" s="11">
        <f t="shared" si="16"/>
        <v>-4.9727933809372793E-2</v>
      </c>
      <c r="BK8" s="14">
        <f t="shared" si="69"/>
        <v>6.2301904447760394</v>
      </c>
      <c r="BL8" s="14">
        <f t="shared" si="70"/>
        <v>3.0599888373329787</v>
      </c>
      <c r="BM8" s="14">
        <f t="shared" si="68"/>
        <v>6.5345582000598563</v>
      </c>
      <c r="BN8" s="14">
        <f t="shared" si="59"/>
        <v>243.51594658539631</v>
      </c>
      <c r="BO8" s="14">
        <f t="shared" si="60"/>
        <v>58.744125871282371</v>
      </c>
      <c r="BP8" s="14">
        <f t="shared" si="61"/>
        <v>267.89044402881211</v>
      </c>
      <c r="BQ8" s="14">
        <f t="shared" si="62"/>
        <v>46.556877149574461</v>
      </c>
      <c r="BR8" s="14">
        <f t="shared" si="17"/>
        <v>138.21494356453945</v>
      </c>
      <c r="BS8" s="18">
        <f t="shared" si="18"/>
        <v>266.97990734096288</v>
      </c>
      <c r="BT8" s="18">
        <f t="shared" si="19"/>
        <v>47.476054245412044</v>
      </c>
      <c r="BU8" s="18">
        <f t="shared" si="20"/>
        <v>137.41289359190839</v>
      </c>
      <c r="BV8" s="11">
        <f t="shared" si="63"/>
        <v>-0.91053668784923047</v>
      </c>
      <c r="BW8" s="11">
        <f t="shared" si="21"/>
        <v>0.91917709583758267</v>
      </c>
      <c r="BX8" s="11">
        <f t="shared" si="21"/>
        <v>-0.80204997263106748</v>
      </c>
      <c r="BY8" s="11">
        <f t="shared" si="22"/>
        <v>180.60189817492656</v>
      </c>
      <c r="BZ8" s="11">
        <f t="shared" si="23"/>
        <v>6.5234435455990818</v>
      </c>
      <c r="CA8" s="11">
        <f t="shared" si="24"/>
        <v>2.7509007898534779</v>
      </c>
      <c r="CB8" s="11">
        <f t="shared" si="25"/>
        <v>6.235143674528886</v>
      </c>
      <c r="CC8" s="11">
        <f t="shared" si="26"/>
        <v>3.0670192289922196</v>
      </c>
      <c r="CD8" s="11">
        <f t="shared" si="27"/>
        <v>54.39903529705812</v>
      </c>
      <c r="CE8" s="11">
        <f t="shared" si="28"/>
        <v>53.156538811937239</v>
      </c>
      <c r="CF8" s="11">
        <f t="shared" si="29"/>
        <v>53.777787054497679</v>
      </c>
      <c r="CG8" s="14">
        <f t="shared" si="30"/>
        <v>-9.6982548233803811E-3</v>
      </c>
      <c r="CH8" s="14" t="e">
        <f>CA8-#REF!</f>
        <v>#REF!</v>
      </c>
      <c r="CI8" s="14">
        <f t="shared" si="31"/>
        <v>6.3036560887539395E-3</v>
      </c>
      <c r="CJ8" s="14">
        <f t="shared" si="32"/>
        <v>7.693660230265742E-3</v>
      </c>
      <c r="CK8" s="19"/>
      <c r="CL8" s="12"/>
      <c r="CO8" s="17"/>
      <c r="CP8" s="20"/>
      <c r="CQ8" s="20"/>
      <c r="CR8" s="21"/>
      <c r="CY8" s="14"/>
      <c r="CZ8" s="14"/>
      <c r="DA8" s="14"/>
      <c r="DB8" s="14"/>
      <c r="DG8" s="12"/>
    </row>
    <row r="9" spans="1:138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4"/>
        <v>0.22268123353394198</v>
      </c>
      <c r="I9" s="12">
        <f t="shared" si="65"/>
        <v>0.4534778579370875</v>
      </c>
      <c r="J9" s="12">
        <f t="shared" si="33"/>
        <v>6.6192867751278722E-2</v>
      </c>
      <c r="K9" s="13">
        <f t="shared" si="34"/>
        <v>4.3064647273216537E-2</v>
      </c>
      <c r="L9" s="13">
        <f>SUM(K$3:$K9)</f>
        <v>0.40544973518134053</v>
      </c>
      <c r="M9" s="72">
        <f t="shared" si="66"/>
        <v>0.69607572565403264</v>
      </c>
      <c r="N9" s="12">
        <f t="shared" si="35"/>
        <v>1.4548020576010275E-4</v>
      </c>
      <c r="O9" s="21">
        <f t="shared" si="36"/>
        <v>4.3650510903554069E-9</v>
      </c>
      <c r="P9" s="11">
        <f>SUM(O$2:$O9)</f>
        <v>6.7987856644900228E-8</v>
      </c>
      <c r="Q9" s="12">
        <f t="shared" si="37"/>
        <v>1.0113300587378379E-3</v>
      </c>
      <c r="R9" s="3">
        <f t="shared" si="0"/>
        <v>0.33726359612908019</v>
      </c>
      <c r="S9" s="1">
        <f t="shared" si="38"/>
        <v>1.47003321583815E-3</v>
      </c>
      <c r="T9" s="1">
        <f t="shared" si="39"/>
        <v>0.9666104567606737</v>
      </c>
      <c r="U9" s="1">
        <f t="shared" si="40"/>
        <v>4.2151895084227772E-3</v>
      </c>
      <c r="V9" s="11">
        <f t="shared" si="41"/>
        <v>6.300366354828129</v>
      </c>
      <c r="W9" s="12">
        <f t="shared" si="42"/>
        <v>4.3624146914790697E-2</v>
      </c>
      <c r="X9" s="13">
        <f t="shared" si="1"/>
        <v>-1.1449013241211392E-2</v>
      </c>
      <c r="Y9" s="12">
        <f t="shared" si="43"/>
        <v>1.1393414182273737E-2</v>
      </c>
      <c r="Z9" s="12" t="e">
        <f>SQRT((Q9/M9)^2 + (0.0002/G9)^2)*#REF!</f>
        <v>#REF!</v>
      </c>
      <c r="AA9" s="12">
        <f t="shared" si="44"/>
        <v>1.0678615554595263E-2</v>
      </c>
      <c r="AB9" s="12">
        <f t="shared" si="45"/>
        <v>4.6613005933041534E-3</v>
      </c>
      <c r="AC9" s="14">
        <f t="shared" si="46"/>
        <v>6.2517681854670881</v>
      </c>
      <c r="AD9" s="1">
        <f t="shared" si="47"/>
        <v>3.0699436079218736</v>
      </c>
      <c r="AE9" s="1">
        <f t="shared" si="48"/>
        <v>6.5746379711578822</v>
      </c>
      <c r="AF9" s="14">
        <f t="shared" si="2"/>
        <v>246.24733313626646</v>
      </c>
      <c r="AG9" s="14">
        <f t="shared" si="3"/>
        <v>59.378141392439744</v>
      </c>
      <c r="AH9" s="14">
        <f t="shared" si="4"/>
        <v>272.33878205042549</v>
      </c>
      <c r="AI9" s="14">
        <f t="shared" si="49"/>
        <v>46.332416935360243</v>
      </c>
      <c r="AJ9" s="14">
        <f t="shared" si="5"/>
        <v>140.5367748084665</v>
      </c>
      <c r="AK9" s="7"/>
      <c r="AL9" s="12">
        <f t="shared" si="50"/>
        <v>0.69607572565403264</v>
      </c>
      <c r="AM9" s="14">
        <f t="shared" si="6"/>
        <v>0.33726359612908019</v>
      </c>
      <c r="AN9" s="14">
        <f t="shared" si="51"/>
        <v>1.0345429154069179</v>
      </c>
      <c r="AO9" s="11">
        <f t="shared" si="67"/>
        <v>6.300366354828129</v>
      </c>
      <c r="AP9" s="14">
        <f t="shared" si="7"/>
        <v>5.8450684413506684</v>
      </c>
      <c r="AQ9" s="14">
        <f t="shared" si="8"/>
        <v>-1.1449013189105517E-2</v>
      </c>
      <c r="AR9" s="89">
        <f t="shared" si="52"/>
        <v>270.69999324107397</v>
      </c>
      <c r="AS9" s="89">
        <f t="shared" si="53"/>
        <v>47.61657693084809</v>
      </c>
      <c r="AT9" s="89">
        <f t="shared" si="54"/>
        <v>139.53825172985796</v>
      </c>
      <c r="AU9" s="14">
        <f t="shared" si="9"/>
        <v>-1.6387888093515244</v>
      </c>
      <c r="AV9" s="14">
        <f t="shared" si="10"/>
        <v>1.2841599954878475</v>
      </c>
      <c r="AW9" s="14">
        <f t="shared" si="11"/>
        <v>-0.99852307860854239</v>
      </c>
      <c r="AX9" s="11">
        <f t="shared" si="55"/>
        <v>7.7131878689084665E-2</v>
      </c>
      <c r="AY9" s="2"/>
      <c r="AZ9" s="12">
        <v>0.21174572005565329</v>
      </c>
      <c r="BA9" s="12">
        <v>0.50423364660407455</v>
      </c>
      <c r="BB9" s="12">
        <f t="shared" si="56"/>
        <v>0.22268123353394198</v>
      </c>
      <c r="BC9" s="12">
        <f t="shared" si="57"/>
        <v>0.4534778579370875</v>
      </c>
      <c r="BD9" s="12">
        <v>0.69600299949087296</v>
      </c>
      <c r="BE9" s="14">
        <f t="shared" si="12"/>
        <v>0.33715789502289784</v>
      </c>
      <c r="BF9" s="14">
        <f t="shared" si="13"/>
        <v>1.0348672510732804</v>
      </c>
      <c r="BG9" s="11">
        <f t="shared" si="58"/>
        <v>6.3023415590362788</v>
      </c>
      <c r="BH9" s="11">
        <f t="shared" si="14"/>
        <v>5.9019109383056021</v>
      </c>
      <c r="BI9" s="12">
        <f t="shared" si="15"/>
        <v>-1.1555902578200383E-2</v>
      </c>
      <c r="BJ9" s="11">
        <f t="shared" si="16"/>
        <v>0.13397437564401837</v>
      </c>
      <c r="BK9" s="14">
        <f t="shared" si="69"/>
        <v>6.2511149991881592</v>
      </c>
      <c r="BL9" s="14">
        <f t="shared" si="70"/>
        <v>3.0696228594580326</v>
      </c>
      <c r="BM9" s="14">
        <f t="shared" si="68"/>
        <v>6.5739510513642685</v>
      </c>
      <c r="BN9" s="14">
        <f t="shared" si="59"/>
        <v>246.27306380659465</v>
      </c>
      <c r="BO9" s="14">
        <f t="shared" si="60"/>
        <v>59.3843458835155</v>
      </c>
      <c r="BP9" s="14">
        <f t="shared" si="61"/>
        <v>272.36723904660607</v>
      </c>
      <c r="BQ9" s="14">
        <f t="shared" si="62"/>
        <v>46.337258263509796</v>
      </c>
      <c r="BR9" s="14">
        <f t="shared" si="17"/>
        <v>140.55145965956936</v>
      </c>
      <c r="BS9" s="18">
        <f t="shared" si="18"/>
        <v>271.38199013264602</v>
      </c>
      <c r="BT9" s="18">
        <f t="shared" si="19"/>
        <v>47.63701365956355</v>
      </c>
      <c r="BU9" s="18">
        <f t="shared" si="20"/>
        <v>139.93794962172046</v>
      </c>
      <c r="BV9" s="11">
        <f t="shared" si="63"/>
        <v>-0.98524891396004932</v>
      </c>
      <c r="BW9" s="11">
        <f t="shared" si="21"/>
        <v>1.2997553960537545</v>
      </c>
      <c r="BX9" s="11">
        <f t="shared" si="21"/>
        <v>-0.61351003784889713</v>
      </c>
      <c r="BY9" s="11">
        <f t="shared" si="22"/>
        <v>183.75262979202898</v>
      </c>
      <c r="BZ9" s="11">
        <f t="shared" si="23"/>
        <v>6.562050122756931</v>
      </c>
      <c r="CA9" s="11">
        <f t="shared" si="24"/>
        <v>2.7492947061327042</v>
      </c>
      <c r="CB9" s="11">
        <f t="shared" si="25"/>
        <v>6.2637377053730647</v>
      </c>
      <c r="CC9" s="11">
        <f t="shared" si="26"/>
        <v>3.0776077647708679</v>
      </c>
      <c r="CD9" s="11">
        <f t="shared" si="27"/>
        <v>54.871016297923248</v>
      </c>
      <c r="CE9" s="11">
        <f t="shared" si="28"/>
        <v>53.528926166375712</v>
      </c>
      <c r="CF9" s="11">
        <f t="shared" si="29"/>
        <v>54.19997123214948</v>
      </c>
      <c r="CG9" s="14">
        <f t="shared" si="30"/>
        <v>-1.2587848400951174E-2</v>
      </c>
      <c r="CH9" s="14" t="e">
        <f>CA9-#REF!</f>
        <v>#REF!</v>
      </c>
      <c r="CI9" s="14">
        <f t="shared" si="31"/>
        <v>1.1969519905976611E-2</v>
      </c>
      <c r="CJ9" s="14">
        <f t="shared" si="32"/>
        <v>7.6641568489943523E-3</v>
      </c>
      <c r="CK9" s="19"/>
      <c r="CL9" s="12"/>
      <c r="CO9" s="17"/>
      <c r="CP9" s="20"/>
      <c r="CQ9" s="20"/>
      <c r="CR9" s="21"/>
      <c r="CY9" s="14"/>
      <c r="CZ9" s="14"/>
      <c r="DA9" s="14"/>
      <c r="DB9" s="14"/>
      <c r="DG9" s="12"/>
    </row>
    <row r="10" spans="1:138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4"/>
        <v>0.22134156987383763</v>
      </c>
      <c r="I10" s="12">
        <f t="shared" si="65"/>
        <v>0.45099458602459414</v>
      </c>
      <c r="J10" s="12">
        <f t="shared" si="33"/>
        <v>6.5535824271566109E-2</v>
      </c>
      <c r="K10" s="13">
        <f t="shared" si="34"/>
        <v>5.3866612098258132E-2</v>
      </c>
      <c r="L10" s="13">
        <f>SUM(K$3:$K10)</f>
        <v>0.45931634727959869</v>
      </c>
      <c r="M10" s="72">
        <f t="shared" si="66"/>
        <v>0.69503633933473152</v>
      </c>
      <c r="N10" s="12">
        <f t="shared" si="35"/>
        <v>1.4393847616358112E-4</v>
      </c>
      <c r="O10" s="21">
        <f t="shared" si="36"/>
        <v>6.8066340632979484E-9</v>
      </c>
      <c r="P10" s="11">
        <f>SUM(O$2:$O10)</f>
        <v>7.4794490708198178E-8</v>
      </c>
      <c r="Q10" s="12">
        <f t="shared" si="37"/>
        <v>1.0128252934068428E-3</v>
      </c>
      <c r="R10" s="3">
        <f t="shared" si="0"/>
        <v>0.33575503617486507</v>
      </c>
      <c r="S10" s="1">
        <f t="shared" si="38"/>
        <v>1.4678132945629698E-3</v>
      </c>
      <c r="T10" s="1">
        <f t="shared" si="39"/>
        <v>0.96228686582725842</v>
      </c>
      <c r="U10" s="1">
        <f t="shared" si="40"/>
        <v>4.2088271285442413E-3</v>
      </c>
      <c r="V10" s="11">
        <f t="shared" si="41"/>
        <v>6.3286741368589201</v>
      </c>
      <c r="W10" s="12">
        <f t="shared" si="42"/>
        <v>4.3871877884831163E-2</v>
      </c>
      <c r="X10" s="13">
        <f t="shared" si="1"/>
        <v>-1.2979841381231094E-2</v>
      </c>
      <c r="Y10" s="12">
        <f t="shared" si="43"/>
        <v>1.1470411873743869E-2</v>
      </c>
      <c r="Z10" s="12" t="e">
        <f>SQRT((Q10/M10)^2 + (0.0002/G10)^2)*#REF!</f>
        <v>#REF!</v>
      </c>
      <c r="AA10" s="12">
        <f t="shared" si="44"/>
        <v>1.0768265482051892E-2</v>
      </c>
      <c r="AB10" s="12">
        <f t="shared" si="45"/>
        <v>4.6948964719212352E-3</v>
      </c>
      <c r="AC10" s="14">
        <f t="shared" si="46"/>
        <v>6.2802151419717038</v>
      </c>
      <c r="AD10" s="1">
        <f t="shared" si="47"/>
        <v>3.0822380617084795</v>
      </c>
      <c r="AE10" s="1">
        <f t="shared" si="48"/>
        <v>6.5959710987363138</v>
      </c>
      <c r="AF10" s="14">
        <f t="shared" si="2"/>
        <v>249.60988360873316</v>
      </c>
      <c r="AG10" s="14">
        <f t="shared" si="3"/>
        <v>60.12361604534933</v>
      </c>
      <c r="AH10" s="14">
        <f t="shared" si="4"/>
        <v>275.34057976629811</v>
      </c>
      <c r="AI10" s="14">
        <f t="shared" si="49"/>
        <v>47.258267966566848</v>
      </c>
      <c r="AJ10" s="14">
        <f t="shared" si="5"/>
        <v>142.22799959681697</v>
      </c>
      <c r="AK10" s="7"/>
      <c r="AL10" s="12">
        <f t="shared" si="50"/>
        <v>0.69503633933473152</v>
      </c>
      <c r="AM10" s="14">
        <f t="shared" si="6"/>
        <v>0.33575503617486507</v>
      </c>
      <c r="AN10" s="14">
        <f t="shared" si="51"/>
        <v>1.0391911554776552</v>
      </c>
      <c r="AO10" s="11">
        <f t="shared" si="67"/>
        <v>6.3286741368589201</v>
      </c>
      <c r="AP10" s="14">
        <f t="shared" si="7"/>
        <v>6.6734460383602627</v>
      </c>
      <c r="AQ10" s="14">
        <f t="shared" si="8"/>
        <v>-1.2979841322070085E-2</v>
      </c>
      <c r="AR10" s="89">
        <f t="shared" si="52"/>
        <v>274.96743576717415</v>
      </c>
      <c r="AS10" s="89">
        <f t="shared" si="53"/>
        <v>47.767876084440985</v>
      </c>
      <c r="AT10" s="89">
        <f t="shared" si="54"/>
        <v>141.9867695606564</v>
      </c>
      <c r="AU10" s="14">
        <f t="shared" si="9"/>
        <v>-0.37314399912395402</v>
      </c>
      <c r="AV10" s="14">
        <f t="shared" si="10"/>
        <v>0.50960811787413718</v>
      </c>
      <c r="AW10" s="14">
        <f t="shared" si="11"/>
        <v>-0.24123003616057304</v>
      </c>
      <c r="AX10" s="11">
        <f t="shared" si="55"/>
        <v>8.7667724276499825E-2</v>
      </c>
      <c r="AY10" s="2"/>
      <c r="AZ10" s="12">
        <v>0.21074572005565329</v>
      </c>
      <c r="BA10" s="12">
        <v>0.50423364660407455</v>
      </c>
      <c r="BB10" s="12">
        <f t="shared" si="56"/>
        <v>0.22134156987383763</v>
      </c>
      <c r="BC10" s="12">
        <f t="shared" si="57"/>
        <v>0.45099458602459414</v>
      </c>
      <c r="BD10" s="12">
        <v>0.69529703396780951</v>
      </c>
      <c r="BE10" s="14">
        <f t="shared" si="12"/>
        <v>0.33613298348094683</v>
      </c>
      <c r="BF10" s="14">
        <f t="shared" si="13"/>
        <v>1.0380226908609151</v>
      </c>
      <c r="BG10" s="11">
        <f t="shared" si="58"/>
        <v>6.3215581873429745</v>
      </c>
      <c r="BH10" s="11">
        <f t="shared" si="14"/>
        <v>6.4645814526004335</v>
      </c>
      <c r="BI10" s="12">
        <f t="shared" si="15"/>
        <v>-1.259524016751179E-2</v>
      </c>
      <c r="BJ10" s="11">
        <f t="shared" si="16"/>
        <v>-0.12119686148332942</v>
      </c>
      <c r="BK10" s="14">
        <f t="shared" si="69"/>
        <v>6.2825707287078654</v>
      </c>
      <c r="BL10" s="14">
        <f t="shared" si="70"/>
        <v>3.0833941493474728</v>
      </c>
      <c r="BM10" s="14">
        <f t="shared" si="68"/>
        <v>6.598445119399786</v>
      </c>
      <c r="BN10" s="14">
        <f t="shared" si="59"/>
        <v>249.51629489219764</v>
      </c>
      <c r="BO10" s="14">
        <f t="shared" si="60"/>
        <v>60.10107329993474</v>
      </c>
      <c r="BP10" s="14">
        <f t="shared" si="61"/>
        <v>275.23734358390857</v>
      </c>
      <c r="BQ10" s="14">
        <f t="shared" si="62"/>
        <v>47.240548954079259</v>
      </c>
      <c r="BR10" s="14">
        <f t="shared" si="17"/>
        <v>142.17467263818361</v>
      </c>
      <c r="BS10" s="18">
        <f t="shared" si="18"/>
        <v>274.35540947023367</v>
      </c>
      <c r="BT10" s="18">
        <f t="shared" si="19"/>
        <v>47.74013919058681</v>
      </c>
      <c r="BU10" s="18">
        <f t="shared" si="20"/>
        <v>141.6468377817701</v>
      </c>
      <c r="BV10" s="11">
        <f t="shared" si="63"/>
        <v>-0.88193411367490171</v>
      </c>
      <c r="BW10" s="11">
        <f t="shared" si="21"/>
        <v>0.49959023650755086</v>
      </c>
      <c r="BX10" s="11">
        <f t="shared" si="21"/>
        <v>-0.5278348564135058</v>
      </c>
      <c r="BY10" s="11">
        <f t="shared" si="22"/>
        <v>185.88302834459128</v>
      </c>
      <c r="BZ10" s="11">
        <f t="shared" si="23"/>
        <v>6.5878650451632739</v>
      </c>
      <c r="CA10" s="11">
        <f t="shared" si="24"/>
        <v>2.7480825255781087</v>
      </c>
      <c r="CB10" s="11">
        <f t="shared" si="25"/>
        <v>6.2828257536122782</v>
      </c>
      <c r="CC10" s="11">
        <f t="shared" si="26"/>
        <v>3.0846382391846499</v>
      </c>
      <c r="CD10" s="11">
        <f t="shared" si="27"/>
        <v>55.1857978520448</v>
      </c>
      <c r="CE10" s="11">
        <f t="shared" si="28"/>
        <v>53.774175253941991</v>
      </c>
      <c r="CF10" s="11">
        <f t="shared" si="29"/>
        <v>54.479986552993395</v>
      </c>
      <c r="CG10" s="14">
        <f t="shared" si="30"/>
        <v>-8.1060535730399508E-3</v>
      </c>
      <c r="CH10" s="14" t="e">
        <f>CA10-#REF!</f>
        <v>#REF!</v>
      </c>
      <c r="CI10" s="14">
        <f t="shared" si="31"/>
        <v>2.6106116405744118E-3</v>
      </c>
      <c r="CJ10" s="14">
        <f t="shared" si="32"/>
        <v>2.4001774761703842E-3</v>
      </c>
      <c r="CK10" s="19"/>
      <c r="CL10" s="12"/>
      <c r="CO10" s="17"/>
      <c r="CP10" s="20"/>
      <c r="CQ10" s="20"/>
      <c r="CR10" s="21"/>
      <c r="CY10" s="14"/>
      <c r="CZ10" s="14"/>
      <c r="DA10" s="14"/>
      <c r="DB10" s="14"/>
      <c r="DG10" s="12"/>
    </row>
    <row r="11" spans="1:138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4"/>
        <v>0.22024501494487403</v>
      </c>
      <c r="I11" s="12">
        <f t="shared" si="65"/>
        <v>0.44912514961026817</v>
      </c>
      <c r="J11" s="12">
        <f t="shared" si="33"/>
        <v>6.4505288502682029E-2</v>
      </c>
      <c r="K11" s="13">
        <f t="shared" si="34"/>
        <v>4.4780232180283826E-2</v>
      </c>
      <c r="L11" s="13">
        <f>SUM(K$3:$K11)</f>
        <v>0.50409657945988251</v>
      </c>
      <c r="M11" s="72">
        <f t="shared" si="66"/>
        <v>0.69417463965772075</v>
      </c>
      <c r="N11" s="12">
        <f t="shared" si="35"/>
        <v>1.4137639436247103E-4</v>
      </c>
      <c r="O11" s="21">
        <f t="shared" si="36"/>
        <v>4.6994311607138134E-9</v>
      </c>
      <c r="P11" s="11">
        <f>SUM(O$2:$O11)</f>
        <v>7.9493921868911995E-8</v>
      </c>
      <c r="Q11" s="12">
        <f t="shared" si="37"/>
        <v>1.0140661693873523E-3</v>
      </c>
      <c r="R11" s="3">
        <f t="shared" si="0"/>
        <v>0.33450778574282325</v>
      </c>
      <c r="S11" s="1">
        <f t="shared" si="38"/>
        <v>1.4659698419077669E-3</v>
      </c>
      <c r="T11" s="1">
        <f t="shared" si="39"/>
        <v>0.95871219804915209</v>
      </c>
      <c r="U11" s="1">
        <f t="shared" si="40"/>
        <v>4.203543722230859E-3</v>
      </c>
      <c r="V11" s="11">
        <f t="shared" si="41"/>
        <v>6.3522713202067465</v>
      </c>
      <c r="W11" s="12">
        <f t="shared" si="42"/>
        <v>4.407871276008464E-2</v>
      </c>
      <c r="X11" s="13">
        <f t="shared" si="1"/>
        <v>-1.4254186181280604E-2</v>
      </c>
      <c r="Y11" s="12">
        <f t="shared" si="43"/>
        <v>1.1590171051725551E-2</v>
      </c>
      <c r="Z11" s="12" t="e">
        <f>SQRT((Q11/M11)^2 + (0.0002/G11)^2)*#REF!</f>
        <v>#REF!</v>
      </c>
      <c r="AA11" s="12">
        <f t="shared" si="44"/>
        <v>1.0842680261065187E-2</v>
      </c>
      <c r="AB11" s="12">
        <f t="shared" si="45"/>
        <v>4.7208912039534128E-3</v>
      </c>
      <c r="AC11" s="14">
        <f t="shared" si="46"/>
        <v>6.3036581312087216</v>
      </c>
      <c r="AD11" s="1">
        <f t="shared" si="47"/>
        <v>3.0912303185875749</v>
      </c>
      <c r="AE11" s="1">
        <f t="shared" si="48"/>
        <v>6.6381912044195994</v>
      </c>
      <c r="AF11" s="14">
        <f t="shared" si="2"/>
        <v>252.41452547334765</v>
      </c>
      <c r="AG11" s="14">
        <f t="shared" si="3"/>
        <v>60.700430069813955</v>
      </c>
      <c r="AH11" s="14">
        <f t="shared" si="4"/>
        <v>279.91653570973227</v>
      </c>
      <c r="AI11" s="14">
        <f t="shared" si="49"/>
        <v>46.949424951621637</v>
      </c>
      <c r="AJ11" s="14">
        <f t="shared" si="5"/>
        <v>144.76467045191208</v>
      </c>
      <c r="AK11" s="7"/>
      <c r="AL11" s="12">
        <f t="shared" si="50"/>
        <v>0.69417463965772075</v>
      </c>
      <c r="AM11" s="14">
        <f t="shared" si="6"/>
        <v>0.33450778574282325</v>
      </c>
      <c r="AN11" s="14">
        <f t="shared" si="51"/>
        <v>1.043065898227709</v>
      </c>
      <c r="AO11" s="11">
        <f t="shared" si="67"/>
        <v>6.3522713202067465</v>
      </c>
      <c r="AP11" s="14">
        <f t="shared" si="7"/>
        <v>7.3716112245018497</v>
      </c>
      <c r="AQ11" s="14">
        <f t="shared" si="8"/>
        <v>-1.4254186116231082E-2</v>
      </c>
      <c r="AR11" s="89">
        <f t="shared" si="52"/>
        <v>278.54676324251443</v>
      </c>
      <c r="AS11" s="89">
        <f t="shared" si="53"/>
        <v>47.887071207830417</v>
      </c>
      <c r="AT11" s="89">
        <f t="shared" si="54"/>
        <v>144.04508058587871</v>
      </c>
      <c r="AU11" s="14">
        <f t="shared" si="9"/>
        <v>-1.3697724672178424</v>
      </c>
      <c r="AV11" s="14">
        <f t="shared" si="10"/>
        <v>0.9376462562087795</v>
      </c>
      <c r="AW11" s="14">
        <f t="shared" si="11"/>
        <v>-0.71958986603337394</v>
      </c>
      <c r="AX11" s="11">
        <f t="shared" si="55"/>
        <v>9.7124067115238688E-2</v>
      </c>
      <c r="AY11" s="2"/>
      <c r="AZ11" s="12">
        <v>0.20914572005565329</v>
      </c>
      <c r="BA11" s="12">
        <v>0.5046336466040745</v>
      </c>
      <c r="BB11" s="12">
        <f t="shared" si="56"/>
        <v>0.22024501494487403</v>
      </c>
      <c r="BC11" s="12">
        <f t="shared" si="57"/>
        <v>0.44912514961026817</v>
      </c>
      <c r="BD11" s="12">
        <v>0.69420529359789918</v>
      </c>
      <c r="BE11" s="14">
        <f t="shared" si="12"/>
        <v>0.33455210211745601</v>
      </c>
      <c r="BF11" s="14">
        <f t="shared" si="13"/>
        <v>1.0429277287204186</v>
      </c>
      <c r="BG11" s="11">
        <f t="shared" si="58"/>
        <v>6.35142986790735</v>
      </c>
      <c r="BH11" s="11">
        <f t="shared" si="14"/>
        <v>7.348724058980598</v>
      </c>
      <c r="BI11" s="12">
        <f t="shared" si="15"/>
        <v>-1.4208771397650644E-2</v>
      </c>
      <c r="BJ11" s="11">
        <f t="shared" si="16"/>
        <v>7.4236901593986993E-2</v>
      </c>
      <c r="BK11" s="14">
        <f t="shared" si="69"/>
        <v>6.303936493379017</v>
      </c>
      <c r="BL11" s="14">
        <f t="shared" si="70"/>
        <v>3.091366823702931</v>
      </c>
      <c r="BM11" s="14">
        <f t="shared" si="68"/>
        <v>6.6384843391791373</v>
      </c>
      <c r="BN11" s="14">
        <f t="shared" si="59"/>
        <v>252.40337963531476</v>
      </c>
      <c r="BO11" s="14">
        <f t="shared" si="60"/>
        <v>60.697749728178259</v>
      </c>
      <c r="BP11" s="14">
        <f t="shared" si="61"/>
        <v>279.9041754687205</v>
      </c>
      <c r="BQ11" s="14">
        <f t="shared" si="62"/>
        <v>46.947351811475386</v>
      </c>
      <c r="BR11" s="14">
        <f t="shared" si="17"/>
        <v>144.75827809566113</v>
      </c>
      <c r="BS11" s="18">
        <f t="shared" si="18"/>
        <v>279.00683490211304</v>
      </c>
      <c r="BT11" s="18">
        <f t="shared" si="19"/>
        <v>47.892479849444562</v>
      </c>
      <c r="BU11" s="18">
        <f t="shared" si="20"/>
        <v>144.32544807227103</v>
      </c>
      <c r="BV11" s="11">
        <f t="shared" si="63"/>
        <v>-0.89734056660745409</v>
      </c>
      <c r="BW11" s="11">
        <f t="shared" si="21"/>
        <v>0.94512803796917666</v>
      </c>
      <c r="BX11" s="11">
        <f t="shared" si="21"/>
        <v>-0.43283002339009613</v>
      </c>
      <c r="BY11" s="11">
        <f t="shared" si="22"/>
        <v>189.21924368221835</v>
      </c>
      <c r="BZ11" s="11">
        <f t="shared" si="23"/>
        <v>6.627834688623178</v>
      </c>
      <c r="CA11" s="11">
        <f t="shared" si="24"/>
        <v>2.7459834099747642</v>
      </c>
      <c r="CB11" s="11">
        <f t="shared" si="25"/>
        <v>6.3123290776716727</v>
      </c>
      <c r="CC11" s="11">
        <f t="shared" si="26"/>
        <v>3.0954441264727728</v>
      </c>
      <c r="CD11" s="11">
        <f t="shared" si="27"/>
        <v>55.671765275635138</v>
      </c>
      <c r="CE11" s="11">
        <f t="shared" si="28"/>
        <v>54.147692462742825</v>
      </c>
      <c r="CF11" s="11">
        <f t="shared" si="29"/>
        <v>54.909728869188982</v>
      </c>
      <c r="CG11" s="14">
        <f t="shared" si="30"/>
        <v>-1.0356515796421384E-2</v>
      </c>
      <c r="CH11" s="14" t="e">
        <f>CA11-#REF!</f>
        <v>#REF!</v>
      </c>
      <c r="CI11" s="14">
        <f t="shared" si="31"/>
        <v>8.6709464629510791E-3</v>
      </c>
      <c r="CJ11" s="14">
        <f t="shared" si="32"/>
        <v>4.2138078851978733E-3</v>
      </c>
      <c r="CK11" s="19"/>
      <c r="CL11" s="12"/>
      <c r="CO11" s="17"/>
      <c r="CP11" s="20"/>
      <c r="CQ11" s="20"/>
      <c r="CR11" s="21"/>
      <c r="CY11" s="14"/>
      <c r="CZ11" s="14"/>
      <c r="DA11" s="14"/>
      <c r="DB11" s="14"/>
      <c r="DG11" s="12"/>
    </row>
    <row r="12" spans="1:138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4"/>
        <v>0.21937759640869217</v>
      </c>
      <c r="I12" s="12">
        <f t="shared" si="65"/>
        <v>0.44776499001184611</v>
      </c>
      <c r="J12" s="12">
        <f t="shared" si="33"/>
        <v>6.3842156886695783E-2</v>
      </c>
      <c r="K12" s="13">
        <f t="shared" si="34"/>
        <v>3.5910070891095359E-2</v>
      </c>
      <c r="L12" s="13">
        <f>SUM(K$3:$K12)</f>
        <v>0.54000665035097783</v>
      </c>
      <c r="M12" s="72">
        <f t="shared" si="66"/>
        <v>0.69348516942975935</v>
      </c>
      <c r="N12" s="12">
        <f t="shared" si="35"/>
        <v>1.4015569129308025E-4</v>
      </c>
      <c r="O12" s="21">
        <f t="shared" si="36"/>
        <v>3.0482080873313215E-9</v>
      </c>
      <c r="P12" s="11">
        <f>SUM(O$2:$O12)</f>
        <v>8.2542129956243318E-8</v>
      </c>
      <c r="Q12" s="12">
        <f t="shared" si="37"/>
        <v>1.0150597912336166E-3</v>
      </c>
      <c r="R12" s="3">
        <f t="shared" si="0"/>
        <v>0.33351205288913305</v>
      </c>
      <c r="S12" s="1">
        <f t="shared" si="38"/>
        <v>1.4644927809685222E-3</v>
      </c>
      <c r="T12" s="1">
        <f t="shared" si="39"/>
        <v>0.9558583893382091</v>
      </c>
      <c r="U12" s="1">
        <f t="shared" si="40"/>
        <v>4.1993104086875841E-3</v>
      </c>
      <c r="V12" s="11">
        <f t="shared" si="41"/>
        <v>6.3712366475293765</v>
      </c>
      <c r="W12" s="12">
        <f t="shared" si="42"/>
        <v>4.4245163152270971E-2</v>
      </c>
      <c r="X12" s="13">
        <f t="shared" si="1"/>
        <v>-1.5277248312935976E-2</v>
      </c>
      <c r="Y12" s="12">
        <f t="shared" si="43"/>
        <v>1.166714901320411E-2</v>
      </c>
      <c r="Z12" s="12" t="e">
        <f>SQRT((Q12/M12)^2 + (0.0002/G12)^2)*#REF!</f>
        <v>#REF!</v>
      </c>
      <c r="AA12" s="12">
        <f t="shared" si="44"/>
        <v>1.0902220726807634E-2</v>
      </c>
      <c r="AB12" s="12">
        <f t="shared" si="45"/>
        <v>4.7402990598772636E-3</v>
      </c>
      <c r="AC12" s="14">
        <f t="shared" si="46"/>
        <v>6.3222970876007105</v>
      </c>
      <c r="AD12" s="1">
        <f t="shared" si="47"/>
        <v>3.0975408301189979</v>
      </c>
      <c r="AE12" s="1">
        <f t="shared" si="48"/>
        <v>6.6634583621929639</v>
      </c>
      <c r="AF12" s="14">
        <f t="shared" si="2"/>
        <v>254.66750633803909</v>
      </c>
      <c r="AG12" s="14">
        <f t="shared" si="3"/>
        <v>61.130481402652372</v>
      </c>
      <c r="AH12" s="14">
        <f t="shared" si="4"/>
        <v>282.89359391019582</v>
      </c>
      <c r="AI12" s="14">
        <f t="shared" si="49"/>
        <v>47.017437616574</v>
      </c>
      <c r="AJ12" s="14">
        <f t="shared" si="5"/>
        <v>146.51958731881271</v>
      </c>
      <c r="AK12" s="7"/>
      <c r="AL12" s="12">
        <f t="shared" si="50"/>
        <v>0.69348516942975935</v>
      </c>
      <c r="AM12" s="14">
        <f t="shared" si="6"/>
        <v>0.33351205288913305</v>
      </c>
      <c r="AN12" s="14">
        <f t="shared" si="51"/>
        <v>1.0461800734859401</v>
      </c>
      <c r="AO12" s="11">
        <f t="shared" si="67"/>
        <v>6.3712366475293765</v>
      </c>
      <c r="AP12" s="14">
        <f t="shared" si="7"/>
        <v>7.9377751954725957</v>
      </c>
      <c r="AQ12" s="14">
        <f t="shared" si="8"/>
        <v>-1.5277248243148578E-2</v>
      </c>
      <c r="AR12" s="89">
        <f t="shared" si="52"/>
        <v>281.43800001735826</v>
      </c>
      <c r="AS12" s="89">
        <f t="shared" si="53"/>
        <v>47.978245040240097</v>
      </c>
      <c r="AT12" s="89">
        <f t="shared" si="54"/>
        <v>145.71075987257069</v>
      </c>
      <c r="AU12" s="14">
        <f t="shared" si="9"/>
        <v>-1.4555938928375554</v>
      </c>
      <c r="AV12" s="14">
        <f t="shared" si="10"/>
        <v>0.96080742366609684</v>
      </c>
      <c r="AW12" s="14">
        <f t="shared" si="11"/>
        <v>-0.80882744624202019</v>
      </c>
      <c r="AX12" s="11">
        <f t="shared" si="55"/>
        <v>0.10371210290235666</v>
      </c>
      <c r="AY12" s="2"/>
      <c r="AZ12" s="12">
        <v>0.20814572005565329</v>
      </c>
      <c r="BA12" s="12">
        <v>0.50383364660407459</v>
      </c>
      <c r="BB12" s="12">
        <f t="shared" si="56"/>
        <v>0.21937759640869217</v>
      </c>
      <c r="BC12" s="12">
        <f t="shared" si="57"/>
        <v>0.44776499001184611</v>
      </c>
      <c r="BD12" s="12">
        <v>0.69349834764970353</v>
      </c>
      <c r="BE12" s="14">
        <f t="shared" si="12"/>
        <v>0.33353106632547219</v>
      </c>
      <c r="BF12" s="14">
        <f t="shared" si="13"/>
        <v>1.046120434429088</v>
      </c>
      <c r="BG12" s="11">
        <f t="shared" si="58"/>
        <v>6.3708734456731451</v>
      </c>
      <c r="BH12" s="11">
        <f t="shared" si="14"/>
        <v>7.9304329374796554</v>
      </c>
      <c r="BI12" s="12">
        <f t="shared" si="15"/>
        <v>-1.5257665291240174E-2</v>
      </c>
      <c r="BJ12" s="11">
        <f t="shared" si="16"/>
        <v>9.6369844909416358E-2</v>
      </c>
      <c r="BK12" s="14">
        <f t="shared" si="69"/>
        <v>6.322417229494504</v>
      </c>
      <c r="BL12" s="14">
        <f t="shared" si="70"/>
        <v>3.097599692335733</v>
      </c>
      <c r="BM12" s="14">
        <f t="shared" si="68"/>
        <v>6.6635849871357271</v>
      </c>
      <c r="BN12" s="14">
        <f t="shared" si="59"/>
        <v>254.66266701228929</v>
      </c>
      <c r="BO12" s="14">
        <f t="shared" si="60"/>
        <v>61.129319769128706</v>
      </c>
      <c r="BP12" s="14">
        <f t="shared" si="61"/>
        <v>282.88821821750093</v>
      </c>
      <c r="BQ12" s="14">
        <f t="shared" si="62"/>
        <v>47.016544166522891</v>
      </c>
      <c r="BR12" s="14">
        <f t="shared" si="17"/>
        <v>146.51680307663767</v>
      </c>
      <c r="BS12" s="18">
        <f t="shared" si="18"/>
        <v>282.05364013468943</v>
      </c>
      <c r="BT12" s="18">
        <f t="shared" si="19"/>
        <v>47.986365211130625</v>
      </c>
      <c r="BU12" s="18">
        <f t="shared" si="20"/>
        <v>146.08351710688822</v>
      </c>
      <c r="BV12" s="11">
        <f t="shared" si="63"/>
        <v>-0.83457808281150392</v>
      </c>
      <c r="BW12" s="11">
        <f t="shared" si="21"/>
        <v>0.969821044607734</v>
      </c>
      <c r="BX12" s="11">
        <f t="shared" si="21"/>
        <v>-0.43328596974944844</v>
      </c>
      <c r="BY12" s="11">
        <f t="shared" si="22"/>
        <v>191.40689144948863</v>
      </c>
      <c r="BZ12" s="11">
        <f t="shared" si="23"/>
        <v>6.6537482576146827</v>
      </c>
      <c r="CA12" s="11">
        <f t="shared" si="24"/>
        <v>2.7444760071706074</v>
      </c>
      <c r="CB12" s="11">
        <f t="shared" si="25"/>
        <v>6.3314235020117406</v>
      </c>
      <c r="CC12" s="11">
        <f t="shared" si="26"/>
        <v>3.1023977882792959</v>
      </c>
      <c r="CD12" s="11">
        <f t="shared" si="27"/>
        <v>55.985843732238621</v>
      </c>
      <c r="CE12" s="11">
        <f t="shared" si="28"/>
        <v>54.385667821202873</v>
      </c>
      <c r="CF12" s="11">
        <f t="shared" si="29"/>
        <v>55.185755776720747</v>
      </c>
      <c r="CG12" s="14">
        <f t="shared" si="30"/>
        <v>-9.7101045782812534E-3</v>
      </c>
      <c r="CH12" s="14" t="e">
        <f>CA12-#REF!</f>
        <v>#REF!</v>
      </c>
      <c r="CI12" s="14">
        <f t="shared" si="31"/>
        <v>9.126414411030126E-3</v>
      </c>
      <c r="CJ12" s="14">
        <f t="shared" si="32"/>
        <v>4.8569581602979639E-3</v>
      </c>
      <c r="CK12" s="19"/>
      <c r="CL12" s="12"/>
      <c r="CO12" s="17"/>
      <c r="CP12" s="20"/>
      <c r="CQ12" s="20"/>
      <c r="CR12" s="21"/>
      <c r="CY12" s="14"/>
      <c r="CZ12" s="14"/>
      <c r="DA12" s="14"/>
      <c r="DB12" s="14"/>
      <c r="DG12" s="12"/>
    </row>
    <row r="13" spans="1:138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4"/>
        <v>0.21834293437005509</v>
      </c>
      <c r="I13" s="12">
        <f t="shared" si="65"/>
        <v>0.44626509021859395</v>
      </c>
      <c r="J13" s="12">
        <f t="shared" si="33"/>
        <v>6.3276640631831735E-2</v>
      </c>
      <c r="K13" s="13">
        <f t="shared" si="34"/>
        <v>4.3773920000516962E-2</v>
      </c>
      <c r="L13" s="13">
        <f>SUM(K$3:$K13)</f>
        <v>0.58378057035149478</v>
      </c>
      <c r="M13" s="72">
        <f t="shared" si="66"/>
        <v>0.6926465640662175</v>
      </c>
      <c r="N13" s="12">
        <f t="shared" si="35"/>
        <v>1.3890838379065608E-4</v>
      </c>
      <c r="O13" s="21">
        <f t="shared" si="36"/>
        <v>4.5241558546774555E-9</v>
      </c>
      <c r="P13" s="11">
        <f>SUM(O$2:$O13)</f>
        <v>8.7066285810920778E-8</v>
      </c>
      <c r="Q13" s="12">
        <f t="shared" si="37"/>
        <v>1.0162691861868754E-3</v>
      </c>
      <c r="R13" s="3">
        <f t="shared" si="0"/>
        <v>0.33230360489691885</v>
      </c>
      <c r="S13" s="1">
        <f t="shared" si="38"/>
        <v>1.4626936664480649E-3</v>
      </c>
      <c r="T13" s="1">
        <f t="shared" si="39"/>
        <v>0.95239493084718774</v>
      </c>
      <c r="U13" s="1">
        <f t="shared" si="40"/>
        <v>4.1941540771761382E-3</v>
      </c>
      <c r="V13" s="11">
        <f t="shared" si="41"/>
        <v>6.3944061468100601</v>
      </c>
      <c r="W13" s="12">
        <f t="shared" si="42"/>
        <v>4.4448770085576232E-2</v>
      </c>
      <c r="X13" s="13">
        <f t="shared" si="1"/>
        <v>-1.6525723003432025E-2</v>
      </c>
      <c r="Y13" s="12">
        <f t="shared" si="43"/>
        <v>1.1731246070128905E-2</v>
      </c>
      <c r="Z13" s="12" t="e">
        <f>SQRT((Q13/M13)^2 + (0.0002/G13)^2)*#REF!</f>
        <v>#REF!</v>
      </c>
      <c r="AA13" s="12">
        <f t="shared" si="44"/>
        <v>1.0974080797447187E-2</v>
      </c>
      <c r="AB13" s="12">
        <f t="shared" si="45"/>
        <v>4.7622856671822381E-3</v>
      </c>
      <c r="AC13" s="14">
        <f t="shared" si="46"/>
        <v>6.3445750242808074</v>
      </c>
      <c r="AD13" s="1">
        <f t="shared" si="47"/>
        <v>3.1041933561369928</v>
      </c>
      <c r="AE13" s="1">
        <f t="shared" si="48"/>
        <v>6.6810789620379483</v>
      </c>
      <c r="AF13" s="14">
        <f t="shared" si="2"/>
        <v>257.39807341875269</v>
      </c>
      <c r="AG13" s="14">
        <f t="shared" si="3"/>
        <v>61.616602449590005</v>
      </c>
      <c r="AH13" s="14">
        <f t="shared" si="4"/>
        <v>285.42593122459795</v>
      </c>
      <c r="AI13" s="14">
        <f t="shared" si="49"/>
        <v>47.602673546667376</v>
      </c>
      <c r="AJ13" s="14">
        <f t="shared" si="5"/>
        <v>148.17879742249534</v>
      </c>
      <c r="AK13" s="7"/>
      <c r="AL13" s="12">
        <f t="shared" si="50"/>
        <v>0.6926465640662175</v>
      </c>
      <c r="AM13" s="14">
        <f t="shared" si="6"/>
        <v>0.33230360489691885</v>
      </c>
      <c r="AN13" s="14">
        <f t="shared" si="51"/>
        <v>1.0499845889671693</v>
      </c>
      <c r="AO13" s="11">
        <f t="shared" si="67"/>
        <v>6.3944061468100601</v>
      </c>
      <c r="AP13" s="14">
        <f t="shared" si="7"/>
        <v>8.6355503942470477</v>
      </c>
      <c r="AQ13" s="14">
        <f t="shared" si="8"/>
        <v>-1.6525722927850706E-2</v>
      </c>
      <c r="AR13" s="89">
        <f t="shared" si="52"/>
        <v>284.98765974283327</v>
      </c>
      <c r="AS13" s="89">
        <f t="shared" si="53"/>
        <v>48.083970076635204</v>
      </c>
      <c r="AT13" s="89">
        <f t="shared" si="54"/>
        <v>147.7594885872528</v>
      </c>
      <c r="AU13" s="14">
        <f t="shared" si="9"/>
        <v>-0.4382714817646729</v>
      </c>
      <c r="AV13" s="14">
        <f t="shared" si="10"/>
        <v>0.48129652996782823</v>
      </c>
      <c r="AW13" s="14">
        <f t="shared" si="11"/>
        <v>-0.41930883524253204</v>
      </c>
      <c r="AX13" s="11">
        <f t="shared" si="55"/>
        <v>0.1127784583739615</v>
      </c>
      <c r="AY13" s="2"/>
      <c r="AZ13" s="12">
        <v>0.20734572005565327</v>
      </c>
      <c r="BA13" s="12">
        <v>0.50403364660407457</v>
      </c>
      <c r="BB13" s="12">
        <f t="shared" si="56"/>
        <v>0.21834293437005509</v>
      </c>
      <c r="BC13" s="12">
        <f t="shared" si="57"/>
        <v>0.44626509021859395</v>
      </c>
      <c r="BD13" s="12">
        <v>0.692897411528134</v>
      </c>
      <c r="BE13" s="14">
        <f t="shared" si="12"/>
        <v>0.33266477484606105</v>
      </c>
      <c r="BF13" s="14">
        <f t="shared" si="13"/>
        <v>1.0488446339455628</v>
      </c>
      <c r="BG13" s="11">
        <f t="shared" si="58"/>
        <v>6.3874638207284757</v>
      </c>
      <c r="BH13" s="11">
        <f t="shared" si="14"/>
        <v>8.430664539113284</v>
      </c>
      <c r="BI13" s="12">
        <f t="shared" si="15"/>
        <v>-1.6151798272447615E-2</v>
      </c>
      <c r="BJ13" s="11">
        <f t="shared" si="16"/>
        <v>-9.2107396759802285E-2</v>
      </c>
      <c r="BK13" s="14">
        <f t="shared" si="69"/>
        <v>6.3468727625853711</v>
      </c>
      <c r="BL13" s="14">
        <f t="shared" si="70"/>
        <v>3.1053175644491136</v>
      </c>
      <c r="BM13" s="14">
        <f t="shared" si="68"/>
        <v>6.6834985679198464</v>
      </c>
      <c r="BN13" s="14">
        <f t="shared" si="59"/>
        <v>257.30488840702498</v>
      </c>
      <c r="BO13" s="14">
        <f t="shared" si="60"/>
        <v>61.594295585573427</v>
      </c>
      <c r="BP13" s="14">
        <f t="shared" si="61"/>
        <v>285.32259937601316</v>
      </c>
      <c r="BQ13" s="14">
        <f t="shared" si="62"/>
        <v>47.585440101079342</v>
      </c>
      <c r="BR13" s="14">
        <f t="shared" si="17"/>
        <v>148.12515272037226</v>
      </c>
      <c r="BS13" s="18">
        <f t="shared" si="18"/>
        <v>284.665302152008</v>
      </c>
      <c r="BT13" s="18">
        <f t="shared" si="19"/>
        <v>48.063146416904146</v>
      </c>
      <c r="BU13" s="18">
        <f t="shared" si="20"/>
        <v>147.59269900647251</v>
      </c>
      <c r="BV13" s="11">
        <f t="shared" si="63"/>
        <v>-0.65729722400516266</v>
      </c>
      <c r="BW13" s="11">
        <f t="shared" si="21"/>
        <v>0.47770631582480405</v>
      </c>
      <c r="BX13" s="11">
        <f t="shared" si="21"/>
        <v>-0.53245371389974139</v>
      </c>
      <c r="BY13" s="11">
        <f t="shared" si="22"/>
        <v>193.283566721651</v>
      </c>
      <c r="BZ13" s="11">
        <f t="shared" si="23"/>
        <v>6.6757957465412545</v>
      </c>
      <c r="CA13" s="11">
        <f t="shared" si="24"/>
        <v>2.7431014672721021</v>
      </c>
      <c r="CB13" s="11">
        <f t="shared" si="25"/>
        <v>6.3476482212915304</v>
      </c>
      <c r="CC13" s="11">
        <f t="shared" si="26"/>
        <v>3.1082814301628834</v>
      </c>
      <c r="CD13" s="11">
        <f t="shared" si="27"/>
        <v>56.252408479249581</v>
      </c>
      <c r="CE13" s="11">
        <f t="shared" si="28"/>
        <v>54.585449826351926</v>
      </c>
      <c r="CF13" s="11">
        <f t="shared" si="29"/>
        <v>55.418929152800757</v>
      </c>
      <c r="CG13" s="14">
        <f t="shared" si="30"/>
        <v>-5.2832154966937495E-3</v>
      </c>
      <c r="CH13" s="14" t="e">
        <f>CA13-#REF!</f>
        <v>#REF!</v>
      </c>
      <c r="CI13" s="14">
        <f t="shared" si="31"/>
        <v>3.07319701072295E-3</v>
      </c>
      <c r="CJ13" s="14">
        <f t="shared" si="32"/>
        <v>4.0880740258906201E-3</v>
      </c>
      <c r="CK13" s="19"/>
      <c r="CL13" s="12"/>
      <c r="CO13" s="17"/>
      <c r="CP13" s="20"/>
      <c r="CQ13" s="20"/>
      <c r="CR13" s="21"/>
      <c r="CY13" s="14"/>
      <c r="CZ13" s="14"/>
      <c r="DA13" s="14"/>
      <c r="DB13" s="14"/>
      <c r="DG13" s="12"/>
    </row>
    <row r="14" spans="1:138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4"/>
        <v>0.21746956626893954</v>
      </c>
      <c r="I14" s="12">
        <f t="shared" si="65"/>
        <v>0.44506680642534358</v>
      </c>
      <c r="J14" s="12">
        <f t="shared" si="33"/>
        <v>6.2599941035834814E-2</v>
      </c>
      <c r="K14" s="13">
        <f t="shared" si="34"/>
        <v>3.7927887794677359E-2</v>
      </c>
      <c r="L14" s="13">
        <f>SUM(K$3:$K14)</f>
        <v>0.62170845814617215</v>
      </c>
      <c r="M14" s="72">
        <f t="shared" si="66"/>
        <v>0.69192159319121305</v>
      </c>
      <c r="N14" s="12">
        <f t="shared" si="35"/>
        <v>1.3732168282651387E-4</v>
      </c>
      <c r="O14" s="21">
        <f t="shared" si="36"/>
        <v>3.400095117608118E-9</v>
      </c>
      <c r="P14" s="11">
        <f>SUM(O$2:$O14)</f>
        <v>9.0466380928528898E-8</v>
      </c>
      <c r="Q14" s="12">
        <f t="shared" si="37"/>
        <v>1.0173154007825742E-3</v>
      </c>
      <c r="R14" s="3">
        <f t="shared" si="0"/>
        <v>0.33126126216774415</v>
      </c>
      <c r="S14" s="1">
        <f t="shared" si="38"/>
        <v>1.4611360029898239E-3</v>
      </c>
      <c r="T14" s="1">
        <f t="shared" si="39"/>
        <v>0.94940753643785125</v>
      </c>
      <c r="U14" s="1">
        <f t="shared" si="40"/>
        <v>4.1896897537088843E-3</v>
      </c>
      <c r="V14" s="11">
        <f t="shared" si="41"/>
        <v>6.4145267087825077</v>
      </c>
      <c r="W14" s="12">
        <f t="shared" si="42"/>
        <v>4.4625813127748562E-2</v>
      </c>
      <c r="X14" s="13">
        <f t="shared" si="1"/>
        <v>-1.7608684677338671E-2</v>
      </c>
      <c r="Y14" s="12">
        <f t="shared" si="43"/>
        <v>1.1810079372472792E-2</v>
      </c>
      <c r="Z14" s="12" t="e">
        <f>SQRT((Q14/M14)^2 + (0.0002/G14)^2)*#REF!</f>
        <v>#REF!</v>
      </c>
      <c r="AA14" s="12">
        <f t="shared" si="44"/>
        <v>1.1035481555648404E-2</v>
      </c>
      <c r="AB14" s="12">
        <f t="shared" si="45"/>
        <v>4.7802733405781254E-3</v>
      </c>
      <c r="AC14" s="14">
        <f t="shared" si="46"/>
        <v>6.3633878069681691</v>
      </c>
      <c r="AD14" s="1">
        <f t="shared" si="47"/>
        <v>3.1092931811677462</v>
      </c>
      <c r="AE14" s="1">
        <f t="shared" si="48"/>
        <v>6.7064302860713143</v>
      </c>
      <c r="AF14" s="14">
        <f t="shared" si="2"/>
        <v>259.74153376834704</v>
      </c>
      <c r="AG14" s="14">
        <f t="shared" si="3"/>
        <v>62.01374607517937</v>
      </c>
      <c r="AH14" s="14">
        <f t="shared" si="4"/>
        <v>288.50108222825492</v>
      </c>
      <c r="AI14" s="14">
        <f t="shared" si="49"/>
        <v>47.633971845225432</v>
      </c>
      <c r="AJ14" s="14">
        <f t="shared" si="5"/>
        <v>150.09381584794221</v>
      </c>
      <c r="AK14" s="7"/>
      <c r="AL14" s="12">
        <f t="shared" si="50"/>
        <v>0.69192159319121305</v>
      </c>
      <c r="AM14" s="14">
        <f t="shared" si="6"/>
        <v>0.33126126216774415</v>
      </c>
      <c r="AN14" s="14">
        <f t="shared" si="51"/>
        <v>1.0532884579281623</v>
      </c>
      <c r="AO14" s="11">
        <f t="shared" si="67"/>
        <v>6.4145267087825077</v>
      </c>
      <c r="AP14" s="14">
        <f t="shared" si="7"/>
        <v>9.24695938997192</v>
      </c>
      <c r="AQ14" s="14">
        <f t="shared" si="8"/>
        <v>-1.7608684596720381E-2</v>
      </c>
      <c r="AR14" s="89">
        <f t="shared" si="52"/>
        <v>288.08580830693097</v>
      </c>
      <c r="AS14" s="89">
        <f t="shared" si="53"/>
        <v>48.170676028490263</v>
      </c>
      <c r="AT14" s="89">
        <f t="shared" si="54"/>
        <v>149.55096432327448</v>
      </c>
      <c r="AU14" s="14">
        <f t="shared" si="9"/>
        <v>-0.41527392132394425</v>
      </c>
      <c r="AV14" s="14">
        <f t="shared" si="10"/>
        <v>0.53670418326483116</v>
      </c>
      <c r="AW14" s="14">
        <f t="shared" si="11"/>
        <v>-0.54285152466772502</v>
      </c>
      <c r="AX14" s="11">
        <f t="shared" si="55"/>
        <v>0.12156721620879019</v>
      </c>
      <c r="AY14" s="2"/>
      <c r="AZ14" s="12">
        <v>0.20634572005565327</v>
      </c>
      <c r="BA14" s="12">
        <v>0.50443364660407453</v>
      </c>
      <c r="BB14" s="12">
        <f t="shared" si="56"/>
        <v>0.21746956626893954</v>
      </c>
      <c r="BC14" s="12">
        <f t="shared" si="57"/>
        <v>0.44506680642534358</v>
      </c>
      <c r="BD14" s="12">
        <v>0.69217070584735196</v>
      </c>
      <c r="BE14" s="14">
        <f t="shared" si="12"/>
        <v>0.3316191831552831</v>
      </c>
      <c r="BF14" s="14">
        <f t="shared" si="13"/>
        <v>1.0521516297102107</v>
      </c>
      <c r="BG14" s="11">
        <f t="shared" si="58"/>
        <v>6.4076034249351839</v>
      </c>
      <c r="BH14" s="11">
        <f t="shared" si="14"/>
        <v>9.0427267710236752</v>
      </c>
      <c r="BI14" s="12">
        <f t="shared" si="15"/>
        <v>-1.7236176283593307E-2</v>
      </c>
      <c r="BJ14" s="11">
        <f t="shared" si="16"/>
        <v>-8.2665402739454663E-2</v>
      </c>
      <c r="BK14" s="14">
        <f t="shared" si="69"/>
        <v>6.3656788186293669</v>
      </c>
      <c r="BL14" s="14">
        <f t="shared" si="70"/>
        <v>3.1104126205532161</v>
      </c>
      <c r="BM14" s="14">
        <f t="shared" si="68"/>
        <v>6.7088448033782084</v>
      </c>
      <c r="BN14" s="14">
        <f t="shared" si="59"/>
        <v>259.64805263307227</v>
      </c>
      <c r="BO14" s="14">
        <f t="shared" si="60"/>
        <v>61.991427290418045</v>
      </c>
      <c r="BP14" s="14">
        <f t="shared" si="61"/>
        <v>288.39725051407572</v>
      </c>
      <c r="BQ14" s="14">
        <f t="shared" si="62"/>
        <v>47.616828349916318</v>
      </c>
      <c r="BR14" s="14">
        <f t="shared" si="17"/>
        <v>150.03979699273791</v>
      </c>
      <c r="BS14" s="18">
        <f t="shared" si="18"/>
        <v>287.85047243488935</v>
      </c>
      <c r="BT14" s="18">
        <f t="shared" si="19"/>
        <v>48.152195266280692</v>
      </c>
      <c r="BU14" s="18">
        <f t="shared" si="20"/>
        <v>149.43602566312458</v>
      </c>
      <c r="BV14" s="11">
        <f t="shared" si="63"/>
        <v>-0.54677807918636745</v>
      </c>
      <c r="BW14" s="11">
        <f t="shared" si="21"/>
        <v>0.53536691636437439</v>
      </c>
      <c r="BX14" s="11">
        <f t="shared" si="21"/>
        <v>-0.60377132961332336</v>
      </c>
      <c r="BY14" s="11">
        <f t="shared" si="22"/>
        <v>195.57417458704617</v>
      </c>
      <c r="BZ14" s="11">
        <f t="shared" si="23"/>
        <v>6.7024820700382799</v>
      </c>
      <c r="CA14" s="11">
        <f t="shared" si="24"/>
        <v>2.741323147924744</v>
      </c>
      <c r="CB14" s="11">
        <f t="shared" si="25"/>
        <v>6.367260604705784</v>
      </c>
      <c r="CC14" s="11">
        <f t="shared" si="26"/>
        <v>3.1153625941995431</v>
      </c>
      <c r="CD14" s="11">
        <f t="shared" si="27"/>
        <v>56.574206514121371</v>
      </c>
      <c r="CE14" s="11">
        <f t="shared" si="28"/>
        <v>54.823856281790015</v>
      </c>
      <c r="CF14" s="11">
        <f t="shared" si="29"/>
        <v>55.699031397955693</v>
      </c>
      <c r="CG14" s="14">
        <f t="shared" si="30"/>
        <v>-3.9482160330344129E-3</v>
      </c>
      <c r="CH14" s="14" t="e">
        <f>CA14-#REF!</f>
        <v>#REF!</v>
      </c>
      <c r="CI14" s="14">
        <f t="shared" si="31"/>
        <v>3.8727977376149525E-3</v>
      </c>
      <c r="CJ14" s="14">
        <f t="shared" si="32"/>
        <v>6.0694130317968664E-3</v>
      </c>
      <c r="CK14" s="19"/>
      <c r="CL14" s="12"/>
      <c r="CO14" s="17"/>
      <c r="CP14" s="20"/>
      <c r="CQ14" s="20"/>
      <c r="CR14" s="21"/>
      <c r="CY14" s="14"/>
      <c r="CZ14" s="14"/>
      <c r="DA14" s="14"/>
      <c r="DB14" s="14"/>
      <c r="DG14" s="12"/>
    </row>
    <row r="15" spans="1:138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4"/>
        <v>0.216863224419231</v>
      </c>
      <c r="I15" s="12">
        <f t="shared" si="65"/>
        <v>0.44424358753123327</v>
      </c>
      <c r="J15" s="12">
        <f t="shared" si="33"/>
        <v>6.206912031733286E-2</v>
      </c>
      <c r="K15" s="13">
        <f t="shared" si="34"/>
        <v>2.6831464075062851E-2</v>
      </c>
      <c r="L15" s="13">
        <f>SUM(K$3:$K15)</f>
        <v>0.64853992222123502</v>
      </c>
      <c r="M15" s="72">
        <f t="shared" si="66"/>
        <v>0.69140964027722673</v>
      </c>
      <c r="N15" s="12">
        <f t="shared" si="35"/>
        <v>1.3635898908012113E-4</v>
      </c>
      <c r="O15" s="21">
        <f t="shared" si="36"/>
        <v>1.7104900764775685E-9</v>
      </c>
      <c r="P15" s="11">
        <f>SUM(O$2:$O15)</f>
        <v>9.2176871005006468E-8</v>
      </c>
      <c r="Q15" s="12">
        <f t="shared" si="37"/>
        <v>1.0180545690322434E-3</v>
      </c>
      <c r="R15" s="3">
        <f t="shared" si="0"/>
        <v>0.3305265052764611</v>
      </c>
      <c r="S15" s="1">
        <f t="shared" si="38"/>
        <v>1.4600346854349946E-3</v>
      </c>
      <c r="T15" s="1">
        <f t="shared" si="39"/>
        <v>0.94730169488707994</v>
      </c>
      <c r="U15" s="1">
        <f t="shared" si="40"/>
        <v>4.1865333351777095E-3</v>
      </c>
      <c r="V15" s="11">
        <f t="shared" si="41"/>
        <v>6.4287861331504734</v>
      </c>
      <c r="W15" s="12">
        <f t="shared" si="42"/>
        <v>4.4751411802991005E-2</v>
      </c>
      <c r="X15" s="13">
        <f t="shared" si="1"/>
        <v>-1.837549314064113E-2</v>
      </c>
      <c r="Y15" s="12">
        <f t="shared" si="43"/>
        <v>1.187336828199278E-2</v>
      </c>
      <c r="Z15" s="12" t="e">
        <f>SQRT((Q15/M15)^2 + (0.0002/G15)^2)*#REF!</f>
        <v>#REF!</v>
      </c>
      <c r="AA15" s="12">
        <f t="shared" si="44"/>
        <v>1.1078510094086754E-2</v>
      </c>
      <c r="AB15" s="12">
        <f t="shared" si="45"/>
        <v>4.7927689323582472E-3</v>
      </c>
      <c r="AC15" s="14">
        <f t="shared" si="46"/>
        <v>6.3764581766120223</v>
      </c>
      <c r="AD15" s="1">
        <f t="shared" si="47"/>
        <v>3.1127501203542574</v>
      </c>
      <c r="AE15" s="1">
        <f t="shared" si="48"/>
        <v>6.727550834821777</v>
      </c>
      <c r="AF15" s="14">
        <f t="shared" si="2"/>
        <v>261.38942250814551</v>
      </c>
      <c r="AG15" s="14">
        <f t="shared" si="3"/>
        <v>62.289880179814659</v>
      </c>
      <c r="AH15" s="14">
        <f t="shared" si="4"/>
        <v>290.96647617070198</v>
      </c>
      <c r="AI15" s="14">
        <f t="shared" si="49"/>
        <v>47.501353348536441</v>
      </c>
      <c r="AJ15" s="14">
        <f t="shared" si="5"/>
        <v>151.59818897979443</v>
      </c>
      <c r="AK15" s="7"/>
      <c r="AL15" s="12">
        <f t="shared" si="50"/>
        <v>0.69140964027722673</v>
      </c>
      <c r="AM15" s="14">
        <f t="shared" si="6"/>
        <v>0.3305265052764611</v>
      </c>
      <c r="AN15" s="14">
        <f t="shared" si="51"/>
        <v>1.05562990692126</v>
      </c>
      <c r="AO15" s="11">
        <f t="shared" si="67"/>
        <v>6.4287861331504734</v>
      </c>
      <c r="AP15" s="14">
        <f t="shared" si="7"/>
        <v>9.6833394189817934</v>
      </c>
      <c r="AQ15" s="14">
        <f t="shared" si="8"/>
        <v>-1.8375493056450254E-2</v>
      </c>
      <c r="AR15" s="89">
        <f t="shared" si="52"/>
        <v>290.29023302169276</v>
      </c>
      <c r="AS15" s="89">
        <f t="shared" si="53"/>
        <v>48.229220918741319</v>
      </c>
      <c r="AT15" s="89">
        <f t="shared" si="54"/>
        <v>150.82754308646906</v>
      </c>
      <c r="AU15" s="14">
        <f t="shared" si="9"/>
        <v>-0.676243149009224</v>
      </c>
      <c r="AV15" s="14">
        <f t="shared" si="10"/>
        <v>0.72786757020487869</v>
      </c>
      <c r="AW15" s="14">
        <f t="shared" si="11"/>
        <v>-0.77064589332536571</v>
      </c>
      <c r="AX15" s="11">
        <f t="shared" si="55"/>
        <v>0.12750421815433732</v>
      </c>
      <c r="AY15" s="2"/>
      <c r="AZ15" s="12">
        <v>0.20554572005565327</v>
      </c>
      <c r="BA15" s="12">
        <v>0.50383364660407459</v>
      </c>
      <c r="BB15" s="12">
        <f t="shared" si="56"/>
        <v>0.216863224419231</v>
      </c>
      <c r="BC15" s="12">
        <f t="shared" si="57"/>
        <v>0.44424358753123327</v>
      </c>
      <c r="BD15" s="12">
        <v>0.69159264987677604</v>
      </c>
      <c r="BE15" s="14">
        <f t="shared" si="12"/>
        <v>0.33078903648342328</v>
      </c>
      <c r="BF15" s="14">
        <f t="shared" si="13"/>
        <v>1.0547921046878013</v>
      </c>
      <c r="BG15" s="11">
        <f t="shared" si="58"/>
        <v>6.4236839175487104</v>
      </c>
      <c r="BH15" s="11">
        <f t="shared" si="14"/>
        <v>9.5352255836668061</v>
      </c>
      <c r="BI15" s="12">
        <f t="shared" si="15"/>
        <v>-1.8101183780617536E-2</v>
      </c>
      <c r="BJ15" s="11">
        <f t="shared" si="16"/>
        <v>-2.0609617160650018E-2</v>
      </c>
      <c r="BK15" s="14">
        <f t="shared" si="69"/>
        <v>6.3781459648484962</v>
      </c>
      <c r="BL15" s="14">
        <f t="shared" si="70"/>
        <v>3.1135740359027806</v>
      </c>
      <c r="BM15" s="14">
        <f t="shared" si="68"/>
        <v>6.7293315539678602</v>
      </c>
      <c r="BN15" s="14">
        <f t="shared" si="59"/>
        <v>261.32025350591829</v>
      </c>
      <c r="BO15" s="14">
        <f t="shared" si="60"/>
        <v>62.273396999969243</v>
      </c>
      <c r="BP15" s="14">
        <f t="shared" si="61"/>
        <v>290.88948047345764</v>
      </c>
      <c r="BQ15" s="14">
        <f t="shared" si="62"/>
        <v>47.488783516199561</v>
      </c>
      <c r="BR15" s="14">
        <f t="shared" si="17"/>
        <v>151.55807298974943</v>
      </c>
      <c r="BS15" s="18">
        <f t="shared" si="18"/>
        <v>290.40531652737269</v>
      </c>
      <c r="BT15" s="18">
        <f t="shared" si="19"/>
        <v>48.219991556324992</v>
      </c>
      <c r="BU15" s="18">
        <f t="shared" si="20"/>
        <v>150.91673281218905</v>
      </c>
      <c r="BV15" s="11">
        <f t="shared" si="63"/>
        <v>-0.48416394608494784</v>
      </c>
      <c r="BW15" s="11">
        <f t="shared" si="21"/>
        <v>0.73120804012543061</v>
      </c>
      <c r="BX15" s="11">
        <f t="shared" si="21"/>
        <v>-0.6413401775603802</v>
      </c>
      <c r="BY15" s="11">
        <f t="shared" si="22"/>
        <v>197.41292738391692</v>
      </c>
      <c r="BZ15" s="11">
        <f t="shared" si="23"/>
        <v>6.7237289853220688</v>
      </c>
      <c r="CA15" s="11">
        <f t="shared" si="24"/>
        <v>2.7398165422935881</v>
      </c>
      <c r="CB15" s="11">
        <f t="shared" si="25"/>
        <v>6.3828548678056807</v>
      </c>
      <c r="CC15" s="11">
        <f t="shared" si="26"/>
        <v>3.1209685424908105</v>
      </c>
      <c r="CD15" s="11">
        <f t="shared" si="27"/>
        <v>56.829711676831721</v>
      </c>
      <c r="CE15" s="11">
        <f t="shared" si="28"/>
        <v>55.010922116836518</v>
      </c>
      <c r="CF15" s="11">
        <f t="shared" si="29"/>
        <v>55.920316896834123</v>
      </c>
      <c r="CG15" s="14">
        <f t="shared" si="30"/>
        <v>-3.8218494997082075E-3</v>
      </c>
      <c r="CH15" s="14" t="e">
        <f>CA15-#REF!</f>
        <v>#REF!</v>
      </c>
      <c r="CI15" s="14">
        <f t="shared" si="31"/>
        <v>6.396691193658377E-3</v>
      </c>
      <c r="CJ15" s="14">
        <f t="shared" si="32"/>
        <v>8.2184221365531052E-3</v>
      </c>
      <c r="CK15" s="19"/>
      <c r="CL15" s="12"/>
      <c r="CO15" s="17"/>
      <c r="CP15" s="20"/>
      <c r="CQ15" s="20"/>
      <c r="CR15" s="21"/>
      <c r="CY15" s="14"/>
      <c r="CZ15" s="14"/>
      <c r="DA15" s="14"/>
      <c r="DB15" s="14"/>
      <c r="DG15" s="12"/>
    </row>
    <row r="16" spans="1:138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4"/>
        <v>0.2160919159128894</v>
      </c>
      <c r="I16" s="12">
        <f t="shared" si="65"/>
        <v>0.44317113824361481</v>
      </c>
      <c r="J16" s="12">
        <f t="shared" si="33"/>
        <v>6.1528728197981608E-2</v>
      </c>
      <c r="K16" s="13">
        <f t="shared" si="34"/>
        <v>3.4581190834817289E-2</v>
      </c>
      <c r="L16" s="13">
        <f>SUM(K$3:$K16)</f>
        <v>0.68312111305605228</v>
      </c>
      <c r="M16" s="72">
        <f t="shared" si="66"/>
        <v>0.69075093644328267</v>
      </c>
      <c r="N16" s="12">
        <f t="shared" si="35"/>
        <v>1.3540186741751415E-4</v>
      </c>
      <c r="O16" s="21">
        <f t="shared" si="36"/>
        <v>2.8387457116006314E-9</v>
      </c>
      <c r="P16" s="11">
        <f>SUM(O$2:$O16)</f>
        <v>9.5015616716607097E-8</v>
      </c>
      <c r="Q16" s="12">
        <f t="shared" si="37"/>
        <v>1.0190060307579429E-3</v>
      </c>
      <c r="R16" s="3">
        <f t="shared" si="0"/>
        <v>0.3295827302298695</v>
      </c>
      <c r="S16" s="1">
        <f t="shared" si="38"/>
        <v>1.4586160018857164E-3</v>
      </c>
      <c r="T16" s="1">
        <f t="shared" si="39"/>
        <v>0.94459679925252094</v>
      </c>
      <c r="U16" s="1">
        <f t="shared" si="40"/>
        <v>4.1824673334825797E-3</v>
      </c>
      <c r="V16" s="11">
        <f t="shared" si="41"/>
        <v>6.4471952528519498</v>
      </c>
      <c r="W16" s="36">
        <f t="shared" si="42"/>
        <v>4.4913718328221101E-2</v>
      </c>
      <c r="X16" s="37">
        <f t="shared" si="1"/>
        <v>-1.9364615892562775E-2</v>
      </c>
      <c r="Y16" s="36">
        <f t="shared" si="43"/>
        <v>1.1938211225163899E-2</v>
      </c>
      <c r="Z16" s="36" t="e">
        <f>SQRT((Q16/M16)^2 + (0.0002/G16)^2)*#REF!</f>
        <v>#REF!</v>
      </c>
      <c r="AA16" s="36">
        <f t="shared" si="44"/>
        <v>1.1133705879373106E-2</v>
      </c>
      <c r="AB16" s="36">
        <f t="shared" si="45"/>
        <v>4.8090751601237948E-3</v>
      </c>
      <c r="AC16" s="40">
        <f t="shared" si="46"/>
        <v>6.3931214967036247</v>
      </c>
      <c r="AD16" s="39">
        <f t="shared" si="47"/>
        <v>3.1173101171745135</v>
      </c>
      <c r="AE16" s="39">
        <f t="shared" si="48"/>
        <v>6.7474029372191531</v>
      </c>
      <c r="AF16" s="14">
        <f t="shared" si="2"/>
        <v>263.50978030954292</v>
      </c>
      <c r="AG16" s="14">
        <f t="shared" si="3"/>
        <v>62.651408791200183</v>
      </c>
      <c r="AH16" s="14">
        <f t="shared" si="4"/>
        <v>293.52433628645855</v>
      </c>
      <c r="AI16" s="14">
        <f t="shared" si="49"/>
        <v>47.644130802742353</v>
      </c>
      <c r="AJ16" s="14">
        <f t="shared" si="5"/>
        <v>153.2142407156004</v>
      </c>
      <c r="AK16" s="7"/>
      <c r="AL16" s="12">
        <f t="shared" si="50"/>
        <v>0.69075093644328267</v>
      </c>
      <c r="AM16" s="40">
        <f t="shared" si="6"/>
        <v>0.3295827302298695</v>
      </c>
      <c r="AN16" s="14">
        <f t="shared" si="51"/>
        <v>1.0586527508788097</v>
      </c>
      <c r="AO16" s="11">
        <f t="shared" si="67"/>
        <v>6.4471952528519498</v>
      </c>
      <c r="AP16" s="14">
        <f t="shared" si="7"/>
        <v>10.250489263564136</v>
      </c>
      <c r="AQ16" s="28">
        <f t="shared" si="8"/>
        <v>-1.9364615803755925E-2</v>
      </c>
      <c r="AR16" s="89">
        <f t="shared" si="52"/>
        <v>293.146923862081</v>
      </c>
      <c r="AS16" s="89">
        <f t="shared" si="53"/>
        <v>48.301208092944478</v>
      </c>
      <c r="AT16" s="89">
        <f t="shared" si="54"/>
        <v>152.48417954095615</v>
      </c>
      <c r="AU16" s="28">
        <f t="shared" si="9"/>
        <v>-0.37741242437755318</v>
      </c>
      <c r="AV16" s="28">
        <f t="shared" si="10"/>
        <v>0.65707729020212469</v>
      </c>
      <c r="AW16" s="28">
        <f t="shared" si="11"/>
        <v>-0.73006117464424847</v>
      </c>
      <c r="AX16" s="11">
        <f t="shared" si="55"/>
        <v>0.13507812755310766</v>
      </c>
      <c r="AY16" s="2"/>
      <c r="AZ16" s="55">
        <v>0.20474572005565328</v>
      </c>
      <c r="BA16" s="55">
        <v>0.50323364660407455</v>
      </c>
      <c r="BB16" s="12">
        <f t="shared" si="56"/>
        <v>0.2160919159128894</v>
      </c>
      <c r="BC16" s="12">
        <f t="shared" si="57"/>
        <v>0.44317113824361481</v>
      </c>
      <c r="BD16" s="36">
        <v>0.69099869458481666</v>
      </c>
      <c r="BE16" s="40">
        <f t="shared" si="12"/>
        <v>0.32993750107069114</v>
      </c>
      <c r="BF16" s="40">
        <f t="shared" si="13"/>
        <v>1.0575144167235571</v>
      </c>
      <c r="BG16" s="11">
        <f t="shared" si="58"/>
        <v>6.4402627978464624</v>
      </c>
      <c r="BH16" s="34">
        <f t="shared" si="14"/>
        <v>10.046524011823543</v>
      </c>
      <c r="BI16" s="12">
        <f t="shared" si="15"/>
        <v>-1.8992245365215266E-2</v>
      </c>
      <c r="BJ16" s="34">
        <f t="shared" si="16"/>
        <v>-6.8887124187485327E-2</v>
      </c>
      <c r="BK16" s="14">
        <f t="shared" si="69"/>
        <v>6.395414577779678</v>
      </c>
      <c r="BL16" s="14">
        <f t="shared" si="70"/>
        <v>3.1184282321425409</v>
      </c>
      <c r="BM16" s="14">
        <f t="shared" si="68"/>
        <v>6.7498230917549025</v>
      </c>
      <c r="BN16" s="14">
        <f t="shared" si="59"/>
        <v>263.41529866441516</v>
      </c>
      <c r="BO16" s="14">
        <f t="shared" si="60"/>
        <v>62.62894507784118</v>
      </c>
      <c r="BP16" s="14">
        <f t="shared" si="61"/>
        <v>293.4190928979786</v>
      </c>
      <c r="BQ16" s="14">
        <f t="shared" si="62"/>
        <v>47.627047961059446</v>
      </c>
      <c r="BR16" s="14">
        <f t="shared" si="17"/>
        <v>153.15930562551449</v>
      </c>
      <c r="BS16" s="44">
        <f t="shared" si="18"/>
        <v>293.05016317939914</v>
      </c>
      <c r="BT16" s="44">
        <f t="shared" si="19"/>
        <v>48.286788175864551</v>
      </c>
      <c r="BU16" s="44">
        <f t="shared" si="20"/>
        <v>152.45162344784009</v>
      </c>
      <c r="BV16" s="11">
        <f t="shared" si="63"/>
        <v>-0.36892971857946577</v>
      </c>
      <c r="BW16" s="11">
        <f t="shared" si="21"/>
        <v>0.65974021480510459</v>
      </c>
      <c r="BX16" s="11">
        <f t="shared" si="21"/>
        <v>-0.70768217767439978</v>
      </c>
      <c r="BY16" s="34">
        <f t="shared" si="22"/>
        <v>199.31780335835978</v>
      </c>
      <c r="BZ16" s="34">
        <f t="shared" si="23"/>
        <v>6.7455783209623297</v>
      </c>
      <c r="CA16" s="34">
        <f t="shared" si="24"/>
        <v>2.7381823382168298</v>
      </c>
      <c r="CB16" s="34">
        <f t="shared" si="25"/>
        <v>6.3988720917601905</v>
      </c>
      <c r="CC16" s="34">
        <f t="shared" si="26"/>
        <v>3.1267037436888461</v>
      </c>
      <c r="CD16" s="34">
        <f t="shared" si="27"/>
        <v>57.091780851830535</v>
      </c>
      <c r="CE16" s="34">
        <f t="shared" si="28"/>
        <v>55.200680584455</v>
      </c>
      <c r="CF16" s="34">
        <f t="shared" si="29"/>
        <v>56.146230718142768</v>
      </c>
      <c r="CG16" s="40">
        <f t="shared" si="30"/>
        <v>-1.824616256823397E-3</v>
      </c>
      <c r="CH16" s="40" t="e">
        <f>CA16-#REF!</f>
        <v>#REF!</v>
      </c>
      <c r="CI16" s="40">
        <f t="shared" si="31"/>
        <v>5.7505950565657216E-3</v>
      </c>
      <c r="CJ16" s="40">
        <f t="shared" si="32"/>
        <v>9.3936265143326203E-3</v>
      </c>
      <c r="CK16" s="19"/>
      <c r="CL16" s="36"/>
      <c r="CO16" s="43"/>
      <c r="CP16" s="45"/>
      <c r="CQ16" s="45"/>
      <c r="CR16" s="38"/>
      <c r="CY16" s="40"/>
      <c r="CZ16" s="40"/>
      <c r="DA16" s="40"/>
      <c r="DB16" s="40"/>
      <c r="DG16" s="36"/>
      <c r="DJ16" s="1"/>
    </row>
    <row r="17" spans="1:111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4"/>
        <v>0.21538705444410439</v>
      </c>
      <c r="I17" s="12">
        <f t="shared" si="65"/>
        <v>0.44213982994496276</v>
      </c>
      <c r="J17" s="12">
        <f t="shared" si="33"/>
        <v>6.1002881164258879E-2</v>
      </c>
      <c r="K17" s="13">
        <f t="shared" si="34"/>
        <v>3.1645726106963971E-2</v>
      </c>
      <c r="L17" s="13">
        <f>SUM(K$3:$K17)</f>
        <v>0.7147668391630162</v>
      </c>
      <c r="M17" s="72">
        <f t="shared" si="66"/>
        <v>0.69014924629715935</v>
      </c>
      <c r="N17" s="12">
        <f t="shared" si="35"/>
        <v>1.3390192775030208E-4</v>
      </c>
      <c r="O17" s="21">
        <f t="shared" si="36"/>
        <v>2.3727186493252283E-9</v>
      </c>
      <c r="P17" s="11">
        <f>SUM(O$2:$O17)</f>
        <v>9.7388335365932324E-8</v>
      </c>
      <c r="Q17" s="12">
        <f t="shared" si="37"/>
        <v>1.0198755165093957E-3</v>
      </c>
      <c r="R17" s="13">
        <f t="shared" si="0"/>
        <v>0.32872221459768353</v>
      </c>
      <c r="S17" s="1">
        <f t="shared" si="38"/>
        <v>1.4573184287297171E-3</v>
      </c>
      <c r="T17" s="1">
        <f t="shared" si="39"/>
        <v>0.94213052830651989</v>
      </c>
      <c r="U17" s="1">
        <f t="shared" si="40"/>
        <v>4.1787484388393498E-3</v>
      </c>
      <c r="V17" s="11">
        <f t="shared" si="41"/>
        <v>6.4640724581409952</v>
      </c>
      <c r="W17" s="12">
        <f t="shared" si="42"/>
        <v>4.5062673192764018E-2</v>
      </c>
      <c r="X17" s="13">
        <f t="shared" si="1"/>
        <v>-2.0270601941834943E-2</v>
      </c>
      <c r="Y17" s="12">
        <f t="shared" si="43"/>
        <v>1.2003290865300208E-2</v>
      </c>
      <c r="Z17" s="12" t="e">
        <f>SQRT((Q17/M17)^2 + (0.0002/G17)^2)*#REF!</f>
        <v>#REF!</v>
      </c>
      <c r="AA17" s="12">
        <f t="shared" si="44"/>
        <v>1.1184550586971801E-2</v>
      </c>
      <c r="AB17" s="12">
        <f t="shared" si="45"/>
        <v>4.82465563524314E-3</v>
      </c>
      <c r="AC17" s="14">
        <f t="shared" si="46"/>
        <v>6.4084561449468325</v>
      </c>
      <c r="AD17" s="1">
        <f t="shared" si="47"/>
        <v>3.1218596450949403</v>
      </c>
      <c r="AE17" s="1">
        <f t="shared" si="48"/>
        <v>6.7679698903103187</v>
      </c>
      <c r="AF17" s="14">
        <f t="shared" si="2"/>
        <v>265.46853261868102</v>
      </c>
      <c r="AG17" s="14">
        <f t="shared" si="3"/>
        <v>62.998899586293781</v>
      </c>
      <c r="AH17" s="14">
        <f t="shared" si="4"/>
        <v>296.08953081857715</v>
      </c>
      <c r="AI17" s="14">
        <f t="shared" si="49"/>
        <v>47.688400486345728</v>
      </c>
      <c r="AJ17" s="14">
        <f t="shared" si="5"/>
        <v>154.78123254604151</v>
      </c>
      <c r="AK17" s="7"/>
      <c r="AL17" s="12">
        <f t="shared" si="50"/>
        <v>0.69014924629715935</v>
      </c>
      <c r="AM17" s="14">
        <f t="shared" si="6"/>
        <v>0.32872221459768353</v>
      </c>
      <c r="AN17" s="14">
        <f t="shared" si="51"/>
        <v>1.0614240489558284</v>
      </c>
      <c r="AO17" s="11">
        <f t="shared" si="67"/>
        <v>6.4640724581409952</v>
      </c>
      <c r="AP17" s="14">
        <f t="shared" si="7"/>
        <v>10.774188331356576</v>
      </c>
      <c r="AQ17" s="14">
        <f t="shared" si="8"/>
        <v>-2.0270601848792702E-2</v>
      </c>
      <c r="AR17" s="89">
        <f t="shared" si="52"/>
        <v>295.77652742472156</v>
      </c>
      <c r="AS17" s="89">
        <f t="shared" si="53"/>
        <v>48.363613910354914</v>
      </c>
      <c r="AT17" s="89">
        <f t="shared" si="54"/>
        <v>154.01144474067016</v>
      </c>
      <c r="AU17" s="14">
        <f t="shared" si="9"/>
        <v>-0.31300339385558118</v>
      </c>
      <c r="AV17" s="14">
        <f t="shared" si="10"/>
        <v>0.67521342400918627</v>
      </c>
      <c r="AW17" s="14">
        <f t="shared" si="11"/>
        <v>-0.76978780537135094</v>
      </c>
      <c r="AX17" s="11">
        <f t="shared" si="55"/>
        <v>0.14224556286841938</v>
      </c>
      <c r="AY17" s="2"/>
      <c r="AZ17" s="12">
        <v>0.20394572005565328</v>
      </c>
      <c r="BA17" s="12">
        <v>0.50443364660407453</v>
      </c>
      <c r="BB17" s="12">
        <f t="shared" si="56"/>
        <v>0.21538705444410439</v>
      </c>
      <c r="BC17" s="12">
        <f t="shared" si="57"/>
        <v>0.44213982994496276</v>
      </c>
      <c r="BD17" s="12">
        <v>0.69014924629715935</v>
      </c>
      <c r="BE17" s="14">
        <f t="shared" si="12"/>
        <v>0.32872221459768353</v>
      </c>
      <c r="BF17" s="14">
        <f t="shared" si="13"/>
        <v>1.0614240489558284</v>
      </c>
      <c r="BG17" s="11">
        <f t="shared" si="58"/>
        <v>6.4640724581409952</v>
      </c>
      <c r="BH17" s="11">
        <f t="shared" si="14"/>
        <v>10.787111957726461</v>
      </c>
      <c r="BI17" s="12">
        <f t="shared" si="15"/>
        <v>-2.0270601848792702E-2</v>
      </c>
      <c r="BJ17" s="11">
        <f t="shared" si="16"/>
        <v>0.15516918923830403</v>
      </c>
      <c r="BK17" s="14">
        <f t="shared" si="69"/>
        <v>6.4084561449468325</v>
      </c>
      <c r="BL17" s="14">
        <f t="shared" si="70"/>
        <v>3.1218596450949403</v>
      </c>
      <c r="BM17" s="14">
        <f t="shared" si="68"/>
        <v>6.7679698903103187</v>
      </c>
      <c r="BN17" s="14">
        <f t="shared" si="59"/>
        <v>265.46853261868102</v>
      </c>
      <c r="BO17" s="14">
        <f t="shared" si="60"/>
        <v>62.998899586293781</v>
      </c>
      <c r="BP17" s="14">
        <f t="shared" si="61"/>
        <v>296.08953081857715</v>
      </c>
      <c r="BQ17" s="14">
        <f t="shared" si="62"/>
        <v>47.688400486345728</v>
      </c>
      <c r="BR17" s="14">
        <f t="shared" si="17"/>
        <v>154.78123254604151</v>
      </c>
      <c r="BS17" s="18">
        <f t="shared" si="18"/>
        <v>296.86775514234927</v>
      </c>
      <c r="BT17" s="18">
        <f t="shared" si="19"/>
        <v>48.377156156681323</v>
      </c>
      <c r="BU17" s="18">
        <f t="shared" si="20"/>
        <v>154.67070577948488</v>
      </c>
      <c r="BV17" s="11">
        <f t="shared" si="63"/>
        <v>0.77822432377212181</v>
      </c>
      <c r="BW17" s="11">
        <f t="shared" si="21"/>
        <v>0.68875567033559548</v>
      </c>
      <c r="BX17" s="11">
        <f t="shared" si="21"/>
        <v>-0.11052676655663163</v>
      </c>
      <c r="BY17" s="11">
        <f t="shared" si="22"/>
        <v>202.06972223377298</v>
      </c>
      <c r="BZ17" s="11">
        <f t="shared" si="23"/>
        <v>6.7768583208634494</v>
      </c>
      <c r="CA17" s="11">
        <f t="shared" si="24"/>
        <v>2.7356911119634337</v>
      </c>
      <c r="CB17" s="11">
        <f t="shared" si="25"/>
        <v>6.4217685358483827</v>
      </c>
      <c r="CC17" s="11">
        <f t="shared" si="26"/>
        <v>3.1348615638429371</v>
      </c>
      <c r="CD17" s="11">
        <f t="shared" si="27"/>
        <v>57.465703566581666</v>
      </c>
      <c r="CE17" s="11">
        <f t="shared" si="28"/>
        <v>55.467597028169948</v>
      </c>
      <c r="CF17" s="11">
        <f t="shared" si="29"/>
        <v>56.466650297375807</v>
      </c>
      <c r="CG17" s="14">
        <f t="shared" si="30"/>
        <v>8.8884305531307106E-3</v>
      </c>
      <c r="CH17" s="14" t="e">
        <f>CA17-#REF!</f>
        <v>#REF!</v>
      </c>
      <c r="CI17" s="14">
        <f t="shared" si="31"/>
        <v>1.3312390901550231E-2</v>
      </c>
      <c r="CJ17" s="14">
        <f t="shared" si="32"/>
        <v>1.3001918747996832E-2</v>
      </c>
      <c r="CK17" s="19"/>
      <c r="CL17" s="12"/>
      <c r="CO17" s="17"/>
      <c r="CP17" s="20"/>
      <c r="CQ17" s="20"/>
      <c r="CR17" s="21"/>
      <c r="CY17" s="14"/>
      <c r="CZ17" s="14"/>
      <c r="DA17" s="14"/>
      <c r="DB17" s="14"/>
      <c r="DG17" s="12"/>
    </row>
    <row r="18" spans="1:111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4"/>
        <v>0.21497259919151673</v>
      </c>
      <c r="I18" s="12">
        <f t="shared" si="65"/>
        <v>0.44150718106829961</v>
      </c>
      <c r="J18" s="12">
        <f t="shared" si="33"/>
        <v>6.0622355150095758E-2</v>
      </c>
      <c r="K18" s="13">
        <f t="shared" si="34"/>
        <v>1.8323457210297291E-2</v>
      </c>
      <c r="L18" s="13">
        <f>SUM(K$3:$K18)</f>
        <v>0.73309029637331347</v>
      </c>
      <c r="M18" s="72">
        <f t="shared" si="66"/>
        <v>0.68980133558485979</v>
      </c>
      <c r="N18" s="12">
        <f t="shared" si="35"/>
        <v>1.3282548711181843E-4</v>
      </c>
      <c r="O18" s="21">
        <f t="shared" si="36"/>
        <v>7.919065595810542E-10</v>
      </c>
      <c r="P18" s="11">
        <f>SUM(O$2:$O18)</f>
        <v>9.8180241925513379E-8</v>
      </c>
      <c r="Q18" s="12">
        <f t="shared" si="37"/>
        <v>1.0203784261505094E-3</v>
      </c>
      <c r="R18" s="3">
        <f t="shared" si="0"/>
        <v>0.32822532930584264</v>
      </c>
      <c r="S18" s="1">
        <f t="shared" si="38"/>
        <v>1.4565673955496147E-3</v>
      </c>
      <c r="T18" s="1">
        <f t="shared" si="39"/>
        <v>0.94070643592176051</v>
      </c>
      <c r="U18" s="1">
        <f t="shared" si="40"/>
        <v>4.1765959488179148E-3</v>
      </c>
      <c r="V18" s="11">
        <f t="shared" si="41"/>
        <v>6.4738581213518049</v>
      </c>
      <c r="W18" s="12">
        <f t="shared" si="42"/>
        <v>4.5149107022720077E-2</v>
      </c>
      <c r="X18" s="13">
        <f t="shared" si="1"/>
        <v>-2.0795545441161467E-2</v>
      </c>
      <c r="Y18" s="12">
        <f t="shared" si="43"/>
        <v>1.2051833936373666E-2</v>
      </c>
      <c r="Z18" s="12" t="e">
        <f>SQRT((Q18/M18)^2 + (0.0002/G18)^2)*#REF!</f>
        <v>#REF!</v>
      </c>
      <c r="AA18" s="12">
        <f t="shared" si="44"/>
        <v>1.1214589861741949E-2</v>
      </c>
      <c r="AB18" s="12">
        <f t="shared" si="45"/>
        <v>4.8341316077212711E-3</v>
      </c>
      <c r="AC18" s="14">
        <f t="shared" si="46"/>
        <v>6.4175745018584749</v>
      </c>
      <c r="AD18" s="1">
        <f t="shared" si="47"/>
        <v>3.124757037544764</v>
      </c>
      <c r="AE18" s="1">
        <f t="shared" si="48"/>
        <v>6.7845178683482432</v>
      </c>
      <c r="AF18" s="14">
        <f t="shared" si="2"/>
        <v>266.6275460308496</v>
      </c>
      <c r="AG18" s="14">
        <f t="shared" si="3"/>
        <v>63.211440445582873</v>
      </c>
      <c r="AH18" s="14">
        <f t="shared" si="4"/>
        <v>297.98963520907432</v>
      </c>
      <c r="AI18" s="14">
        <f t="shared" si="49"/>
        <v>47.530395856470506</v>
      </c>
      <c r="AJ18" s="14">
        <f t="shared" si="5"/>
        <v>155.88570972879617</v>
      </c>
      <c r="AK18" s="7"/>
      <c r="AL18" s="12">
        <f t="shared" si="50"/>
        <v>0.68980133558485979</v>
      </c>
      <c r="AM18" s="14">
        <f t="shared" si="6"/>
        <v>0.32822532930584264</v>
      </c>
      <c r="AN18" s="14">
        <f t="shared" si="51"/>
        <v>1.0630308902055507</v>
      </c>
      <c r="AO18" s="11">
        <f t="shared" si="67"/>
        <v>6.4738581213518049</v>
      </c>
      <c r="AP18" s="14">
        <f t="shared" si="7"/>
        <v>11.079479416321874</v>
      </c>
      <c r="AQ18" s="14">
        <f t="shared" si="8"/>
        <v>-2.0795545345661748E-2</v>
      </c>
      <c r="AR18" s="89">
        <f t="shared" si="52"/>
        <v>297.30586606213649</v>
      </c>
      <c r="AS18" s="89">
        <f t="shared" si="53"/>
        <v>48.398212184487974</v>
      </c>
      <c r="AT18" s="89">
        <f t="shared" si="54"/>
        <v>154.90069990556347</v>
      </c>
      <c r="AU18" s="14">
        <f t="shared" si="9"/>
        <v>-0.68376914693783419</v>
      </c>
      <c r="AV18" s="14">
        <f t="shared" si="10"/>
        <v>0.86781632801746866</v>
      </c>
      <c r="AW18" s="14">
        <f t="shared" si="11"/>
        <v>-0.98500982323270136</v>
      </c>
      <c r="AX18" s="11">
        <f t="shared" si="55"/>
        <v>0.14622652888869503</v>
      </c>
      <c r="AY18" s="2"/>
      <c r="AZ18" s="12">
        <v>0.2033457200556533</v>
      </c>
      <c r="BA18" s="12">
        <v>0.50523364660407455</v>
      </c>
      <c r="BB18" s="12">
        <f t="shared" si="56"/>
        <v>0.21497259919151673</v>
      </c>
      <c r="BC18" s="12">
        <f t="shared" si="57"/>
        <v>0.44150718106829961</v>
      </c>
      <c r="BD18" s="12">
        <v>0.68980133558485979</v>
      </c>
      <c r="BE18" s="14">
        <f t="shared" si="12"/>
        <v>0.32822532930584264</v>
      </c>
      <c r="BF18" s="14">
        <f t="shared" si="13"/>
        <v>1.0630308902055507</v>
      </c>
      <c r="BG18" s="11">
        <f t="shared" si="58"/>
        <v>6.4738581213518049</v>
      </c>
      <c r="BH18" s="11">
        <f t="shared" si="14"/>
        <v>11.093643777349525</v>
      </c>
      <c r="BI18" s="12">
        <f t="shared" si="15"/>
        <v>-2.0795545345661748E-2</v>
      </c>
      <c r="BJ18" s="11">
        <f t="shared" si="16"/>
        <v>0.16039088991634642</v>
      </c>
      <c r="BK18" s="14">
        <f t="shared" si="69"/>
        <v>6.4175745018584749</v>
      </c>
      <c r="BL18" s="14">
        <f t="shared" si="70"/>
        <v>3.124757037544764</v>
      </c>
      <c r="BM18" s="14">
        <f t="shared" si="68"/>
        <v>6.7845178683482432</v>
      </c>
      <c r="BN18" s="14">
        <f t="shared" si="59"/>
        <v>266.6275460308496</v>
      </c>
      <c r="BO18" s="14">
        <f t="shared" si="60"/>
        <v>63.211440445582873</v>
      </c>
      <c r="BP18" s="14">
        <f t="shared" si="61"/>
        <v>297.98963520907432</v>
      </c>
      <c r="BQ18" s="14">
        <f t="shared" si="62"/>
        <v>47.530395856470506</v>
      </c>
      <c r="BR18" s="14">
        <f t="shared" si="17"/>
        <v>155.88570972879617</v>
      </c>
      <c r="BS18" s="18">
        <f t="shared" si="18"/>
        <v>298.44333453892648</v>
      </c>
      <c r="BT18" s="18">
        <f t="shared" si="19"/>
        <v>48.412379148034844</v>
      </c>
      <c r="BU18" s="18">
        <f t="shared" si="20"/>
        <v>155.58779384854068</v>
      </c>
      <c r="BV18" s="11">
        <f t="shared" si="63"/>
        <v>0.45369932985215655</v>
      </c>
      <c r="BW18" s="11">
        <f t="shared" si="63"/>
        <v>0.88198329156433886</v>
      </c>
      <c r="BX18" s="11">
        <f t="shared" si="63"/>
        <v>-0.29791588025548776</v>
      </c>
      <c r="BY18" s="11">
        <f t="shared" si="22"/>
        <v>203.20630741200262</v>
      </c>
      <c r="BZ18" s="11">
        <f t="shared" si="23"/>
        <v>6.7896807332568878</v>
      </c>
      <c r="CA18" s="11">
        <f t="shared" si="24"/>
        <v>2.7346177238701146</v>
      </c>
      <c r="CB18" s="11">
        <f t="shared" si="25"/>
        <v>6.4311426087466881</v>
      </c>
      <c r="CC18" s="11">
        <f t="shared" si="26"/>
        <v>3.1381875472485157</v>
      </c>
      <c r="CD18" s="11">
        <f t="shared" si="27"/>
        <v>57.618535626898066</v>
      </c>
      <c r="CE18" s="11">
        <f t="shared" si="28"/>
        <v>55.575355327153908</v>
      </c>
      <c r="CF18" s="11">
        <f t="shared" si="29"/>
        <v>56.596945477025983</v>
      </c>
      <c r="CG18" s="14">
        <f t="shared" si="30"/>
        <v>5.1628649086445932E-3</v>
      </c>
      <c r="CH18" s="14" t="e">
        <f>CA18-#REF!</f>
        <v>#REF!</v>
      </c>
      <c r="CI18" s="14">
        <f t="shared" si="31"/>
        <v>1.3568106888213194E-2</v>
      </c>
      <c r="CJ18" s="14">
        <f t="shared" si="32"/>
        <v>1.3430509703751703E-2</v>
      </c>
      <c r="CK18" s="19"/>
      <c r="CL18" s="12"/>
      <c r="CO18" s="17"/>
      <c r="CP18" s="20"/>
      <c r="CQ18" s="20"/>
      <c r="CR18" s="21"/>
      <c r="CY18" s="14"/>
      <c r="CZ18" s="14"/>
      <c r="DA18" s="14"/>
      <c r="DB18" s="14"/>
      <c r="DG18" s="12"/>
    </row>
    <row r="19" spans="1:111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4"/>
        <v>0.2146720043241416</v>
      </c>
      <c r="I19" s="12">
        <f t="shared" si="65"/>
        <v>0.44103865632053879</v>
      </c>
      <c r="J19" s="12">
        <f t="shared" si="33"/>
        <v>6.0020440915143615E-2</v>
      </c>
      <c r="K19" s="13">
        <f t="shared" si="34"/>
        <v>1.2982462582954796E-2</v>
      </c>
      <c r="L19" s="13">
        <f>SUM(K$3:$K19)</f>
        <v>0.74607275895626823</v>
      </c>
      <c r="M19" s="72">
        <f t="shared" si="66"/>
        <v>0.68955504750883756</v>
      </c>
      <c r="N19" s="12">
        <f t="shared" si="35"/>
        <v>1.3133100972784838E-4</v>
      </c>
      <c r="O19" s="21">
        <f t="shared" si="36"/>
        <v>3.9732652985210963E-10</v>
      </c>
      <c r="P19" s="11">
        <f>SUM(O$2:$O19)</f>
        <v>9.8577568455365487E-8</v>
      </c>
      <c r="Q19" s="12">
        <f t="shared" si="37"/>
        <v>1.0207345033545082E-3</v>
      </c>
      <c r="R19" s="3">
        <f t="shared" si="0"/>
        <v>0.32787388409300894</v>
      </c>
      <c r="S19" s="1">
        <f t="shared" si="38"/>
        <v>1.4560353989938788E-3</v>
      </c>
      <c r="T19" s="1">
        <f t="shared" si="39"/>
        <v>0.93969918040529643</v>
      </c>
      <c r="U19" s="1">
        <f t="shared" si="40"/>
        <v>4.1750712261984643E-3</v>
      </c>
      <c r="V19" s="11">
        <f t="shared" si="41"/>
        <v>6.4807973945165696</v>
      </c>
      <c r="W19" s="12">
        <f t="shared" si="42"/>
        <v>4.5210429486965888E-2</v>
      </c>
      <c r="X19" s="13">
        <f t="shared" si="1"/>
        <v>-2.1167636517285926E-2</v>
      </c>
      <c r="Y19" s="12">
        <f t="shared" si="43"/>
        <v>1.213136554077201E-2</v>
      </c>
      <c r="Z19" s="12" t="e">
        <f>SQRT((Q19/M19)^2 + (0.0002/G19)^2)*#REF!</f>
        <v>#REF!</v>
      </c>
      <c r="AA19" s="12">
        <f t="shared" si="44"/>
        <v>1.1236420954429267E-2</v>
      </c>
      <c r="AB19" s="12">
        <f t="shared" si="45"/>
        <v>4.8411034539824404E-3</v>
      </c>
      <c r="AC19" s="14">
        <f t="shared" si="46"/>
        <v>6.4242661699627268</v>
      </c>
      <c r="AD19" s="1">
        <f t="shared" si="47"/>
        <v>3.1269596785987015</v>
      </c>
      <c r="AE19" s="1">
        <f t="shared" si="48"/>
        <v>6.8156128760141987</v>
      </c>
      <c r="AF19" s="14">
        <f t="shared" si="2"/>
        <v>267.47025835521976</v>
      </c>
      <c r="AG19" s="14">
        <f t="shared" si="3"/>
        <v>63.368438694021172</v>
      </c>
      <c r="AH19" s="14">
        <f t="shared" si="4"/>
        <v>301.04975214615064</v>
      </c>
      <c r="AI19" s="14">
        <f t="shared" si="49"/>
        <v>46.578691798555724</v>
      </c>
      <c r="AJ19" s="14">
        <f t="shared" si="5"/>
        <v>157.52312786264284</v>
      </c>
      <c r="AK19" s="7"/>
      <c r="AL19" s="12">
        <f t="shared" si="50"/>
        <v>0.68955504750883756</v>
      </c>
      <c r="AM19" s="14">
        <f t="shared" si="6"/>
        <v>0.32787388409300894</v>
      </c>
      <c r="AN19" s="14">
        <f t="shared" si="51"/>
        <v>1.064170343927187</v>
      </c>
      <c r="AO19" s="11">
        <f t="shared" si="67"/>
        <v>6.4807973945165696</v>
      </c>
      <c r="AP19" s="14">
        <f t="shared" si="7"/>
        <v>11.296700521145642</v>
      </c>
      <c r="AQ19" s="14">
        <f t="shared" si="8"/>
        <v>-2.1167636420043046E-2</v>
      </c>
      <c r="AR19" s="89">
        <f t="shared" si="52"/>
        <v>298.39242946144253</v>
      </c>
      <c r="AS19" s="89">
        <f t="shared" si="53"/>
        <v>48.422037355248122</v>
      </c>
      <c r="AT19" s="89">
        <f t="shared" si="54"/>
        <v>155.53295235417499</v>
      </c>
      <c r="AU19" s="14">
        <f t="shared" si="9"/>
        <v>-2.657322684708106</v>
      </c>
      <c r="AV19" s="14">
        <f t="shared" si="10"/>
        <v>1.8433455566923982</v>
      </c>
      <c r="AW19" s="14">
        <f t="shared" si="11"/>
        <v>-1.9901755084678427</v>
      </c>
      <c r="AX19" s="11">
        <f t="shared" si="55"/>
        <v>0.14822612018032721</v>
      </c>
      <c r="AY19" s="2"/>
      <c r="AZ19" s="12">
        <v>0.20234572005565329</v>
      </c>
      <c r="BA19" s="12">
        <v>0.5056336466040745</v>
      </c>
      <c r="BB19" s="12">
        <f t="shared" si="56"/>
        <v>0.2146720043241416</v>
      </c>
      <c r="BC19" s="12">
        <f t="shared" si="57"/>
        <v>0.44103865632053879</v>
      </c>
      <c r="BD19" s="12">
        <v>0.68955504750883756</v>
      </c>
      <c r="BE19" s="14">
        <f t="shared" si="12"/>
        <v>0.32787388409300894</v>
      </c>
      <c r="BF19" s="14">
        <f t="shared" si="13"/>
        <v>1.064170343927187</v>
      </c>
      <c r="BG19" s="11">
        <f t="shared" si="58"/>
        <v>6.4807973945165696</v>
      </c>
      <c r="BH19" s="11">
        <f t="shared" si="14"/>
        <v>11.311774788042987</v>
      </c>
      <c r="BI19" s="12">
        <f t="shared" si="15"/>
        <v>-2.1167636420043046E-2</v>
      </c>
      <c r="BJ19" s="11">
        <f t="shared" si="16"/>
        <v>0.16330038707767258</v>
      </c>
      <c r="BK19" s="14">
        <f t="shared" si="69"/>
        <v>6.4242661699627268</v>
      </c>
      <c r="BL19" s="14">
        <f t="shared" si="70"/>
        <v>3.1269596785987015</v>
      </c>
      <c r="BM19" s="14">
        <f t="shared" si="68"/>
        <v>6.8156128760141987</v>
      </c>
      <c r="BN19" s="14">
        <f t="shared" si="59"/>
        <v>267.47025835521976</v>
      </c>
      <c r="BO19" s="14">
        <f t="shared" si="60"/>
        <v>63.368438694021172</v>
      </c>
      <c r="BP19" s="14">
        <f t="shared" si="61"/>
        <v>301.04975214615064</v>
      </c>
      <c r="BQ19" s="14">
        <f t="shared" si="62"/>
        <v>46.578691798555724</v>
      </c>
      <c r="BR19" s="14">
        <f t="shared" si="17"/>
        <v>157.52312786264284</v>
      </c>
      <c r="BS19" s="18">
        <f t="shared" si="18"/>
        <v>299.56293732806051</v>
      </c>
      <c r="BT19" s="18">
        <f t="shared" si="19"/>
        <v>48.436674937760372</v>
      </c>
      <c r="BU19" s="18">
        <f t="shared" si="20"/>
        <v>156.23991274691613</v>
      </c>
      <c r="BV19" s="11">
        <f t="shared" si="63"/>
        <v>-1.4868148180901244</v>
      </c>
      <c r="BW19" s="11">
        <f t="shared" si="63"/>
        <v>1.8579831392046486</v>
      </c>
      <c r="BX19" s="11">
        <f t="shared" si="63"/>
        <v>-1.2832151157267049</v>
      </c>
      <c r="BY19" s="11">
        <f t="shared" si="22"/>
        <v>204.01425427396427</v>
      </c>
      <c r="BZ19" s="11">
        <f t="shared" si="23"/>
        <v>6.798761679565672</v>
      </c>
      <c r="CA19" s="11">
        <f t="shared" si="24"/>
        <v>2.7338390258882868</v>
      </c>
      <c r="CB19" s="11">
        <f t="shared" si="25"/>
        <v>6.4377772611943636</v>
      </c>
      <c r="CC19" s="11">
        <f t="shared" si="26"/>
        <v>3.1405366359752862</v>
      </c>
      <c r="CD19" s="11">
        <f t="shared" si="27"/>
        <v>57.7266098788851</v>
      </c>
      <c r="CE19" s="11">
        <f t="shared" si="28"/>
        <v>55.651075760352157</v>
      </c>
      <c r="CF19" s="11">
        <f t="shared" si="29"/>
        <v>56.688842819618628</v>
      </c>
      <c r="CG19" s="14">
        <f t="shared" si="30"/>
        <v>-1.6851196448526728E-2</v>
      </c>
      <c r="CH19" s="14" t="e">
        <f>CA19-#REF!</f>
        <v>#REF!</v>
      </c>
      <c r="CI19" s="14">
        <f t="shared" si="31"/>
        <v>1.351109123163674E-2</v>
      </c>
      <c r="CJ19" s="14">
        <f t="shared" si="32"/>
        <v>1.3576957376584708E-2</v>
      </c>
      <c r="CK19" s="19"/>
      <c r="CL19" s="12"/>
      <c r="CO19" s="17"/>
      <c r="CP19" s="20"/>
      <c r="CQ19" s="20"/>
      <c r="CR19" s="21"/>
      <c r="CY19" s="14"/>
      <c r="CZ19" s="14"/>
      <c r="DA19" s="14"/>
      <c r="DB19" s="14"/>
      <c r="DG19" s="12"/>
    </row>
    <row r="20" spans="1:111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4"/>
        <v>0.21411396466537747</v>
      </c>
      <c r="I20" s="12">
        <f t="shared" si="65"/>
        <v>0.44015968553222901</v>
      </c>
      <c r="J20" s="12">
        <f t="shared" si="33"/>
        <v>5.9636221994956294E-2</v>
      </c>
      <c r="K20" s="13">
        <f t="shared" si="34"/>
        <v>2.3177419286146861E-2</v>
      </c>
      <c r="L20" s="13">
        <f>SUM(K$3:$K20)</f>
        <v>0.76925017824241504</v>
      </c>
      <c r="M20" s="72">
        <f t="shared" si="66"/>
        <v>0.68911578963619868</v>
      </c>
      <c r="N20" s="12">
        <f t="shared" si="35"/>
        <v>1.30626905590321E-4</v>
      </c>
      <c r="O20" s="21">
        <f t="shared" si="36"/>
        <v>1.2682190157043404E-9</v>
      </c>
      <c r="P20" s="11">
        <f>SUM(O$2:$O20)</f>
        <v>9.9845787471069831E-8</v>
      </c>
      <c r="Q20" s="12">
        <f t="shared" si="37"/>
        <v>1.0213696978737241E-3</v>
      </c>
      <c r="R20" s="3">
        <f t="shared" si="0"/>
        <v>0.32724770002997478</v>
      </c>
      <c r="S20" s="1">
        <f t="shared" si="38"/>
        <v>1.4550858775965959E-3</v>
      </c>
      <c r="T20" s="1">
        <f t="shared" si="39"/>
        <v>0.93790451276214515</v>
      </c>
      <c r="U20" s="1">
        <f t="shared" si="40"/>
        <v>4.1723498613014942E-3</v>
      </c>
      <c r="V20" s="11">
        <f t="shared" si="41"/>
        <v>6.4931983129762783</v>
      </c>
      <c r="W20" s="12">
        <f t="shared" si="42"/>
        <v>4.5320078324598286E-2</v>
      </c>
      <c r="X20" s="13">
        <f t="shared" si="1"/>
        <v>-2.183225617480844E-2</v>
      </c>
      <c r="Y20" s="12">
        <f t="shared" si="43"/>
        <v>1.2181446771361402E-2</v>
      </c>
      <c r="Z20" s="12" t="e">
        <f>SQRT((Q20/M20)^2 + (0.0002/G20)^2)*#REF!</f>
        <v>#REF!</v>
      </c>
      <c r="AA20" s="12">
        <f t="shared" si="44"/>
        <v>1.1277018881067384E-2</v>
      </c>
      <c r="AB20" s="12">
        <f t="shared" si="45"/>
        <v>4.8540959766216925E-3</v>
      </c>
      <c r="AC20" s="14">
        <f t="shared" si="46"/>
        <v>6.4369065391242994</v>
      </c>
      <c r="AD20" s="1">
        <f t="shared" si="47"/>
        <v>3.1312081150864093</v>
      </c>
      <c r="AE20" s="1">
        <f t="shared" si="48"/>
        <v>6.8315282172637932</v>
      </c>
      <c r="AF20" s="14">
        <f t="shared" si="2"/>
        <v>269.03765815009655</v>
      </c>
      <c r="AG20" s="14">
        <f t="shared" si="3"/>
        <v>63.662330792557725</v>
      </c>
      <c r="AH20" s="14">
        <f t="shared" si="4"/>
        <v>303.03612236931576</v>
      </c>
      <c r="AI20" s="14">
        <f t="shared" si="49"/>
        <v>46.663098682948117</v>
      </c>
      <c r="AJ20" s="14">
        <f t="shared" si="5"/>
        <v>158.71222867459068</v>
      </c>
      <c r="AK20" s="7"/>
      <c r="AL20" s="12">
        <f t="shared" si="50"/>
        <v>0.68911578963619868</v>
      </c>
      <c r="AM20" s="14">
        <f t="shared" si="6"/>
        <v>0.32724770002997478</v>
      </c>
      <c r="AN20" s="14">
        <f t="shared" si="51"/>
        <v>1.0662066195363349</v>
      </c>
      <c r="AO20" s="11">
        <f t="shared" si="67"/>
        <v>6.4931983129762783</v>
      </c>
      <c r="AP20" s="14">
        <f t="shared" si="7"/>
        <v>11.686400184580563</v>
      </c>
      <c r="AQ20" s="14">
        <f t="shared" si="8"/>
        <v>-2.1832256074448941E-2</v>
      </c>
      <c r="AR20" s="89">
        <f t="shared" si="52"/>
        <v>300.33845952905335</v>
      </c>
      <c r="AS20" s="89">
        <f t="shared" si="53"/>
        <v>48.463141163511239</v>
      </c>
      <c r="AT20" s="89">
        <f t="shared" si="54"/>
        <v>156.66625697791153</v>
      </c>
      <c r="AU20" s="14">
        <f t="shared" si="9"/>
        <v>-2.6976628402624101</v>
      </c>
      <c r="AV20" s="14">
        <f t="shared" si="10"/>
        <v>1.8000424805631212</v>
      </c>
      <c r="AW20" s="14">
        <f t="shared" si="11"/>
        <v>-2.0459716966791461</v>
      </c>
      <c r="AX20" s="11">
        <f t="shared" si="55"/>
        <v>0.15052705925736731</v>
      </c>
      <c r="AY20" s="2"/>
      <c r="AZ20" s="12">
        <v>0.20174572005565328</v>
      </c>
      <c r="BA20" s="12">
        <v>0.50523364660407455</v>
      </c>
      <c r="BB20" s="12">
        <f t="shared" si="56"/>
        <v>0.21411396466537747</v>
      </c>
      <c r="BC20" s="12">
        <f t="shared" si="57"/>
        <v>0.44015968553222901</v>
      </c>
      <c r="BD20" s="12">
        <v>0.68911578963619868</v>
      </c>
      <c r="BE20" s="14">
        <f t="shared" si="12"/>
        <v>0.32724770002997478</v>
      </c>
      <c r="BF20" s="14">
        <f t="shared" si="13"/>
        <v>1.0662066195363349</v>
      </c>
      <c r="BG20" s="11">
        <f t="shared" si="58"/>
        <v>6.4931983129762783</v>
      </c>
      <c r="BH20" s="11">
        <f t="shared" si="14"/>
        <v>11.703162984535179</v>
      </c>
      <c r="BI20" s="12">
        <f t="shared" si="15"/>
        <v>-2.1832256074448941E-2</v>
      </c>
      <c r="BJ20" s="11">
        <f t="shared" si="16"/>
        <v>0.16728985921198358</v>
      </c>
      <c r="BK20" s="14">
        <f t="shared" si="69"/>
        <v>6.4369065391242994</v>
      </c>
      <c r="BL20" s="14">
        <f t="shared" si="70"/>
        <v>3.1312081150864093</v>
      </c>
      <c r="BM20" s="14">
        <f t="shared" si="68"/>
        <v>6.8315282172637932</v>
      </c>
      <c r="BN20" s="14">
        <f t="shared" si="59"/>
        <v>269.03765815009655</v>
      </c>
      <c r="BO20" s="14">
        <f t="shared" si="60"/>
        <v>63.662330792557725</v>
      </c>
      <c r="BP20" s="14">
        <f t="shared" si="61"/>
        <v>303.03612236931576</v>
      </c>
      <c r="BQ20" s="14">
        <f t="shared" si="62"/>
        <v>46.663098682948117</v>
      </c>
      <c r="BR20" s="14">
        <f t="shared" si="17"/>
        <v>158.71222867459068</v>
      </c>
      <c r="BS20" s="18">
        <f t="shared" si="18"/>
        <v>301.56852693927777</v>
      </c>
      <c r="BT20" s="18">
        <f t="shared" si="19"/>
        <v>48.478677164306774</v>
      </c>
      <c r="BU20" s="18">
        <f t="shared" si="20"/>
        <v>157.40898822806165</v>
      </c>
      <c r="BV20" s="11">
        <f t="shared" si="63"/>
        <v>-1.4675954300379885</v>
      </c>
      <c r="BW20" s="11">
        <f t="shared" si="63"/>
        <v>1.8155784813586564</v>
      </c>
      <c r="BX20" s="11">
        <f t="shared" si="63"/>
        <v>-1.3032404465290313</v>
      </c>
      <c r="BY20" s="11">
        <f t="shared" si="22"/>
        <v>205.46216779846702</v>
      </c>
      <c r="BZ20" s="11">
        <f t="shared" si="23"/>
        <v>6.8149656903143034</v>
      </c>
      <c r="CA20" s="11">
        <f t="shared" si="24"/>
        <v>2.7324111369876367</v>
      </c>
      <c r="CB20" s="11">
        <f t="shared" si="25"/>
        <v>6.449607527340893</v>
      </c>
      <c r="CC20" s="11">
        <f t="shared" si="26"/>
        <v>3.1447151010972454</v>
      </c>
      <c r="CD20" s="11">
        <f t="shared" si="27"/>
        <v>57.919114040827296</v>
      </c>
      <c r="CE20" s="11">
        <f t="shared" si="28"/>
        <v>55.784947418378302</v>
      </c>
      <c r="CF20" s="11">
        <f t="shared" si="29"/>
        <v>56.852030729602802</v>
      </c>
      <c r="CG20" s="14">
        <f t="shared" si="30"/>
        <v>-1.6562526949489786E-2</v>
      </c>
      <c r="CH20" s="14" t="e">
        <f>CA20-#REF!</f>
        <v>#REF!</v>
      </c>
      <c r="CI20" s="14">
        <f t="shared" si="31"/>
        <v>1.2700988216593601E-2</v>
      </c>
      <c r="CJ20" s="14">
        <f t="shared" si="32"/>
        <v>1.3506986010836108E-2</v>
      </c>
      <c r="CK20" s="19"/>
      <c r="CL20" s="12"/>
      <c r="CO20" s="17"/>
      <c r="CP20" s="20"/>
      <c r="CQ20" s="20"/>
      <c r="CR20" s="21"/>
      <c r="CY20" s="14"/>
      <c r="CZ20" s="14"/>
      <c r="DA20" s="14"/>
      <c r="DB20" s="14"/>
      <c r="DG20" s="12"/>
    </row>
    <row r="21" spans="1:111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4"/>
        <v>0.21331253332335973</v>
      </c>
      <c r="I21" s="12">
        <f t="shared" si="65"/>
        <v>0.43892871432296038</v>
      </c>
      <c r="J21" s="12">
        <f t="shared" si="33"/>
        <v>5.9118799447692598E-2</v>
      </c>
      <c r="K21" s="13">
        <f t="shared" si="34"/>
        <v>3.0670362545315525E-2</v>
      </c>
      <c r="L21" s="13">
        <f>SUM(K$3:$K21)</f>
        <v>0.79992054078773056</v>
      </c>
      <c r="M21" s="72">
        <f t="shared" si="66"/>
        <v>0.68853538521919677</v>
      </c>
      <c r="N21" s="12">
        <f t="shared" si="35"/>
        <v>1.2937642711028898E-4</v>
      </c>
      <c r="O21" s="21">
        <f t="shared" si="36"/>
        <v>2.2135021076904881E-9</v>
      </c>
      <c r="P21" s="11">
        <f>SUM(O$2:$O21)</f>
        <v>1.0205928957876032E-7</v>
      </c>
      <c r="Q21" s="12">
        <f t="shared" si="37"/>
        <v>1.0222092324603984E-3</v>
      </c>
      <c r="R21" s="3">
        <f t="shared" si="0"/>
        <v>0.32642152791650297</v>
      </c>
      <c r="S21" s="1">
        <f t="shared" si="38"/>
        <v>1.4538298539465218E-3</v>
      </c>
      <c r="T21" s="1">
        <f t="shared" si="39"/>
        <v>0.93553667166357524</v>
      </c>
      <c r="U21" s="1">
        <f t="shared" si="40"/>
        <v>4.1687500491425934E-3</v>
      </c>
      <c r="V21" s="11">
        <f t="shared" si="41"/>
        <v>6.5096325825162316</v>
      </c>
      <c r="W21" s="12">
        <f t="shared" si="42"/>
        <v>4.5465511630773413E-2</v>
      </c>
      <c r="X21" s="13">
        <f t="shared" si="1"/>
        <v>-2.2712389306449587E-2</v>
      </c>
      <c r="Y21" s="12">
        <f t="shared" si="43"/>
        <v>1.2248748732660323E-2</v>
      </c>
      <c r="Z21" s="12" t="e">
        <f>SQRT((Q21/M21)^2 + (0.0002/G21)^2)*#REF!</f>
        <v>#REF!</v>
      </c>
      <c r="AA21" s="12">
        <f t="shared" si="44"/>
        <v>1.133542092763052E-2</v>
      </c>
      <c r="AB21" s="12">
        <f t="shared" si="45"/>
        <v>4.8721864569340476E-3</v>
      </c>
      <c r="AC21" s="14">
        <f t="shared" si="46"/>
        <v>6.4556486624763707</v>
      </c>
      <c r="AD21" s="1">
        <f t="shared" si="47"/>
        <v>3.1373449161613869</v>
      </c>
      <c r="AE21" s="1">
        <f t="shared" si="48"/>
        <v>6.852948995664125</v>
      </c>
      <c r="AF21" s="14">
        <f t="shared" si="2"/>
        <v>271.29153947272187</v>
      </c>
      <c r="AG21" s="14">
        <f t="shared" si="3"/>
        <v>64.073878164772751</v>
      </c>
      <c r="AH21" s="14">
        <f t="shared" si="4"/>
        <v>305.7112886968028</v>
      </c>
      <c r="AI21" s="14">
        <f t="shared" si="49"/>
        <v>46.864003552732271</v>
      </c>
      <c r="AJ21" s="14">
        <f t="shared" si="5"/>
        <v>160.35365775521683</v>
      </c>
      <c r="AK21" s="7"/>
      <c r="AL21" s="12">
        <f t="shared" si="50"/>
        <v>0.68853538521919677</v>
      </c>
      <c r="AM21" s="14">
        <f t="shared" si="6"/>
        <v>0.32642152791650297</v>
      </c>
      <c r="AN21" s="14">
        <f t="shared" si="51"/>
        <v>1.0689051859632566</v>
      </c>
      <c r="AO21" s="11">
        <f t="shared" si="67"/>
        <v>6.5096325825162316</v>
      </c>
      <c r="AP21" s="14">
        <f t="shared" si="7"/>
        <v>12.205837898613954</v>
      </c>
      <c r="AQ21" s="14">
        <f t="shared" si="8"/>
        <v>-2.2712389201956951E-2</v>
      </c>
      <c r="AR21" s="89">
        <f t="shared" si="52"/>
        <v>302.92586490567533</v>
      </c>
      <c r="AS21" s="89">
        <f t="shared" si="53"/>
        <v>48.514685022989383</v>
      </c>
      <c r="AT21" s="89">
        <f t="shared" si="54"/>
        <v>158.17494914640778</v>
      </c>
      <c r="AU21" s="14">
        <f t="shared" si="9"/>
        <v>-2.7854237911274708</v>
      </c>
      <c r="AV21" s="14">
        <f t="shared" si="10"/>
        <v>1.650681470257112</v>
      </c>
      <c r="AW21" s="14">
        <f t="shared" si="11"/>
        <v>-2.1787086088090462</v>
      </c>
      <c r="AX21" s="11">
        <f t="shared" si="55"/>
        <v>0.15343314081360226</v>
      </c>
      <c r="AY21" s="2"/>
      <c r="AZ21" s="12">
        <v>0.20094572005565328</v>
      </c>
      <c r="BA21" s="12">
        <v>0.50583364660407459</v>
      </c>
      <c r="BB21" s="12">
        <f t="shared" si="56"/>
        <v>0.21331253332335973</v>
      </c>
      <c r="BC21" s="12">
        <f t="shared" si="57"/>
        <v>0.43892871432296038</v>
      </c>
      <c r="BD21" s="12">
        <v>0.68853538521919677</v>
      </c>
      <c r="BE21" s="14">
        <f t="shared" si="12"/>
        <v>0.32642152791650297</v>
      </c>
      <c r="BF21" s="14">
        <f t="shared" si="13"/>
        <v>1.0689051859632566</v>
      </c>
      <c r="BG21" s="11">
        <f t="shared" si="58"/>
        <v>6.5096325825162316</v>
      </c>
      <c r="BH21" s="11">
        <f t="shared" si="14"/>
        <v>12.224962682472219</v>
      </c>
      <c r="BI21" s="12">
        <f t="shared" si="15"/>
        <v>-2.2712389201956951E-2</v>
      </c>
      <c r="BJ21" s="11">
        <f t="shared" si="16"/>
        <v>0.17255792467186737</v>
      </c>
      <c r="BK21" s="14">
        <f t="shared" si="69"/>
        <v>6.4556486624763707</v>
      </c>
      <c r="BL21" s="14">
        <f t="shared" si="70"/>
        <v>3.1373449161613869</v>
      </c>
      <c r="BM21" s="14">
        <f t="shared" si="68"/>
        <v>6.852948995664125</v>
      </c>
      <c r="BN21" s="14">
        <f t="shared" si="59"/>
        <v>271.29153947272187</v>
      </c>
      <c r="BO21" s="14">
        <f t="shared" si="60"/>
        <v>64.073878164772751</v>
      </c>
      <c r="BP21" s="14">
        <f t="shared" si="61"/>
        <v>305.7112886968028</v>
      </c>
      <c r="BQ21" s="14">
        <f t="shared" si="62"/>
        <v>46.864003552732271</v>
      </c>
      <c r="BR21" s="14">
        <f t="shared" si="17"/>
        <v>160.35365775521683</v>
      </c>
      <c r="BS21" s="18">
        <f t="shared" si="18"/>
        <v>304.23588752995249</v>
      </c>
      <c r="BT21" s="18">
        <f t="shared" si="19"/>
        <v>48.531525839236821</v>
      </c>
      <c r="BU21" s="18">
        <f t="shared" si="20"/>
        <v>158.96561770995382</v>
      </c>
      <c r="BV21" s="11">
        <f t="shared" si="63"/>
        <v>-1.475401166850304</v>
      </c>
      <c r="BW21" s="11">
        <f t="shared" si="63"/>
        <v>1.6675222865045498</v>
      </c>
      <c r="BX21" s="11">
        <f t="shared" si="63"/>
        <v>-1.3880400452630113</v>
      </c>
      <c r="BY21" s="11">
        <f t="shared" si="22"/>
        <v>207.38904098328672</v>
      </c>
      <c r="BZ21" s="11">
        <f t="shared" si="23"/>
        <v>6.8363923981446373</v>
      </c>
      <c r="CA21" s="11">
        <f t="shared" si="24"/>
        <v>2.7304468966154936</v>
      </c>
      <c r="CB21" s="11">
        <f t="shared" si="25"/>
        <v>6.4652338031077532</v>
      </c>
      <c r="CC21" s="11">
        <f t="shared" si="26"/>
        <v>3.1502141362581053</v>
      </c>
      <c r="CD21" s="11">
        <f t="shared" si="27"/>
        <v>58.172969467541826</v>
      </c>
      <c r="CE21" s="11">
        <f t="shared" si="28"/>
        <v>55.9594755442671</v>
      </c>
      <c r="CF21" s="11">
        <f t="shared" si="29"/>
        <v>57.066222505904463</v>
      </c>
      <c r="CG21" s="14">
        <f t="shared" si="30"/>
        <v>-1.6556597519487681E-2</v>
      </c>
      <c r="CH21" s="14" t="e">
        <f>CA21-#REF!</f>
        <v>#REF!</v>
      </c>
      <c r="CI21" s="14">
        <f t="shared" si="31"/>
        <v>9.5851406313824938E-3</v>
      </c>
      <c r="CJ21" s="14">
        <f t="shared" si="32"/>
        <v>1.2869220096718426E-2</v>
      </c>
      <c r="CK21" s="19"/>
      <c r="CL21" s="12"/>
      <c r="CO21" s="17"/>
      <c r="CP21" s="20"/>
      <c r="CQ21" s="20"/>
      <c r="CR21" s="21"/>
      <c r="CY21" s="14"/>
      <c r="CZ21" s="14"/>
      <c r="DA21" s="14"/>
      <c r="DB21" s="14"/>
      <c r="DG21" s="12"/>
    </row>
    <row r="22" spans="1:111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4"/>
        <v>0.21287428502659014</v>
      </c>
      <c r="I22" s="12">
        <f t="shared" si="65"/>
        <v>0.43830096371475474</v>
      </c>
      <c r="J22" s="12">
        <f t="shared" si="33"/>
        <v>5.8738921877816944E-2</v>
      </c>
      <c r="K22" s="13">
        <f t="shared" si="34"/>
        <v>1.5219310299075832E-2</v>
      </c>
      <c r="L22" s="13">
        <f>SUM(K$3:$K22)</f>
        <v>0.81513985108680642</v>
      </c>
      <c r="M22" s="72">
        <f t="shared" si="66"/>
        <v>0.68824773854104537</v>
      </c>
      <c r="N22" s="12">
        <f t="shared" si="35"/>
        <v>1.2824611447049164E-4</v>
      </c>
      <c r="O22" s="21">
        <f t="shared" si="36"/>
        <v>5.4536668453315195E-10</v>
      </c>
      <c r="P22" s="11">
        <f>SUM(O$2:$O22)</f>
        <v>1.0260465626329348E-7</v>
      </c>
      <c r="Q22" s="12">
        <f t="shared" si="37"/>
        <v>1.0226253951591754E-3</v>
      </c>
      <c r="R22" s="3">
        <f t="shared" si="0"/>
        <v>0.3260125953478526</v>
      </c>
      <c r="S22" s="1">
        <f t="shared" si="38"/>
        <v>1.4532067763180175E-3</v>
      </c>
      <c r="T22" s="1">
        <f t="shared" si="39"/>
        <v>0.93436465517112177</v>
      </c>
      <c r="U22" s="1">
        <f t="shared" si="40"/>
        <v>4.1669642846604536E-3</v>
      </c>
      <c r="V22" s="11">
        <f t="shared" si="41"/>
        <v>6.5177979135829593</v>
      </c>
      <c r="W22" s="12">
        <f t="shared" si="42"/>
        <v>4.55378212380586E-2</v>
      </c>
      <c r="X22" s="13">
        <f t="shared" si="1"/>
        <v>-2.3149406080448576E-2</v>
      </c>
      <c r="Y22" s="12">
        <f t="shared" si="43"/>
        <v>1.2298700936871923E-2</v>
      </c>
      <c r="Z22" s="12" t="e">
        <f>SQRT((Q22/M22)^2 + (0.0002/G22)^2)*#REF!</f>
        <v>#REF!</v>
      </c>
      <c r="AA22" s="12">
        <f t="shared" si="44"/>
        <v>1.1367376668371102E-2</v>
      </c>
      <c r="AB22" s="12">
        <f t="shared" si="45"/>
        <v>4.8814059220477282E-3</v>
      </c>
      <c r="AC22" s="14">
        <f t="shared" si="46"/>
        <v>6.4662365250464733</v>
      </c>
      <c r="AD22" s="1">
        <f t="shared" si="47"/>
        <v>3.1405257825942425</v>
      </c>
      <c r="AE22" s="1">
        <f t="shared" si="48"/>
        <v>6.8706008628470787</v>
      </c>
      <c r="AF22" s="14">
        <f t="shared" si="2"/>
        <v>272.52356637167725</v>
      </c>
      <c r="AG22" s="14">
        <f t="shared" si="3"/>
        <v>64.284403323279747</v>
      </c>
      <c r="AH22" s="14">
        <f t="shared" si="4"/>
        <v>307.67366869862002</v>
      </c>
      <c r="AI22" s="14">
        <f t="shared" si="49"/>
        <v>46.709352159808361</v>
      </c>
      <c r="AJ22" s="14">
        <f t="shared" si="5"/>
        <v>161.52981088858914</v>
      </c>
      <c r="AK22" s="7"/>
      <c r="AL22" s="12">
        <f t="shared" si="50"/>
        <v>0.68824773854104537</v>
      </c>
      <c r="AM22" s="14">
        <f t="shared" si="6"/>
        <v>0.3260125953478526</v>
      </c>
      <c r="AN22" s="14">
        <f t="shared" si="51"/>
        <v>1.0702459628215042</v>
      </c>
      <c r="AO22" s="11">
        <f t="shared" si="67"/>
        <v>6.5177979135829593</v>
      </c>
      <c r="AP22" s="14">
        <f t="shared" si="7"/>
        <v>12.465187732599029</v>
      </c>
      <c r="AQ22" s="14">
        <f t="shared" si="8"/>
        <v>-2.3149405973901138E-2</v>
      </c>
      <c r="AR22" s="89">
        <f t="shared" si="52"/>
        <v>304.21498494890011</v>
      </c>
      <c r="AS22" s="89">
        <f t="shared" si="53"/>
        <v>48.539045244920814</v>
      </c>
      <c r="AT22" s="89">
        <f t="shared" si="54"/>
        <v>158.92741882893995</v>
      </c>
      <c r="AU22" s="14">
        <f t="shared" si="9"/>
        <v>-3.4586837497199099</v>
      </c>
      <c r="AV22" s="14">
        <f t="shared" si="10"/>
        <v>1.8296930851124529</v>
      </c>
      <c r="AW22" s="14">
        <f t="shared" si="11"/>
        <v>-2.6023920596491905</v>
      </c>
      <c r="AX22" s="11">
        <f t="shared" si="55"/>
        <v>0.15451715856009862</v>
      </c>
      <c r="AY22" s="2"/>
      <c r="AZ22" s="12">
        <v>0.20034572005565329</v>
      </c>
      <c r="BA22" s="12">
        <v>0.50703364660407457</v>
      </c>
      <c r="BB22" s="12">
        <f t="shared" si="56"/>
        <v>0.21287428502659014</v>
      </c>
      <c r="BC22" s="12">
        <f t="shared" si="57"/>
        <v>0.43830096371475474</v>
      </c>
      <c r="BD22" s="12">
        <v>0.68824773854104537</v>
      </c>
      <c r="BE22" s="14">
        <f t="shared" si="12"/>
        <v>0.3260125953478526</v>
      </c>
      <c r="BF22" s="14">
        <f t="shared" si="13"/>
        <v>1.0702459628215042</v>
      </c>
      <c r="BG22" s="11">
        <f t="shared" si="58"/>
        <v>6.5177979135829593</v>
      </c>
      <c r="BH22" s="11">
        <f t="shared" si="14"/>
        <v>12.485539093911127</v>
      </c>
      <c r="BI22" s="12">
        <f t="shared" si="15"/>
        <v>-2.3149405973901138E-2</v>
      </c>
      <c r="BJ22" s="11">
        <f t="shared" si="16"/>
        <v>0.17486851987219687</v>
      </c>
      <c r="BK22" s="14">
        <f t="shared" si="69"/>
        <v>6.4662365250464733</v>
      </c>
      <c r="BL22" s="14">
        <f t="shared" si="70"/>
        <v>3.1405257825942425</v>
      </c>
      <c r="BM22" s="14">
        <f t="shared" si="68"/>
        <v>6.8706008628470787</v>
      </c>
      <c r="BN22" s="14">
        <f t="shared" si="59"/>
        <v>272.52356637167725</v>
      </c>
      <c r="BO22" s="14">
        <f t="shared" si="60"/>
        <v>64.284403323279747</v>
      </c>
      <c r="BP22" s="14">
        <f t="shared" si="61"/>
        <v>307.67366869862002</v>
      </c>
      <c r="BQ22" s="14">
        <f t="shared" si="62"/>
        <v>46.709352159808361</v>
      </c>
      <c r="BR22" s="14">
        <f t="shared" si="17"/>
        <v>161.52981088858914</v>
      </c>
      <c r="BS22" s="18">
        <f t="shared" si="18"/>
        <v>305.56516921219986</v>
      </c>
      <c r="BT22" s="18">
        <f t="shared" si="19"/>
        <v>48.556583103742973</v>
      </c>
      <c r="BU22" s="18">
        <f t="shared" si="20"/>
        <v>159.74213140117098</v>
      </c>
      <c r="BV22" s="11">
        <f t="shared" si="63"/>
        <v>-2.1084994864201576</v>
      </c>
      <c r="BW22" s="11">
        <f t="shared" si="63"/>
        <v>1.847230943934612</v>
      </c>
      <c r="BX22" s="11">
        <f t="shared" si="63"/>
        <v>-1.7876794874181599</v>
      </c>
      <c r="BY22" s="11">
        <f t="shared" si="22"/>
        <v>208.34981067151395</v>
      </c>
      <c r="BZ22" s="11">
        <f t="shared" si="23"/>
        <v>6.8470181440705966</v>
      </c>
      <c r="CA22" s="11">
        <f t="shared" si="24"/>
        <v>2.7294403880991163</v>
      </c>
      <c r="CB22" s="11">
        <f t="shared" si="25"/>
        <v>6.4729758315291326</v>
      </c>
      <c r="CC22" s="11">
        <f t="shared" si="26"/>
        <v>3.1529300522228265</v>
      </c>
      <c r="CD22" s="11">
        <f t="shared" si="27"/>
        <v>58.298557424451566</v>
      </c>
      <c r="CE22" s="11">
        <f t="shared" si="28"/>
        <v>56.044954102887324</v>
      </c>
      <c r="CF22" s="11">
        <f t="shared" si="29"/>
        <v>57.171755763669445</v>
      </c>
      <c r="CG22" s="14">
        <f t="shared" si="30"/>
        <v>-2.3582718776482103E-2</v>
      </c>
      <c r="CH22" s="14" t="e">
        <f>CA22-#REF!</f>
        <v>#REF!</v>
      </c>
      <c r="CI22" s="14">
        <f t="shared" si="31"/>
        <v>6.7393064826593019E-3</v>
      </c>
      <c r="CJ22" s="14">
        <f t="shared" si="32"/>
        <v>1.2404269628583986E-2</v>
      </c>
      <c r="CK22" s="19"/>
      <c r="CL22" s="12"/>
      <c r="CO22" s="12"/>
      <c r="CP22" s="14"/>
      <c r="CQ22" s="11"/>
      <c r="CR22" s="12"/>
    </row>
    <row r="23" spans="1:111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4"/>
        <v>0.21256349294839896</v>
      </c>
      <c r="I23" s="12">
        <f t="shared" si="65"/>
        <v>0.43788451653512361</v>
      </c>
      <c r="J23" s="12">
        <f t="shared" si="33"/>
        <v>5.8367791038947792E-2</v>
      </c>
      <c r="K23" s="13">
        <f t="shared" si="34"/>
        <v>1.0081553599488383E-2</v>
      </c>
      <c r="L23" s="13">
        <f>SUM(K$3:$K23)</f>
        <v>0.82522140468629479</v>
      </c>
      <c r="M23" s="72">
        <f t="shared" si="66"/>
        <v>0.68805732833848943</v>
      </c>
      <c r="N23" s="12">
        <f t="shared" si="35"/>
        <v>1.2750677771652236E-4</v>
      </c>
      <c r="O23" s="21">
        <f t="shared" si="36"/>
        <v>1.2049190933788425E-10</v>
      </c>
      <c r="P23" s="11">
        <f>SUM(O$2:$O23)</f>
        <v>1.0272514817263136E-7</v>
      </c>
      <c r="Q23" s="12">
        <f t="shared" si="37"/>
        <v>1.0229009092287027E-3</v>
      </c>
      <c r="R23" s="3">
        <f t="shared" si="0"/>
        <v>0.32574208685876549</v>
      </c>
      <c r="S23" s="1">
        <f t="shared" si="38"/>
        <v>1.4527941049323485E-3</v>
      </c>
      <c r="T23" s="1">
        <f t="shared" si="39"/>
        <v>0.93358936742232468</v>
      </c>
      <c r="U23" s="12">
        <f t="shared" si="40"/>
        <v>4.165781552574418E-3</v>
      </c>
      <c r="V23" s="11">
        <f t="shared" si="41"/>
        <v>6.5232105382848546</v>
      </c>
      <c r="W23" s="12">
        <f t="shared" si="42"/>
        <v>4.5585772496426147E-2</v>
      </c>
      <c r="X23" s="13">
        <f t="shared" si="1"/>
        <v>-2.3438994648206091E-2</v>
      </c>
      <c r="Y23" s="12">
        <f t="shared" si="43"/>
        <v>1.2348401308540034E-2</v>
      </c>
      <c r="Z23" s="12" t="e">
        <f>SQRT((Q23/M23)^2 + (0.0002/G23)^2)*#REF!</f>
        <v>#REF!</v>
      </c>
      <c r="AA23" s="12">
        <f t="shared" si="44"/>
        <v>1.1390042327843857E-2</v>
      </c>
      <c r="AB23" s="12">
        <f t="shared" si="45"/>
        <v>4.8875351948589807E-3</v>
      </c>
      <c r="AC23" s="14">
        <f t="shared" si="46"/>
        <v>6.4738993398600142</v>
      </c>
      <c r="AD23" s="1">
        <f t="shared" si="47"/>
        <v>3.1426428766329715</v>
      </c>
      <c r="AE23" s="1">
        <f t="shared" si="48"/>
        <v>6.8893323786540455</v>
      </c>
      <c r="AF23" s="14">
        <f t="shared" si="2"/>
        <v>273.39670782691655</v>
      </c>
      <c r="AG23" s="14">
        <f t="shared" si="3"/>
        <v>64.424559642192591</v>
      </c>
      <c r="AH23" s="14">
        <f t="shared" si="4"/>
        <v>309.6104935252452</v>
      </c>
      <c r="AI23" s="14">
        <f t="shared" si="49"/>
        <v>46.31766679302828</v>
      </c>
      <c r="AJ23" s="14">
        <f t="shared" si="5"/>
        <v>162.65448139169575</v>
      </c>
      <c r="AK23" s="7"/>
      <c r="AL23" s="12">
        <f t="shared" si="50"/>
        <v>0.68805732833848943</v>
      </c>
      <c r="AM23" s="14">
        <f t="shared" si="6"/>
        <v>0.32574208685876549</v>
      </c>
      <c r="AN23" s="14">
        <f t="shared" si="51"/>
        <v>1.0711347353505509</v>
      </c>
      <c r="AO23" s="11">
        <f t="shared" si="67"/>
        <v>6.5232105382848546</v>
      </c>
      <c r="AP23" s="14">
        <f t="shared" si="7"/>
        <v>12.637569617482292</v>
      </c>
      <c r="AQ23" s="14">
        <f t="shared" si="8"/>
        <v>-2.3438994540296187E-2</v>
      </c>
      <c r="AR23" s="89">
        <f t="shared" si="52"/>
        <v>305.07082189333602</v>
      </c>
      <c r="AS23" s="89">
        <f t="shared" si="53"/>
        <v>48.554733728209655</v>
      </c>
      <c r="AT23" s="89">
        <f t="shared" si="54"/>
        <v>159.4272695241435</v>
      </c>
      <c r="AU23" s="14">
        <f t="shared" si="9"/>
        <v>-4.5396716319091865</v>
      </c>
      <c r="AV23" s="14">
        <f t="shared" si="10"/>
        <v>2.2370669351813746</v>
      </c>
      <c r="AW23" s="14">
        <f t="shared" si="11"/>
        <v>-3.2272118675522563</v>
      </c>
      <c r="AX23" s="11">
        <f t="shared" si="55"/>
        <v>0.15472183261764272</v>
      </c>
      <c r="AY23" s="2"/>
      <c r="AZ23" s="12">
        <v>0.19974572005565328</v>
      </c>
      <c r="BA23" s="12">
        <v>0.50683364660407459</v>
      </c>
      <c r="BB23" s="12">
        <f t="shared" si="56"/>
        <v>0.21256349294839896</v>
      </c>
      <c r="BC23" s="12">
        <f t="shared" si="57"/>
        <v>0.43788451653512361</v>
      </c>
      <c r="BD23" s="12">
        <v>0.68805732833848943</v>
      </c>
      <c r="BE23" s="14">
        <f t="shared" si="12"/>
        <v>0.32574208685876549</v>
      </c>
      <c r="BF23" s="14">
        <f t="shared" si="13"/>
        <v>1.0711347353505509</v>
      </c>
      <c r="BG23" s="11">
        <f t="shared" si="58"/>
        <v>6.5232105382848546</v>
      </c>
      <c r="BH23" s="11">
        <f t="shared" si="14"/>
        <v>12.658753561046195</v>
      </c>
      <c r="BI23" s="12">
        <f t="shared" si="15"/>
        <v>-2.3438994540296187E-2</v>
      </c>
      <c r="BJ23" s="11">
        <f t="shared" si="16"/>
        <v>0.1759057761815459</v>
      </c>
      <c r="BK23" s="14">
        <f t="shared" si="69"/>
        <v>6.4738993398600142</v>
      </c>
      <c r="BL23" s="14">
        <f t="shared" si="70"/>
        <v>3.1426428766329715</v>
      </c>
      <c r="BM23" s="14">
        <f t="shared" si="68"/>
        <v>6.8893323786540455</v>
      </c>
      <c r="BN23" s="14">
        <f t="shared" si="59"/>
        <v>273.39670782691655</v>
      </c>
      <c r="BO23" s="14">
        <f t="shared" si="60"/>
        <v>64.424559642192591</v>
      </c>
      <c r="BP23" s="14">
        <f t="shared" si="61"/>
        <v>309.6104935252452</v>
      </c>
      <c r="BQ23" s="14">
        <f t="shared" si="62"/>
        <v>46.31766679302828</v>
      </c>
      <c r="BR23" s="14">
        <f t="shared" si="17"/>
        <v>162.65448139169575</v>
      </c>
      <c r="BS23" s="18">
        <f t="shared" si="18"/>
        <v>306.44778858475894</v>
      </c>
      <c r="BT23" s="18">
        <f t="shared" si="19"/>
        <v>48.572751580638382</v>
      </c>
      <c r="BU23" s="18">
        <f t="shared" si="20"/>
        <v>160.25800348691331</v>
      </c>
      <c r="BV23" s="11">
        <f t="shared" si="63"/>
        <v>-3.1627049404862646</v>
      </c>
      <c r="BW23" s="11">
        <f t="shared" si="63"/>
        <v>2.2550847876101017</v>
      </c>
      <c r="BX23" s="11">
        <f t="shared" si="63"/>
        <v>-2.3964779047824436</v>
      </c>
      <c r="BY23" s="11">
        <f t="shared" si="22"/>
        <v>208.98793185286186</v>
      </c>
      <c r="BZ23" s="11">
        <f t="shared" si="23"/>
        <v>6.8540544147243629</v>
      </c>
      <c r="CA23" s="11">
        <f t="shared" si="24"/>
        <v>2.7287619795864275</v>
      </c>
      <c r="CB23" s="11">
        <f t="shared" si="25"/>
        <v>6.4780998852618312</v>
      </c>
      <c r="CC23" s="11">
        <f t="shared" si="26"/>
        <v>3.15472443323306</v>
      </c>
      <c r="CD23" s="11">
        <f t="shared" si="27"/>
        <v>58.381607967952149</v>
      </c>
      <c r="CE23" s="11">
        <f t="shared" si="28"/>
        <v>56.101160270582106</v>
      </c>
      <c r="CF23" s="11">
        <f t="shared" si="29"/>
        <v>57.241384119267124</v>
      </c>
      <c r="CG23" s="14">
        <f t="shared" si="30"/>
        <v>-3.5277963929682521E-2</v>
      </c>
      <c r="CH23" s="14" t="e">
        <f>CA23-#REF!</f>
        <v>#REF!</v>
      </c>
      <c r="CI23" s="14">
        <f t="shared" si="31"/>
        <v>4.2005454018170241E-3</v>
      </c>
      <c r="CJ23" s="14">
        <f t="shared" si="32"/>
        <v>1.2081556600088472E-2</v>
      </c>
      <c r="CK23" s="19"/>
      <c r="CL23" s="12"/>
      <c r="CO23" s="12"/>
      <c r="CP23" s="14"/>
      <c r="CQ23" s="11"/>
      <c r="CR23" s="12"/>
    </row>
    <row r="25" spans="1:111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P25" s="48" t="s">
        <v>87</v>
      </c>
      <c r="AQ25" s="11">
        <f>(AQ26+2*AQ27)/3</f>
        <v>161.32641123456287</v>
      </c>
      <c r="AR25" s="49" t="s">
        <v>88</v>
      </c>
      <c r="AS25" s="11">
        <f>(AQ29+2*AQ30)/3</f>
        <v>3.8144600364137027</v>
      </c>
      <c r="BE25" s="46" t="s">
        <v>62</v>
      </c>
      <c r="BF25" s="14">
        <f>'Global Min'!M12</f>
        <v>239.51038215113027</v>
      </c>
      <c r="BI25" s="46" t="s">
        <v>64</v>
      </c>
      <c r="BJ25" s="1">
        <f>3*BF36*(BF28-3)-7*BF25</f>
        <v>-461.3072645719144</v>
      </c>
    </row>
    <row r="26" spans="1:111" ht="15.75" x14ac:dyDescent="0.25">
      <c r="AP26" s="46" t="s">
        <v>62</v>
      </c>
      <c r="AQ26" s="14">
        <f>'Global Min'!L12</f>
        <v>239.89360432346049</v>
      </c>
      <c r="AT26" s="46" t="s">
        <v>64</v>
      </c>
      <c r="AU26" s="1">
        <f>3*AQ25*(AQ29-3)-7*AQ26</f>
        <v>-525.39091143065957</v>
      </c>
      <c r="BE26" s="46" t="s">
        <v>66</v>
      </c>
      <c r="BF26" s="14">
        <f>'Global Min'!M13</f>
        <v>121.79137885339955</v>
      </c>
      <c r="BI26" s="46" t="s">
        <v>68</v>
      </c>
      <c r="BJ26" s="1">
        <f>3*BF36*(BF29-1)-7*BF26</f>
        <v>168.14821444487245</v>
      </c>
    </row>
    <row r="27" spans="1:111" ht="15.75" x14ac:dyDescent="0.25">
      <c r="B27" s="5" t="s">
        <v>69</v>
      </c>
      <c r="AP27" s="46" t="s">
        <v>66</v>
      </c>
      <c r="AQ27" s="14">
        <f>'Global Min'!L13</f>
        <v>122.04281469011407</v>
      </c>
      <c r="AT27" s="46" t="s">
        <v>68</v>
      </c>
      <c r="AU27" s="1">
        <f>3*AQ25*(AQ30-1)-7*AQ27</f>
        <v>127.99922161847007</v>
      </c>
      <c r="BE27" s="46" t="s">
        <v>71</v>
      </c>
      <c r="BF27" s="14">
        <f>'Global Min'!M14</f>
        <v>46.243127025353878</v>
      </c>
      <c r="BI27" s="46" t="s">
        <v>73</v>
      </c>
      <c r="BJ27" s="11">
        <f>3*BF36*(BF30-1)-7*BF27</f>
        <v>-667.67980537079279</v>
      </c>
      <c r="BK27" s="11"/>
      <c r="BL27" s="11"/>
      <c r="BM27" s="11"/>
      <c r="BN27" s="11"/>
      <c r="BO27" s="11"/>
      <c r="BP27" s="11"/>
      <c r="BQ27" s="11"/>
      <c r="BR27" s="11"/>
    </row>
    <row r="28" spans="1:111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I28" s="1">
        <f>235*3</f>
        <v>705</v>
      </c>
      <c r="AP28" s="46" t="s">
        <v>71</v>
      </c>
      <c r="AQ28" s="14">
        <f>'Global Min'!L14</f>
        <v>46.221889892405528</v>
      </c>
      <c r="AT28" s="46" t="s">
        <v>73</v>
      </c>
      <c r="AU28" s="11">
        <f>3*AQ25*(AQ31-1)-7*AQ28</f>
        <v>-666.65867916319553</v>
      </c>
      <c r="AV28" s="11"/>
      <c r="BE28" s="46" t="s">
        <v>63</v>
      </c>
      <c r="BF28" s="14">
        <f>'Global Min'!M15</f>
        <v>5.515592357290334</v>
      </c>
      <c r="BG28" s="46"/>
    </row>
    <row r="29" spans="1:111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I29" s="1">
        <f>165*2</f>
        <v>330</v>
      </c>
      <c r="AP29" s="46" t="s">
        <v>63</v>
      </c>
      <c r="AQ29" s="14">
        <f>'Global Min'!L15</f>
        <v>5.3841194796800016</v>
      </c>
      <c r="AR29" s="46"/>
      <c r="BE29" s="46" t="s">
        <v>67</v>
      </c>
      <c r="BF29" s="14">
        <f>'Global Min'!M16</f>
        <v>3.1128179686402473</v>
      </c>
      <c r="BL29" s="47"/>
      <c r="BM29" s="47"/>
      <c r="BN29" s="47"/>
      <c r="BO29" s="47"/>
      <c r="BP29" s="47"/>
      <c r="BQ29" s="47"/>
      <c r="BR29" s="47"/>
      <c r="CK29" s="21"/>
      <c r="CO29" s="14"/>
      <c r="CP29" s="14"/>
    </row>
    <row r="30" spans="1:111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36.229722375008521</v>
      </c>
      <c r="M30" s="1">
        <f t="shared" ref="M30:M50" si="74">36*$B$40*($B$38^2)*(4*$B$40*$B$38^2 + $K$29*L3)/J30^2</f>
        <v>1.0002787616734437</v>
      </c>
      <c r="N30" s="14">
        <f t="shared" ref="N30:N50" si="75">(12*$K$29*L3*$D$38^3)/(J30^2)</f>
        <v>3.2233659387716102E-5</v>
      </c>
      <c r="O30" s="14">
        <f t="shared" si="72"/>
        <v>-1.9755878829587358E-2</v>
      </c>
      <c r="AI30" s="1">
        <f>235*2+235</f>
        <v>705</v>
      </c>
      <c r="AP30" s="46" t="s">
        <v>67</v>
      </c>
      <c r="AQ30" s="14">
        <f>'Global Min'!L16</f>
        <v>3.0296303147805537</v>
      </c>
      <c r="BE30" s="46" t="s">
        <v>72</v>
      </c>
      <c r="BF30" s="14">
        <f>'Global Min'!M17</f>
        <v>0.28796770681845224</v>
      </c>
      <c r="BL30" s="52"/>
      <c r="BM30" s="52"/>
      <c r="BN30" s="52"/>
      <c r="BO30" s="52"/>
      <c r="BP30" s="52"/>
      <c r="BQ30" s="52"/>
      <c r="BR30" s="52"/>
      <c r="CK30" s="21"/>
      <c r="CO30" s="14"/>
      <c r="CP30" s="14"/>
    </row>
    <row r="31" spans="1:111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36.341708370305788</v>
      </c>
      <c r="M31" s="1">
        <f t="shared" si="74"/>
        <v>1.0033369579520597</v>
      </c>
      <c r="N31" s="14">
        <f t="shared" si="75"/>
        <v>3.8705485341521893E-4</v>
      </c>
      <c r="O31" s="14">
        <f t="shared" si="72"/>
        <v>-1.9634312004285212E-2</v>
      </c>
      <c r="AI31" s="1">
        <f>330+642</f>
        <v>972</v>
      </c>
      <c r="AP31" s="46" t="s">
        <v>72</v>
      </c>
      <c r="AQ31" s="14">
        <f>'Global Min'!L17</f>
        <v>0.29107402544791877</v>
      </c>
      <c r="BE31" s="47" t="s">
        <v>82</v>
      </c>
      <c r="BF31" s="50">
        <f>BF35+BF33+BF34+BF32</f>
        <v>21.638732924500939</v>
      </c>
      <c r="BG31" s="49"/>
      <c r="CK31" s="21"/>
      <c r="CO31" s="14"/>
      <c r="CP31" s="14"/>
    </row>
    <row r="32" spans="1:111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36.404226298849089</v>
      </c>
      <c r="M32" s="1">
        <f t="shared" si="74"/>
        <v>1.0050196556947479</v>
      </c>
      <c r="N32" s="14">
        <f t="shared" si="75"/>
        <v>5.8324164582842348E-4</v>
      </c>
      <c r="O32" s="14">
        <f t="shared" si="72"/>
        <v>-1.9566932876438802E-2</v>
      </c>
      <c r="AI32" s="1">
        <f>AI31-AI30</f>
        <v>267</v>
      </c>
      <c r="AP32" s="47" t="s">
        <v>82</v>
      </c>
      <c r="AQ32" s="52">
        <f>AQ36+AQ34+AQ35+AQ33</f>
        <v>24.258763104253035</v>
      </c>
      <c r="AR32" s="49"/>
      <c r="BE32" s="1" t="s">
        <v>92</v>
      </c>
      <c r="BF32" s="51">
        <f>SUMSQ(BJ6:BJ16)</f>
        <v>7.6135170724599063E-2</v>
      </c>
      <c r="BG32" s="49"/>
      <c r="BS32" s="47"/>
      <c r="CK32" s="21"/>
      <c r="CO32" s="14"/>
      <c r="CP32" s="14"/>
    </row>
    <row r="33" spans="1:94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36.471623794949068</v>
      </c>
      <c r="M33" s="1">
        <f t="shared" si="74"/>
        <v>1.0068141730608142</v>
      </c>
      <c r="N33" s="14">
        <f t="shared" si="75"/>
        <v>7.9323303579196256E-4</v>
      </c>
      <c r="O33" s="14">
        <f t="shared" si="72"/>
        <v>-1.9494682526927914E-2</v>
      </c>
      <c r="AP33" s="1" t="s">
        <v>92</v>
      </c>
      <c r="AQ33" s="51">
        <f>SUMSQ(AX6:AX16)</f>
        <v>0.10657486967739627</v>
      </c>
      <c r="AR33" s="49"/>
      <c r="BE33" s="1" t="s">
        <v>62</v>
      </c>
      <c r="BF33" s="14">
        <f>SUMSQ(BV6:BV16)</f>
        <v>6.7901197442391066</v>
      </c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CK33" s="21"/>
      <c r="CO33" s="14"/>
      <c r="CP33" s="14"/>
    </row>
    <row r="34" spans="1:94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36.540771908830678</v>
      </c>
      <c r="M34" s="1">
        <f t="shared" si="74"/>
        <v>1.0086344484592626</v>
      </c>
      <c r="N34" s="14">
        <f t="shared" si="75"/>
        <v>1.0070660945506447E-3</v>
      </c>
      <c r="O34" s="14">
        <f t="shared" si="72"/>
        <v>-1.9420970616074004E-2</v>
      </c>
      <c r="AP34" s="1" t="s">
        <v>62</v>
      </c>
      <c r="AQ34" s="14">
        <f>SUMSQ(AU6:AU16)</f>
        <v>9.0289149011593146</v>
      </c>
      <c r="BE34" s="1" t="s">
        <v>66</v>
      </c>
      <c r="BF34" s="12">
        <f>SUMSQ(BX6:BX16)</f>
        <v>5.560443624651211</v>
      </c>
      <c r="CK34" s="21"/>
      <c r="CO34" s="14"/>
      <c r="CP34" s="14"/>
    </row>
    <row r="35" spans="1:94" x14ac:dyDescent="0.2">
      <c r="C35" s="1">
        <f>12*B31*(B29^2)</f>
        <v>28.364467319999999</v>
      </c>
      <c r="J35" s="21">
        <f t="shared" si="73"/>
        <v>36.588153492390269</v>
      </c>
      <c r="M35" s="1">
        <f t="shared" si="74"/>
        <v>1.0098696429007965</v>
      </c>
      <c r="N35" s="14">
        <f t="shared" si="75"/>
        <v>1.1526525274016316E-3</v>
      </c>
      <c r="O35" s="14">
        <f t="shared" si="72"/>
        <v>-1.9370702951374309E-2</v>
      </c>
      <c r="AP35" s="1" t="s">
        <v>66</v>
      </c>
      <c r="AQ35" s="12">
        <f>SUMSQ(AW6:AW16)</f>
        <v>5.9807809219876233</v>
      </c>
      <c r="BE35" s="1" t="s">
        <v>71</v>
      </c>
      <c r="BF35" s="12">
        <f>SUMSQ(BW6:BW16)</f>
        <v>9.2120343848860227</v>
      </c>
      <c r="BG35" s="11"/>
      <c r="BW35" s="21"/>
      <c r="CA35" s="14"/>
      <c r="CB35" s="14"/>
    </row>
    <row r="36" spans="1:94" ht="15.75" x14ac:dyDescent="0.25">
      <c r="B36" s="5" t="s">
        <v>96</v>
      </c>
      <c r="J36" s="21">
        <f t="shared" si="73"/>
        <v>36.631949118986306</v>
      </c>
      <c r="M36" s="1">
        <f t="shared" si="74"/>
        <v>1.0110026732222943</v>
      </c>
      <c r="N36" s="14">
        <f t="shared" si="75"/>
        <v>1.2865481358343592E-3</v>
      </c>
      <c r="O36" s="14">
        <f t="shared" si="72"/>
        <v>-1.9324413034150702E-2</v>
      </c>
      <c r="AP36" s="1" t="s">
        <v>71</v>
      </c>
      <c r="AQ36" s="12">
        <f>SUMSQ(AV6:AV16)</f>
        <v>9.1424924114287016</v>
      </c>
      <c r="BE36" s="48" t="s">
        <v>87</v>
      </c>
      <c r="BF36" s="11">
        <f>(BF25+2*BF26)/3</f>
        <v>161.03104661930979</v>
      </c>
      <c r="BW36" s="21"/>
      <c r="CA36" s="14"/>
      <c r="CB36" s="14"/>
    </row>
    <row r="37" spans="1:94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3"/>
        <v>36.686730062958318</v>
      </c>
      <c r="M37" s="1">
        <f t="shared" si="74"/>
        <v>1.0124082408221382</v>
      </c>
      <c r="N37" s="14">
        <f t="shared" si="75"/>
        <v>1.4531249757022673E-3</v>
      </c>
      <c r="O37" s="14">
        <f t="shared" si="72"/>
        <v>-1.9266745358487863E-2</v>
      </c>
      <c r="BE37" s="49" t="s">
        <v>88</v>
      </c>
      <c r="BF37" s="11">
        <f>(BF28+2*BF29)/3</f>
        <v>3.9137427648569427</v>
      </c>
      <c r="BW37" s="21"/>
      <c r="CA37" s="14"/>
      <c r="CB37" s="14"/>
    </row>
    <row r="38" spans="1:94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36.732270394799627</v>
      </c>
      <c r="M38" s="1">
        <f t="shared" si="74"/>
        <v>1.0135669112160492</v>
      </c>
      <c r="N38" s="14">
        <f t="shared" si="75"/>
        <v>1.5908428438733775E-3</v>
      </c>
      <c r="O38" s="14">
        <f t="shared" si="72"/>
        <v>-1.9219001504769954E-2</v>
      </c>
      <c r="BW38" s="21"/>
      <c r="CA38" s="14"/>
      <c r="CB38" s="14"/>
    </row>
    <row r="39" spans="1:94" x14ac:dyDescent="0.2">
      <c r="A39" s="1" t="s">
        <v>83</v>
      </c>
      <c r="B39" s="1">
        <f>0.000046</f>
        <v>4.6E-5</v>
      </c>
      <c r="C39" s="1" t="s">
        <v>98</v>
      </c>
      <c r="J39" s="21">
        <f t="shared" si="73"/>
        <v>36.768790003234031</v>
      </c>
      <c r="M39" s="1">
        <f t="shared" si="74"/>
        <v>1.0144896803121926</v>
      </c>
      <c r="N39" s="14">
        <f t="shared" si="75"/>
        <v>1.700785345650585E-3</v>
      </c>
      <c r="O39" s="14">
        <f t="shared" si="72"/>
        <v>-1.918084295495252E-2</v>
      </c>
      <c r="BW39" s="21"/>
      <c r="CA39" s="14"/>
      <c r="CB39" s="14"/>
    </row>
    <row r="40" spans="1:94" x14ac:dyDescent="0.2">
      <c r="A40" s="1" t="s">
        <v>89</v>
      </c>
      <c r="B40" s="1">
        <v>6.09</v>
      </c>
      <c r="C40" s="1" t="s">
        <v>99</v>
      </c>
      <c r="J40" s="21">
        <f t="shared" si="73"/>
        <v>36.813306941752636</v>
      </c>
      <c r="M40" s="1">
        <f t="shared" si="74"/>
        <v>1.0156068768610738</v>
      </c>
      <c r="N40" s="14">
        <f t="shared" si="75"/>
        <v>1.8342099543496185E-3</v>
      </c>
      <c r="O40" s="14">
        <f t="shared" si="72"/>
        <v>-1.9134481668794674E-2</v>
      </c>
      <c r="BW40" s="21"/>
      <c r="CA40" s="14"/>
      <c r="CB40" s="14"/>
    </row>
    <row r="41" spans="1:94" x14ac:dyDescent="0.2">
      <c r="A41" s="1" t="s">
        <v>90</v>
      </c>
      <c r="B41" s="1">
        <v>1.23</v>
      </c>
      <c r="J41" s="21">
        <f t="shared" si="73"/>
        <v>36.851878617514743</v>
      </c>
      <c r="M41" s="1">
        <f t="shared" si="74"/>
        <v>1.0165681143694087</v>
      </c>
      <c r="N41" s="14">
        <f t="shared" si="75"/>
        <v>1.949290584963117E-3</v>
      </c>
      <c r="O41" s="14">
        <f t="shared" si="72"/>
        <v>-1.9094447738129863E-2</v>
      </c>
      <c r="BW41" s="21"/>
      <c r="CA41" s="14"/>
      <c r="CB41" s="14"/>
    </row>
    <row r="42" spans="1:94" x14ac:dyDescent="0.2">
      <c r="A42" s="1" t="s">
        <v>93</v>
      </c>
      <c r="B42" s="1">
        <v>300</v>
      </c>
      <c r="J42" s="21">
        <f t="shared" si="73"/>
        <v>36.879165518861015</v>
      </c>
      <c r="M42" s="1">
        <f t="shared" si="74"/>
        <v>1.0172443563745619</v>
      </c>
      <c r="N42" s="14">
        <f t="shared" si="75"/>
        <v>2.0304094097261618E-3</v>
      </c>
      <c r="O42" s="14">
        <f t="shared" si="72"/>
        <v>-1.9066202220646356E-2</v>
      </c>
      <c r="BW42" s="21"/>
      <c r="CA42" s="14"/>
      <c r="CB42" s="14"/>
    </row>
    <row r="43" spans="1:94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36.914333690829061</v>
      </c>
      <c r="M43" s="1">
        <f t="shared" si="74"/>
        <v>1.0181113308966401</v>
      </c>
      <c r="N43" s="14">
        <f t="shared" si="75"/>
        <v>2.1346010269254266E-3</v>
      </c>
      <c r="O43" s="14">
        <f t="shared" si="72"/>
        <v>-1.9029890901511602E-2</v>
      </c>
      <c r="BW43" s="21"/>
      <c r="CA43" s="14"/>
      <c r="CB43" s="14"/>
    </row>
    <row r="44" spans="1:94" x14ac:dyDescent="0.2">
      <c r="C44" s="1">
        <f>12*B40*(B38^2)</f>
        <v>36.219617279999994</v>
      </c>
      <c r="J44" s="21">
        <f t="shared" si="73"/>
        <v>36.94651657149096</v>
      </c>
      <c r="M44" s="1">
        <f t="shared" si="74"/>
        <v>1.0189002046958262</v>
      </c>
      <c r="N44" s="14">
        <f t="shared" si="75"/>
        <v>2.2295975212398948E-3</v>
      </c>
      <c r="O44" s="14">
        <f t="shared" si="72"/>
        <v>-1.8996752731633343E-2</v>
      </c>
      <c r="BW44" s="21"/>
      <c r="CA44" s="14"/>
      <c r="CB44" s="14"/>
    </row>
    <row r="45" spans="1:94" x14ac:dyDescent="0.2">
      <c r="A45" s="1" t="s">
        <v>100</v>
      </c>
      <c r="B45" s="1">
        <v>3</v>
      </c>
      <c r="J45" s="21">
        <f t="shared" si="73"/>
        <v>36.965151051063948</v>
      </c>
      <c r="M45" s="1">
        <f t="shared" si="74"/>
        <v>1.0193550159920406</v>
      </c>
      <c r="N45" s="14">
        <f t="shared" si="75"/>
        <v>2.2844495626877436E-3</v>
      </c>
      <c r="O45" s="14">
        <f t="shared" si="72"/>
        <v>-1.8977604676523731E-2</v>
      </c>
      <c r="BW45" s="21"/>
      <c r="CA45" s="14"/>
      <c r="CB45" s="14"/>
    </row>
    <row r="46" spans="1:94" x14ac:dyDescent="0.2">
      <c r="A46" s="1" t="s">
        <v>101</v>
      </c>
      <c r="B46" s="1">
        <v>1</v>
      </c>
      <c r="J46" s="21">
        <f t="shared" si="73"/>
        <v>36.978353877966789</v>
      </c>
      <c r="M46" s="1">
        <f t="shared" si="74"/>
        <v>1.0196763890770968</v>
      </c>
      <c r="N46" s="14">
        <f t="shared" si="75"/>
        <v>2.3232455173594932E-3</v>
      </c>
      <c r="O46" s="14">
        <f t="shared" si="72"/>
        <v>-1.8964055490395735E-2</v>
      </c>
      <c r="BW46" s="21"/>
      <c r="CA46" s="14"/>
      <c r="CB46" s="14"/>
    </row>
    <row r="47" spans="1:94" x14ac:dyDescent="0.2">
      <c r="J47" s="21">
        <f t="shared" si="73"/>
        <v>37.001924710767895</v>
      </c>
      <c r="M47" s="1">
        <f t="shared" si="74"/>
        <v>1.0202483468245747</v>
      </c>
      <c r="N47" s="14">
        <f t="shared" si="75"/>
        <v>2.3923683520773046E-3</v>
      </c>
      <c r="O47" s="14">
        <f t="shared" si="72"/>
        <v>-1.8939902357174972E-2</v>
      </c>
      <c r="BO47" s="1" t="s">
        <v>113</v>
      </c>
      <c r="BP47" s="1">
        <v>1.016974</v>
      </c>
      <c r="BW47" s="21"/>
      <c r="CA47" s="14"/>
      <c r="CB47" s="14"/>
    </row>
    <row r="48" spans="1:94" x14ac:dyDescent="0.2">
      <c r="A48" s="1" t="s">
        <v>50</v>
      </c>
      <c r="B48" s="1">
        <v>151.13999999999999</v>
      </c>
      <c r="J48" s="21">
        <f t="shared" si="73"/>
        <v>37.033115672047053</v>
      </c>
      <c r="M48" s="1">
        <f t="shared" si="74"/>
        <v>1.0210017033046719</v>
      </c>
      <c r="N48" s="14">
        <f t="shared" si="75"/>
        <v>2.4835643602045964E-3</v>
      </c>
      <c r="O48" s="14">
        <f t="shared" si="72"/>
        <v>-1.890801171170273E-2</v>
      </c>
      <c r="BO48" s="1" t="s">
        <v>40</v>
      </c>
      <c r="BP48" s="1">
        <v>6.07</v>
      </c>
      <c r="BW48" s="21"/>
      <c r="CA48" s="14"/>
      <c r="CB48" s="14"/>
    </row>
    <row r="49" spans="1:80" x14ac:dyDescent="0.2">
      <c r="A49" s="1" t="s">
        <v>102</v>
      </c>
      <c r="B49" s="1">
        <v>3.47</v>
      </c>
      <c r="J49" s="21">
        <f t="shared" si="73"/>
        <v>37.048593314919145</v>
      </c>
      <c r="M49" s="1">
        <f t="shared" si="74"/>
        <v>1.0213740569008301</v>
      </c>
      <c r="N49" s="14">
        <f t="shared" si="75"/>
        <v>2.5287025876140051E-3</v>
      </c>
      <c r="O49" s="14">
        <f t="shared" si="72"/>
        <v>-1.8892216762604736E-2</v>
      </c>
      <c r="BO49" s="1" t="s">
        <v>114</v>
      </c>
      <c r="BP49" s="1">
        <v>1.02</v>
      </c>
      <c r="BW49" s="21"/>
      <c r="CA49" s="14"/>
      <c r="CB49" s="14"/>
    </row>
    <row r="50" spans="1:80" x14ac:dyDescent="0.2">
      <c r="J50" s="21">
        <f t="shared" si="73"/>
        <v>37.058845992809431</v>
      </c>
      <c r="M50" s="1">
        <f t="shared" si="74"/>
        <v>1.021620172250876</v>
      </c>
      <c r="N50" s="14">
        <f t="shared" si="75"/>
        <v>2.5585609955769235E-3</v>
      </c>
      <c r="O50" s="14">
        <f t="shared" si="72"/>
        <v>-1.8881764790125349E-2</v>
      </c>
      <c r="BW50" s="21"/>
      <c r="CA50" s="14"/>
      <c r="CB50" s="14"/>
    </row>
    <row r="51" spans="1:80" x14ac:dyDescent="0.2">
      <c r="B51" s="1" t="s">
        <v>103</v>
      </c>
      <c r="J51" s="21"/>
      <c r="AS51" s="1" t="s">
        <v>62</v>
      </c>
      <c r="AT51" s="1">
        <v>246.36868691540607</v>
      </c>
      <c r="AU51" s="1" t="s">
        <v>63</v>
      </c>
      <c r="AV51" s="1">
        <v>5.434181546630243</v>
      </c>
    </row>
    <row r="52" spans="1:80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S52" s="1" t="s">
        <v>66</v>
      </c>
      <c r="AT52" s="1">
        <v>125.61714953553738</v>
      </c>
      <c r="AU52" s="1" t="s">
        <v>67</v>
      </c>
      <c r="AV52" s="1">
        <v>3.0905172635997236</v>
      </c>
    </row>
    <row r="53" spans="1:80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S53" s="1" t="s">
        <v>71</v>
      </c>
      <c r="AT53" s="1">
        <v>42.351506466222411</v>
      </c>
      <c r="AU53" s="1" t="s">
        <v>72</v>
      </c>
      <c r="AV53" s="1">
        <v>0.22637250016517993</v>
      </c>
    </row>
    <row r="54" spans="1:80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0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0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543-076C-4BEB-BE9F-817032EFE3FB}">
  <dimension ref="A1:EK112"/>
  <sheetViews>
    <sheetView zoomScale="92" zoomScaleNormal="100" workbookViewId="0">
      <pane xSplit="1" topLeftCell="AW1" activePane="topRight" state="frozen"/>
      <selection activeCell="BA26" sqref="BA26:BA28"/>
      <selection pane="topRight" activeCell="BG37" sqref="BG37:BH37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1" width="9.28515625" style="1" bestFit="1" customWidth="1"/>
    <col min="32" max="32" width="11.85546875" style="1" hidden="1" customWidth="1"/>
    <col min="33" max="33" width="13.5703125" style="1" hidden="1" customWidth="1"/>
    <col min="34" max="34" width="15.140625" style="1" bestFit="1" customWidth="1"/>
    <col min="35" max="35" width="15" style="1" bestFit="1" customWidth="1"/>
    <col min="36" max="36" width="21.7109375" style="1" customWidth="1"/>
    <col min="37" max="37" width="17.28515625" style="1" customWidth="1"/>
    <col min="38" max="38" width="18.28515625" style="1" customWidth="1"/>
    <col min="39" max="39" width="9.140625" style="1"/>
    <col min="40" max="40" width="13.140625" style="1" bestFit="1" customWidth="1"/>
    <col min="41" max="41" width="23.140625" style="1" bestFit="1" customWidth="1"/>
    <col min="42" max="42" width="21.85546875" style="1" bestFit="1" customWidth="1"/>
    <col min="43" max="43" width="19.140625" style="1" bestFit="1" customWidth="1"/>
    <col min="44" max="44" width="14" style="1" bestFit="1" customWidth="1"/>
    <col min="45" max="45" width="13.140625" style="1" bestFit="1" customWidth="1"/>
    <col min="46" max="46" width="15.5703125" style="1" customWidth="1"/>
    <col min="47" max="47" width="12.140625" style="1" customWidth="1"/>
    <col min="48" max="48" width="11.85546875" style="1" customWidth="1"/>
    <col min="49" max="49" width="12.5703125" style="1" customWidth="1"/>
    <col min="50" max="50" width="16.28515625" style="1" bestFit="1" customWidth="1"/>
    <col min="51" max="58" width="16.28515625" style="1" customWidth="1"/>
    <col min="59" max="59" width="11.140625" style="1" bestFit="1" customWidth="1"/>
    <col min="60" max="60" width="10.85546875" style="1" bestFit="1" customWidth="1"/>
    <col min="61" max="61" width="13.85546875" style="1" bestFit="1" customWidth="1"/>
    <col min="62" max="62" width="10.85546875" style="1" bestFit="1" customWidth="1"/>
    <col min="63" max="63" width="9.28515625" style="1" bestFit="1" customWidth="1"/>
    <col min="64" max="64" width="11.140625" style="1" bestFit="1" customWidth="1"/>
    <col min="65" max="65" width="11.140625" style="1" customWidth="1"/>
    <col min="66" max="77" width="9.28515625" style="1" bestFit="1" customWidth="1"/>
    <col min="78" max="78" width="12.140625" style="1" bestFit="1" customWidth="1"/>
    <col min="79" max="79" width="12.28515625" style="1" bestFit="1" customWidth="1"/>
    <col min="80" max="80" width="20.7109375" style="1" bestFit="1" customWidth="1"/>
    <col min="81" max="81" width="9.140625" style="1"/>
    <col min="82" max="82" width="5.5703125" style="1" customWidth="1"/>
    <col min="83" max="83" width="5.7109375" style="1" customWidth="1"/>
    <col min="84" max="84" width="4.7109375" style="1" customWidth="1"/>
    <col min="85" max="85" width="13.85546875" style="1" bestFit="1" customWidth="1"/>
    <col min="86" max="91" width="9.140625" style="1"/>
    <col min="92" max="92" width="15.42578125" style="1" bestFit="1" customWidth="1"/>
    <col min="93" max="93" width="16" style="1" bestFit="1" customWidth="1"/>
    <col min="94" max="94" width="12.7109375" style="1" bestFit="1" customWidth="1"/>
    <col min="95" max="95" width="12.7109375" style="1" customWidth="1"/>
    <col min="96" max="99" width="9.140625" style="1"/>
    <col min="100" max="100" width="16.7109375" style="1" bestFit="1" customWidth="1"/>
    <col min="101" max="16384" width="9.140625" style="1"/>
  </cols>
  <sheetData>
    <row r="1" spans="1:141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30</v>
      </c>
      <c r="AF1" s="3" t="s">
        <v>31</v>
      </c>
      <c r="AG1" s="5" t="s">
        <v>32</v>
      </c>
      <c r="AH1" s="1" t="s">
        <v>121</v>
      </c>
      <c r="AI1" s="1" t="s">
        <v>122</v>
      </c>
      <c r="AJ1" s="2" t="s">
        <v>123</v>
      </c>
      <c r="AK1" s="2" t="s">
        <v>119</v>
      </c>
      <c r="AL1" s="2" t="s">
        <v>124</v>
      </c>
      <c r="AM1" s="7"/>
      <c r="AN1" s="1" t="s">
        <v>37</v>
      </c>
      <c r="AO1" s="1" t="s">
        <v>38</v>
      </c>
      <c r="AP1" s="1" t="s">
        <v>39</v>
      </c>
      <c r="AQ1" s="3" t="s">
        <v>40</v>
      </c>
      <c r="AR1" s="1" t="s">
        <v>41</v>
      </c>
      <c r="AS1" s="1" t="s">
        <v>42</v>
      </c>
      <c r="AT1" s="1" t="s">
        <v>44</v>
      </c>
      <c r="AU1" s="1" t="s">
        <v>45</v>
      </c>
      <c r="AV1" s="1" t="s">
        <v>46</v>
      </c>
      <c r="AW1" s="1" t="s">
        <v>47</v>
      </c>
      <c r="AX1" s="75" t="s">
        <v>49</v>
      </c>
      <c r="AY1" s="75" t="s">
        <v>120</v>
      </c>
      <c r="AZ1" s="75" t="s">
        <v>146</v>
      </c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6" t="s">
        <v>27</v>
      </c>
      <c r="BN1" s="77" t="s">
        <v>28</v>
      </c>
      <c r="BO1" s="76" t="s">
        <v>30</v>
      </c>
      <c r="BP1" s="1" t="s">
        <v>121</v>
      </c>
      <c r="BQ1" s="1" t="s">
        <v>122</v>
      </c>
      <c r="BR1" s="2" t="s">
        <v>123</v>
      </c>
      <c r="BS1" s="2" t="s">
        <v>119</v>
      </c>
      <c r="BT1" s="2" t="s">
        <v>124</v>
      </c>
      <c r="BU1" s="1" t="s">
        <v>44</v>
      </c>
      <c r="BV1" s="1" t="s">
        <v>45</v>
      </c>
      <c r="BW1" s="1" t="s">
        <v>46</v>
      </c>
      <c r="BX1" s="1" t="s">
        <v>47</v>
      </c>
      <c r="BY1" s="75" t="s">
        <v>49</v>
      </c>
      <c r="BZ1" s="75" t="s">
        <v>120</v>
      </c>
      <c r="CA1" s="1" t="s">
        <v>50</v>
      </c>
      <c r="CB1" s="1" t="s">
        <v>29</v>
      </c>
      <c r="CC1" s="1" t="s">
        <v>30</v>
      </c>
      <c r="CD1" s="1" t="s">
        <v>51</v>
      </c>
      <c r="CE1" s="1" t="s">
        <v>52</v>
      </c>
      <c r="CF1" s="3" t="s">
        <v>53</v>
      </c>
      <c r="CG1" s="3" t="s">
        <v>54</v>
      </c>
      <c r="CH1" s="3" t="s">
        <v>55</v>
      </c>
      <c r="CJ1" s="1" t="s">
        <v>57</v>
      </c>
      <c r="CK1" s="1" t="s">
        <v>58</v>
      </c>
      <c r="CL1" s="1" t="s">
        <v>59</v>
      </c>
      <c r="CM1" s="8"/>
      <c r="CQ1" s="9"/>
      <c r="CR1" s="3"/>
      <c r="CS1" s="3"/>
      <c r="CU1" s="10"/>
    </row>
    <row r="2" spans="1:141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2">(1-((V2/$B$40)^0.66666667))/2</f>
        <v>0</v>
      </c>
      <c r="Y2" s="12" t="e">
        <f>(SQRT((Q2/M2)^2 + (0.0002/F2)^2))*#REF!</f>
        <v>#REF!</v>
      </c>
      <c r="Z2" s="12">
        <f t="shared" ref="Z2:Z23" si="3">SQRT((Q2/M2)^2 + (0.0002/G2)^2)*AE2</f>
        <v>4.1065127806317742E-3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4">
        <f>2*0.712/G2</f>
        <v>2.7870913663034367</v>
      </c>
      <c r="AF2" s="14">
        <f t="shared" ref="AF2:AF23" si="4">V2*AD2^2</f>
        <v>55.052569320410058</v>
      </c>
      <c r="AG2" s="14">
        <f t="shared" ref="AG2:AG23" si="5">V2*AC2*AC2</f>
        <v>214.17303527656995</v>
      </c>
      <c r="AH2" s="14">
        <f t="shared" ref="AH2:AH23" si="6">V2*AC2^2</f>
        <v>214.17303527656995</v>
      </c>
      <c r="AI2" s="14">
        <f t="shared" ref="AI2:AI23" si="7">V2*AD2^2</f>
        <v>55.052569320410058</v>
      </c>
      <c r="AJ2" s="14">
        <f t="shared" ref="AJ2:AJ23" si="8">V2*AE2^2</f>
        <v>47.306378750310031</v>
      </c>
      <c r="AK2" s="14">
        <f>AH2-AI2-AJ2</f>
        <v>111.81408720584984</v>
      </c>
      <c r="AL2" s="14">
        <f>3*AI2+AK2-AJ2</f>
        <v>229.66541641676997</v>
      </c>
      <c r="AM2" s="7"/>
      <c r="AN2" s="12">
        <f>M2</f>
        <v>0.70399999999999996</v>
      </c>
      <c r="AO2" s="14">
        <f t="shared" ref="AO2:AO23" si="9">AN2^3</f>
        <v>0.34891366399999996</v>
      </c>
      <c r="AP2" s="14">
        <f>$AO$2/AO2</f>
        <v>1</v>
      </c>
      <c r="AQ2" s="11">
        <v>6.09</v>
      </c>
      <c r="AR2" s="14">
        <f t="shared" ref="AR2:AR23" si="10">-3*$AS$25*((1-2*AS2)^2.5)*(1+3*(4-$AU$25)*AS2/2)*AS2</f>
        <v>0</v>
      </c>
      <c r="AS2" s="14">
        <f t="shared" ref="AS2:AS23" si="11">0.5*(1-AP2^0.666666667)</f>
        <v>0</v>
      </c>
      <c r="AT2" s="89">
        <f>(1-2*AS2)^(3.5)*($AS$26-$AW$26*AS2)+AR2*3</f>
        <v>239.89360432346049</v>
      </c>
      <c r="AU2" s="89">
        <f>(1-2*AS2)^(3.5)*($AS$28-$AW$28*AS2)+AR2*1</f>
        <v>46.221889892405528</v>
      </c>
      <c r="AV2" s="89">
        <f>(1-2*AS2)^(3.5)*($AS$27-$AW$27*AS2)+AR2*1</f>
        <v>122.04281469011407</v>
      </c>
      <c r="AW2" s="14">
        <f>AT2-AL2</f>
        <v>10.228187906690522</v>
      </c>
      <c r="AX2" s="14">
        <f>AU2-AJ2</f>
        <v>-1.0844888579045033</v>
      </c>
      <c r="AY2" s="14">
        <f>AV2-AK2</f>
        <v>10.228727484264226</v>
      </c>
      <c r="AZ2" s="11">
        <f>AR2-A2</f>
        <v>0</v>
      </c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v>0.70399999999999996</v>
      </c>
      <c r="BG2" s="14">
        <f t="shared" ref="BG2:BG23" si="12">BF2^3</f>
        <v>0.34891366399999996</v>
      </c>
      <c r="BH2" s="14">
        <f t="shared" ref="BH2:BH23" si="13">$BG$2/BG2</f>
        <v>1</v>
      </c>
      <c r="BI2" s="11">
        <v>6.09</v>
      </c>
      <c r="BJ2" s="11">
        <f t="shared" ref="BJ2:BJ23" si="14">-3*$BH$36*((1-2*BK2)^2.5)*(1+3*(4-$BH$37)*BK2/2)*BK2</f>
        <v>0</v>
      </c>
      <c r="BK2" s="12">
        <f t="shared" ref="BK2:BK23" si="15">0.5*(1-BH2^0.666666667)</f>
        <v>0</v>
      </c>
      <c r="BL2" s="11">
        <f t="shared" ref="BL2:BL23" si="16">BJ2-E2</f>
        <v>0</v>
      </c>
      <c r="BM2" s="14">
        <f>2*0.712/BD2</f>
        <v>5.9302602040809917</v>
      </c>
      <c r="BN2" s="14">
        <f t="shared" ref="BN2" si="17">2*0.712/BE2</f>
        <v>3.0066311311313236</v>
      </c>
      <c r="BO2" s="14">
        <f>2*0.712/BC2</f>
        <v>2.7870913663034367</v>
      </c>
      <c r="BP2" s="14">
        <f>BI2*BM2^2</f>
        <v>214.17303527656995</v>
      </c>
      <c r="BQ2" s="14">
        <f>BI2*BN2^2</f>
        <v>55.052569320410058</v>
      </c>
      <c r="BR2" s="14">
        <f>BI2*BO2^2</f>
        <v>47.306378750310031</v>
      </c>
      <c r="BS2" s="14">
        <f>BP2-BQ2-BR2</f>
        <v>111.81408720584984</v>
      </c>
      <c r="BT2" s="14">
        <f>3*BQ2+BS2-BR2</f>
        <v>229.66541641676997</v>
      </c>
      <c r="BU2" s="18">
        <f t="shared" ref="BU2:BU23" si="18">(1-2*BK2)^(3.5)*($BH$25-$BL$25*BK2)+BJ2*3</f>
        <v>239.51038215113027</v>
      </c>
      <c r="BV2" s="18">
        <f t="shared" ref="BV2:BV23" si="19">(1-2*BK2)^(3.5)*($BH$27-$BL$27*BK2)+BJ2*1</f>
        <v>46.243127025353878</v>
      </c>
      <c r="BW2" s="18">
        <f t="shared" ref="BW2:BW23" si="20">(1-2*BK2)^(3.5)*($BH$26-$BL$26*BK2)+BJ2*1</f>
        <v>121.79137885339955</v>
      </c>
      <c r="BX2" s="11">
        <f>BU2-BT2</f>
        <v>9.8449657343603008</v>
      </c>
      <c r="BY2" s="11">
        <f>BV2-BR2</f>
        <v>-1.0632517249561531</v>
      </c>
      <c r="BZ2" s="11">
        <f>BW2-BS2</f>
        <v>9.9772916475497055</v>
      </c>
      <c r="CA2" s="11">
        <f t="shared" ref="CA2:CA23" si="21">(BU2+2*BW2)/3</f>
        <v>161.03104661930979</v>
      </c>
      <c r="CB2" s="11">
        <f t="shared" ref="CB2:CB23" si="22">SQRT(BU2/BI2)</f>
        <v>6.2712415019320575</v>
      </c>
      <c r="CC2" s="11">
        <f t="shared" ref="CC2:CC23" si="23">SQRT(BV2/BI2)</f>
        <v>2.7555922248965512</v>
      </c>
      <c r="CD2" s="11">
        <f t="shared" ref="CD2:CD23" si="24">SQRT((0.33333334*(BU2+2*BW2+4*BV2))/BI2)</f>
        <v>6.0470046293555182</v>
      </c>
      <c r="CE2" s="11">
        <f t="shared" ref="CE2:CE23" si="25">SQRT((0.3333334*(BU2-BW2+BV2))/BI2)</f>
        <v>2.9957291540633704</v>
      </c>
      <c r="CF2" s="11">
        <f t="shared" ref="CF2:CF23" si="26">(BU2-BW2+3*BV2)/5</f>
        <v>51.28967687475847</v>
      </c>
      <c r="CG2" s="11">
        <f t="shared" ref="CG2:CG23" si="27">((5*(BU2-BW2)*BV2)/(3*(BU2-BW2)+4*BV2))</f>
        <v>50.579782754544624</v>
      </c>
      <c r="CH2" s="11">
        <f t="shared" ref="CH2:CH23" si="28">(CF2+CG2)/2</f>
        <v>50.934729814651547</v>
      </c>
      <c r="CI2" s="14"/>
      <c r="CJ2" s="14">
        <f t="shared" ref="CJ2:CJ23" si="29">CC2-AE2</f>
        <v>-3.1499141406885478E-2</v>
      </c>
      <c r="CK2" s="14">
        <f t="shared" ref="CK2:CK23" si="30">CD2-AC2</f>
        <v>0.11674442527452644</v>
      </c>
      <c r="CL2" s="14">
        <f t="shared" ref="CL2:CL23" si="31">CE2-AD2</f>
        <v>-1.0901977067953261E-2</v>
      </c>
      <c r="CM2" s="19"/>
      <c r="CN2" s="12"/>
      <c r="CO2" s="12"/>
      <c r="CR2" s="17"/>
      <c r="CS2" s="20"/>
      <c r="CT2" s="20"/>
      <c r="CU2" s="21"/>
      <c r="DB2" s="14"/>
      <c r="DC2" s="14"/>
      <c r="DD2" s="14"/>
      <c r="DE2" s="14"/>
      <c r="DJ2" s="12"/>
      <c r="DR2" s="1" t="s">
        <v>61</v>
      </c>
      <c r="EK2" s="1">
        <v>0</v>
      </c>
    </row>
    <row r="3" spans="1:141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si="0"/>
        <v>7.6468795705802312E-2</v>
      </c>
      <c r="K3" s="13">
        <f t="shared" ref="K3:K23" si="32">(J3*(E3-E2)+0.5*(E3-E2)*(J2-J3))</f>
        <v>1.0214304272293568E-2</v>
      </c>
      <c r="L3" s="13">
        <f>SUM(K$3:$K3)</f>
        <v>1.0214304272293568E-2</v>
      </c>
      <c r="M3" s="72">
        <f>$B$38/((L3*$B$43+1))</f>
        <v>0.70379815271771839</v>
      </c>
      <c r="N3" s="12">
        <f t="shared" ref="N3:N23" si="33">(6*F3*G3*SQRT(9*(G3^6)*(0.0002^2)+16*(F3^6)*(0.0002)^2))/((4*F3^2 - 3*G3^2)^2)</f>
        <v>1.6605783510823934E-4</v>
      </c>
      <c r="O3" s="21">
        <f t="shared" ref="O3:O23" si="34">(((E3-E2)/2)^2)*(N3^2+N4^2)</f>
        <v>2.216109036549626E-10</v>
      </c>
      <c r="P3" s="11">
        <f>SUM(O$2:$O3)</f>
        <v>2.216109036549626E-10</v>
      </c>
      <c r="Q3" s="12">
        <f t="shared" ref="Q3:Q23" si="35">SQRT(((M30*0.001)^2)+((N30*0.02)^2)+((O30*P3)^2))</f>
        <v>1.0002867699955033E-3</v>
      </c>
      <c r="R3" s="3">
        <f t="shared" si="1"/>
        <v>0.3486136338116016</v>
      </c>
      <c r="S3" s="1">
        <f t="shared" ref="S3:S23" si="36">3*Q3/M3*R3</f>
        <v>1.4864216582350079E-3</v>
      </c>
      <c r="T3" s="1">
        <f t="shared" ref="T3:T23" si="37">R3/$R$2</f>
        <v>0.99914010192390068</v>
      </c>
      <c r="U3" s="1">
        <f t="shared" ref="U3:U23" si="38">T3*3*SQRT((Q3/M3)^2)+(0.001/$M$2)^2</f>
        <v>4.2621594155596281E-3</v>
      </c>
      <c r="V3" s="11">
        <f t="shared" ref="V3:V23" si="39">$B$40/((M3/$B$38)^3)</f>
        <v>6.0952412862554119</v>
      </c>
      <c r="W3" s="12">
        <f t="shared" ref="W3:W23" si="40">(SQRT((0.02/$V$2)^2+(9*(0.001/$M$2)^2)+(9*(Q3/M3)^2))*V3)</f>
        <v>4.1842138068044897E-2</v>
      </c>
      <c r="X3" s="13">
        <f t="shared" si="2"/>
        <v>-2.868382463369068E-4</v>
      </c>
      <c r="Y3" s="12" t="e">
        <f>(SQRT((Q3/M3)^2 + (0.0002/F3)^2))*#REF!</f>
        <v>#REF!</v>
      </c>
      <c r="Z3" s="12">
        <f t="shared" si="3"/>
        <v>4.0930512505757922E-3</v>
      </c>
      <c r="AA3" s="12">
        <f t="shared" ref="AA3:AA23" si="41">SQRT((Q3/M3)^2 + (0.0002/H3)^2)*AC3</f>
        <v>9.9751605900456845E-3</v>
      </c>
      <c r="AB3" s="12">
        <f t="shared" ref="AB3:AB23" si="42">SQRT((Q3/M3)^2 + (0.0002/I3)^2)*AD3</f>
        <v>4.3422247474054123E-3</v>
      </c>
      <c r="AC3" s="14">
        <f t="shared" ref="AC3:AC23" si="43">2*M3/H3</f>
        <v>6.0148239739643765</v>
      </c>
      <c r="AD3" s="1">
        <f t="shared" ref="AD3:AD23" si="44">2*M3/I3</f>
        <v>2.9318349829423505</v>
      </c>
      <c r="AE3" s="14">
        <f t="shared" ref="AE3:AE23" si="45">2*M3/G3</f>
        <v>2.7750452180356793</v>
      </c>
      <c r="AF3" s="14">
        <f t="shared" si="4"/>
        <v>52.392599571849523</v>
      </c>
      <c r="AG3" s="14">
        <f t="shared" si="5"/>
        <v>220.51429411332001</v>
      </c>
      <c r="AH3" s="14">
        <f t="shared" si="6"/>
        <v>220.51429411332003</v>
      </c>
      <c r="AI3" s="14">
        <f t="shared" si="7"/>
        <v>52.392599571849523</v>
      </c>
      <c r="AJ3" s="14">
        <f t="shared" si="8"/>
        <v>46.938697104783998</v>
      </c>
      <c r="AK3" s="14">
        <f t="shared" ref="AK3:AK23" si="46">AH3-AI3-AJ3</f>
        <v>121.18299743668651</v>
      </c>
      <c r="AL3" s="14">
        <f t="shared" ref="AL3:AL23" si="47">3*AI3+AK3-AJ3</f>
        <v>231.42209904745107</v>
      </c>
      <c r="AM3" s="7"/>
      <c r="AN3" s="12">
        <f t="shared" ref="AN3:AN23" si="48">M3</f>
        <v>0.70379815271771839</v>
      </c>
      <c r="AO3" s="14">
        <f t="shared" si="9"/>
        <v>0.3486136338116016</v>
      </c>
      <c r="AP3" s="14">
        <f t="shared" ref="AP3:AP23" si="49">$AO$2/AO3</f>
        <v>1.0008606381371776</v>
      </c>
      <c r="AQ3" s="11">
        <f>$AQ$2/((AN3/$AN$2)^3)</f>
        <v>6.0952412862554119</v>
      </c>
      <c r="AR3" s="14">
        <f t="shared" si="10"/>
        <v>0.13901184132402275</v>
      </c>
      <c r="AS3" s="14">
        <f t="shared" si="11"/>
        <v>-2.8683824504582844E-4</v>
      </c>
      <c r="AT3" s="89">
        <f t="shared" ref="AT3:AT23" si="50">(1-2*AS3)^(3.5)*($AS$26-$AW$26*AS3)+AR3*3</f>
        <v>240.64165496236541</v>
      </c>
      <c r="AU3" s="89">
        <f t="shared" ref="AU3:AU23" si="51">(1-2*AS3)^(3.5)*($AS$28-$AW$28*AS3)+AR3*1</f>
        <v>46.262168313199837</v>
      </c>
      <c r="AV3" s="89">
        <f t="shared" ref="AV3:AV23" si="52">(1-2*AS3)^(3.5)*($AS$27-$AW$27*AS3)+AR3*1</f>
        <v>122.46383697461917</v>
      </c>
      <c r="AW3" s="14">
        <f t="shared" ref="AW3:AW23" si="53">AT3-AL3</f>
        <v>9.2195559149143378</v>
      </c>
      <c r="AX3" s="14">
        <f t="shared" ref="AX3:AX23" si="54">AU3-AJ3</f>
        <v>-0.67652879158416113</v>
      </c>
      <c r="AY3" s="14">
        <f t="shared" ref="AY3:AY23" si="55">AV3-AK3</f>
        <v>1.280839537932664</v>
      </c>
      <c r="AZ3" s="11">
        <f t="shared" ref="AZ3:AZ23" si="56">AR3-A3</f>
        <v>9.8789332047474199E-3</v>
      </c>
      <c r="BA3" s="2"/>
      <c r="BB3" s="12">
        <v>0.22474572005565327</v>
      </c>
      <c r="BC3" s="12">
        <v>0.50723364660407455</v>
      </c>
      <c r="BD3" s="12">
        <f t="shared" ref="BD3:BD23" si="57">C3*$BF$2/0.607</f>
        <v>0.23402119688428533</v>
      </c>
      <c r="BE3" s="12">
        <f t="shared" ref="BE3:BE23" si="58">D3*$BF$2/0.607</f>
        <v>0.48010761643303401</v>
      </c>
      <c r="BF3" s="12">
        <v>0.70379815271771839</v>
      </c>
      <c r="BG3" s="14">
        <f t="shared" si="12"/>
        <v>0.3486136338116016</v>
      </c>
      <c r="BH3" s="14">
        <f t="shared" si="13"/>
        <v>1.0008606381371776</v>
      </c>
      <c r="BI3" s="11">
        <f t="shared" ref="BI3:BI23" si="59">$BI$2/((BF3/$BF$2)^3)</f>
        <v>6.0952412862554119</v>
      </c>
      <c r="BJ3" s="11">
        <f t="shared" si="14"/>
        <v>0.13876325914810042</v>
      </c>
      <c r="BK3" s="12">
        <f t="shared" si="15"/>
        <v>-2.8683824504582844E-4</v>
      </c>
      <c r="BL3" s="11">
        <f t="shared" si="16"/>
        <v>9.6303510288250904E-3</v>
      </c>
      <c r="BM3" s="14">
        <f>2*BF3/BD3</f>
        <v>6.0148239739643765</v>
      </c>
      <c r="BN3" s="14">
        <f>2*BF3/BE3</f>
        <v>2.9318349829423505</v>
      </c>
      <c r="BO3" s="14">
        <f>2*BF3/BC3</f>
        <v>2.7750452180356793</v>
      </c>
      <c r="BP3" s="14">
        <f t="shared" ref="BP3:BP23" si="60">BI3*BM3^2</f>
        <v>220.51429411332003</v>
      </c>
      <c r="BQ3" s="14">
        <f t="shared" ref="BQ3:BQ23" si="61">BI3*BN3^2</f>
        <v>52.392599571849523</v>
      </c>
      <c r="BR3" s="14">
        <f t="shared" ref="BR3:BR23" si="62">BI3*BO3^2</f>
        <v>46.938697104783998</v>
      </c>
      <c r="BS3" s="14">
        <f t="shared" ref="BS3:BS23" si="63">BP3-BQ3-BR3</f>
        <v>121.18299743668651</v>
      </c>
      <c r="BT3" s="14">
        <f t="shared" ref="BT3:BT23" si="64">3*BQ3+BS3-BR3</f>
        <v>231.42209904745107</v>
      </c>
      <c r="BU3" s="18">
        <f t="shared" si="18"/>
        <v>240.27533560732385</v>
      </c>
      <c r="BV3" s="18">
        <f t="shared" si="19"/>
        <v>46.282906049340838</v>
      </c>
      <c r="BW3" s="18">
        <f t="shared" si="20"/>
        <v>122.22318675006916</v>
      </c>
      <c r="BX3" s="11">
        <f t="shared" ref="BX3:BX23" si="65">BU3-BT3</f>
        <v>8.8532365598727836</v>
      </c>
      <c r="BY3" s="11">
        <f t="shared" ref="BY3:BY23" si="66">BV3-BR3</f>
        <v>-0.65579105544316008</v>
      </c>
      <c r="BZ3" s="11">
        <f t="shared" ref="BZ3:BZ23" si="67">BW3-BS3</f>
        <v>1.0401893133826547</v>
      </c>
      <c r="CA3" s="11">
        <f t="shared" si="21"/>
        <v>161.57390303582073</v>
      </c>
      <c r="CB3" s="11">
        <f t="shared" si="22"/>
        <v>6.278546934649075</v>
      </c>
      <c r="CC3" s="11">
        <f t="shared" si="23"/>
        <v>2.7555916421769733</v>
      </c>
      <c r="CD3" s="11">
        <f t="shared" si="24"/>
        <v>6.0524859123866168</v>
      </c>
      <c r="CE3" s="11">
        <f t="shared" si="25"/>
        <v>2.9978442934301275</v>
      </c>
      <c r="CF3" s="11">
        <f t="shared" si="26"/>
        <v>51.380173401055437</v>
      </c>
      <c r="CG3" s="11">
        <f t="shared" si="27"/>
        <v>50.657494673400663</v>
      </c>
      <c r="CH3" s="11">
        <f t="shared" si="28"/>
        <v>51.018834037228046</v>
      </c>
      <c r="CI3" s="14"/>
      <c r="CJ3" s="14">
        <f t="shared" si="29"/>
        <v>-1.9453575858705996E-2</v>
      </c>
      <c r="CK3" s="14">
        <f t="shared" si="30"/>
        <v>3.7661938422240304E-2</v>
      </c>
      <c r="CL3" s="14">
        <f t="shared" si="31"/>
        <v>6.6009310487777029E-2</v>
      </c>
      <c r="CM3" s="19"/>
      <c r="CN3" s="12"/>
      <c r="CO3" s="12"/>
      <c r="CR3" s="17"/>
      <c r="CS3" s="20"/>
      <c r="CT3" s="20"/>
      <c r="CU3" s="21"/>
      <c r="DB3" s="14"/>
      <c r="DC3" s="14"/>
      <c r="DD3" s="14"/>
      <c r="DE3" s="14"/>
      <c r="DJ3" s="12"/>
    </row>
    <row r="4" spans="1:141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8">C4*0.704/0.607</f>
        <v>0.23045788397015871</v>
      </c>
      <c r="I4" s="12">
        <f t="shared" ref="I4:I23" si="69">D4*0.704/0.607</f>
        <v>0.46884969357888606</v>
      </c>
      <c r="J4" s="12">
        <f t="shared" si="0"/>
        <v>7.3434797024003337E-2</v>
      </c>
      <c r="K4" s="13">
        <f t="shared" si="32"/>
        <v>0.11291867338925345</v>
      </c>
      <c r="L4" s="13">
        <f>SUM(K$3:$K4)</f>
        <v>0.12313297766154702</v>
      </c>
      <c r="M4" s="72">
        <f t="shared" ref="M4:M23" si="70">$B$38/((L4*$B$43+1))</f>
        <v>0.7015744282501758</v>
      </c>
      <c r="N4" s="12">
        <f t="shared" si="33"/>
        <v>1.5994952484815503E-4</v>
      </c>
      <c r="O4" s="21">
        <f t="shared" si="34"/>
        <v>2.8357893464738583E-8</v>
      </c>
      <c r="P4" s="11">
        <f>SUM(O$2:$O4)</f>
        <v>2.8579504368393547E-8</v>
      </c>
      <c r="Q4" s="12">
        <f t="shared" si="35"/>
        <v>1.0034530730849299E-3</v>
      </c>
      <c r="R4" s="3">
        <f t="shared" si="1"/>
        <v>0.34531961896155083</v>
      </c>
      <c r="S4" s="1">
        <f t="shared" si="36"/>
        <v>1.4817189120236367E-3</v>
      </c>
      <c r="T4" s="1">
        <f t="shared" si="37"/>
        <v>0.98969932848932762</v>
      </c>
      <c r="U4" s="1">
        <f t="shared" si="38"/>
        <v>4.2486811637839367E-3</v>
      </c>
      <c r="V4" s="11">
        <f t="shared" si="39"/>
        <v>6.1533839871304625</v>
      </c>
      <c r="W4" s="12">
        <f t="shared" si="40"/>
        <v>4.2344872735731051E-2</v>
      </c>
      <c r="X4" s="13">
        <f t="shared" si="2"/>
        <v>-3.46330290946395E-3</v>
      </c>
      <c r="Y4" s="12" t="e">
        <f>(SQRT((Q4/M4)^2 + (0.0002/F4)^2))*#REF!</f>
        <v>#REF!</v>
      </c>
      <c r="Z4" s="12">
        <f t="shared" si="3"/>
        <v>4.1163273542916814E-3</v>
      </c>
      <c r="AA4" s="12">
        <f t="shared" si="41"/>
        <v>1.0185986092241757E-2</v>
      </c>
      <c r="AB4" s="12">
        <f t="shared" si="42"/>
        <v>4.4668091958176169E-3</v>
      </c>
      <c r="AC4" s="14">
        <f t="shared" si="43"/>
        <v>6.0885261650759626</v>
      </c>
      <c r="AD4" s="1">
        <f t="shared" si="44"/>
        <v>2.9927477307058652</v>
      </c>
      <c r="AE4" s="14">
        <f t="shared" si="45"/>
        <v>2.7739334184675584</v>
      </c>
      <c r="AF4" s="14">
        <f t="shared" si="4"/>
        <v>55.113023537458012</v>
      </c>
      <c r="AG4" s="14">
        <f t="shared" si="5"/>
        <v>228.10687271975388</v>
      </c>
      <c r="AH4" s="14">
        <f t="shared" si="6"/>
        <v>228.10687271975391</v>
      </c>
      <c r="AI4" s="14">
        <f t="shared" si="7"/>
        <v>55.113023537458012</v>
      </c>
      <c r="AJ4" s="14">
        <f t="shared" si="8"/>
        <v>47.348484440201588</v>
      </c>
      <c r="AK4" s="14">
        <f t="shared" si="46"/>
        <v>125.6453647420943</v>
      </c>
      <c r="AL4" s="14">
        <f t="shared" si="47"/>
        <v>243.63595091426677</v>
      </c>
      <c r="AM4" s="7"/>
      <c r="AN4" s="12">
        <f t="shared" si="48"/>
        <v>0.7015744282501758</v>
      </c>
      <c r="AO4" s="14">
        <f t="shared" si="9"/>
        <v>0.34531961896155083</v>
      </c>
      <c r="AP4" s="14">
        <f t="shared" si="49"/>
        <v>1.0104078796601745</v>
      </c>
      <c r="AQ4" s="11">
        <f t="shared" ref="AQ4:AQ23" si="71">$AQ$2/((AN4/$AN$2)^3)</f>
        <v>6.1533839871304625</v>
      </c>
      <c r="AR4" s="14">
        <f t="shared" si="10"/>
        <v>1.7036992728231735</v>
      </c>
      <c r="AS4" s="14">
        <f t="shared" si="11"/>
        <v>-3.4633028938252375E-3</v>
      </c>
      <c r="AT4" s="89">
        <f t="shared" si="50"/>
        <v>249.0069169997135</v>
      </c>
      <c r="AU4" s="89">
        <f t="shared" si="51"/>
        <v>46.69058699807465</v>
      </c>
      <c r="AV4" s="89">
        <f t="shared" si="52"/>
        <v>127.18505899087354</v>
      </c>
      <c r="AW4" s="14">
        <f t="shared" si="53"/>
        <v>5.3709660854467245</v>
      </c>
      <c r="AX4" s="14">
        <f t="shared" si="54"/>
        <v>-0.6578974421269379</v>
      </c>
      <c r="AY4" s="14">
        <f t="shared" si="55"/>
        <v>1.5396942487792415</v>
      </c>
      <c r="AZ4" s="11">
        <f t="shared" si="56"/>
        <v>6.8015769978871488E-2</v>
      </c>
      <c r="BA4" s="2"/>
      <c r="BB4" s="12">
        <v>0.22094572005565327</v>
      </c>
      <c r="BC4" s="12">
        <v>0.50583364660407459</v>
      </c>
      <c r="BD4" s="12">
        <f t="shared" si="57"/>
        <v>0.23045788397015871</v>
      </c>
      <c r="BE4" s="12">
        <f t="shared" si="58"/>
        <v>0.46884969357888606</v>
      </c>
      <c r="BF4" s="12">
        <v>0.7015744282501758</v>
      </c>
      <c r="BG4" s="14">
        <f t="shared" si="12"/>
        <v>0.34531961896155083</v>
      </c>
      <c r="BH4" s="14">
        <f t="shared" si="13"/>
        <v>1.0104078796601745</v>
      </c>
      <c r="BI4" s="11">
        <f t="shared" si="59"/>
        <v>6.1533839871304625</v>
      </c>
      <c r="BJ4" s="11">
        <f t="shared" si="14"/>
        <v>1.701458006487701</v>
      </c>
      <c r="BK4" s="12">
        <f t="shared" si="15"/>
        <v>-3.4633028938252375E-3</v>
      </c>
      <c r="BL4" s="11">
        <f t="shared" si="16"/>
        <v>6.5774503643398985E-2</v>
      </c>
      <c r="BM4" s="14">
        <f t="shared" ref="BM4:BM23" si="72">2*BF4/BD4</f>
        <v>6.0885261650759626</v>
      </c>
      <c r="BN4" s="14">
        <f t="shared" ref="BN4:BN23" si="73">2*BF4/BE4</f>
        <v>2.9927477307058652</v>
      </c>
      <c r="BO4" s="14">
        <f t="shared" ref="BO4:BO23" si="74">2*BF4/BC4</f>
        <v>2.7739334184675584</v>
      </c>
      <c r="BP4" s="14">
        <f t="shared" si="60"/>
        <v>228.10687271975391</v>
      </c>
      <c r="BQ4" s="14">
        <f t="shared" si="61"/>
        <v>55.113023537458012</v>
      </c>
      <c r="BR4" s="14">
        <f t="shared" si="62"/>
        <v>47.348484440201588</v>
      </c>
      <c r="BS4" s="14">
        <f t="shared" si="63"/>
        <v>125.6453647420943</v>
      </c>
      <c r="BT4" s="14">
        <f t="shared" si="64"/>
        <v>243.63595091426677</v>
      </c>
      <c r="BU4" s="18">
        <f t="shared" si="18"/>
        <v>248.83496818030483</v>
      </c>
      <c r="BV4" s="18">
        <f t="shared" si="19"/>
        <v>46.706479242958245</v>
      </c>
      <c r="BW4" s="18">
        <f t="shared" si="20"/>
        <v>127.067681709696</v>
      </c>
      <c r="BX4" s="11">
        <f t="shared" si="65"/>
        <v>5.1990172660380551</v>
      </c>
      <c r="BY4" s="11">
        <f t="shared" si="66"/>
        <v>-0.64200519724334271</v>
      </c>
      <c r="BZ4" s="11">
        <f t="shared" si="67"/>
        <v>1.4223169676017022</v>
      </c>
      <c r="CA4" s="11">
        <f t="shared" si="21"/>
        <v>167.65677719989893</v>
      </c>
      <c r="CB4" s="11">
        <f t="shared" si="22"/>
        <v>6.3591445463751715</v>
      </c>
      <c r="CC4" s="11">
        <f t="shared" si="23"/>
        <v>2.7550631444417917</v>
      </c>
      <c r="CD4" s="11">
        <f t="shared" si="24"/>
        <v>6.1128365374989944</v>
      </c>
      <c r="CE4" s="11">
        <f t="shared" si="25"/>
        <v>3.0209848630130414</v>
      </c>
      <c r="CF4" s="11">
        <f t="shared" si="26"/>
        <v>52.377344839896715</v>
      </c>
      <c r="CG4" s="11">
        <f t="shared" si="27"/>
        <v>51.503668908507031</v>
      </c>
      <c r="CH4" s="11">
        <f t="shared" si="28"/>
        <v>51.940506874201873</v>
      </c>
      <c r="CI4" s="14"/>
      <c r="CJ4" s="14">
        <f t="shared" si="29"/>
        <v>-1.8870274025766687E-2</v>
      </c>
      <c r="CK4" s="14">
        <f t="shared" si="30"/>
        <v>2.4310372423031801E-2</v>
      </c>
      <c r="CL4" s="14">
        <f t="shared" si="31"/>
        <v>2.8237132307176172E-2</v>
      </c>
      <c r="CM4" s="19"/>
      <c r="CN4" s="12"/>
      <c r="CO4" s="12"/>
      <c r="CR4" s="17"/>
      <c r="CS4" s="20"/>
      <c r="CT4" s="20"/>
      <c r="CU4" s="21"/>
      <c r="DB4" s="14"/>
      <c r="DC4" s="14"/>
      <c r="DD4" s="14"/>
      <c r="DE4" s="14"/>
      <c r="DJ4" s="12"/>
    </row>
    <row r="5" spans="1:141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8"/>
        <v>0.22862378849011855</v>
      </c>
      <c r="I5" s="12">
        <f t="shared" si="69"/>
        <v>0.46500793877458718</v>
      </c>
      <c r="J5" s="12">
        <f t="shared" si="0"/>
        <v>7.1834787269226374E-2</v>
      </c>
      <c r="K5" s="13">
        <f t="shared" si="32"/>
        <v>6.2530279603549899E-2</v>
      </c>
      <c r="L5" s="13">
        <f>SUM(K$3:$K5)</f>
        <v>0.18566325726509691</v>
      </c>
      <c r="M5" s="72">
        <f t="shared" si="70"/>
        <v>0.700349044840749</v>
      </c>
      <c r="N5" s="12">
        <f t="shared" si="33"/>
        <v>1.5618171297467797E-4</v>
      </c>
      <c r="O5" s="21">
        <f t="shared" si="34"/>
        <v>8.8434243448866546E-9</v>
      </c>
      <c r="P5" s="11">
        <f>SUM(O$2:$O5)</f>
        <v>3.7422928713280205E-8</v>
      </c>
      <c r="Q5" s="12">
        <f t="shared" si="35"/>
        <v>1.0052029970622424E-3</v>
      </c>
      <c r="R5" s="3">
        <f t="shared" si="1"/>
        <v>0.34351335180625775</v>
      </c>
      <c r="S5" s="1">
        <f t="shared" si="36"/>
        <v>1.4791223889442043E-3</v>
      </c>
      <c r="T5" s="1">
        <f t="shared" si="37"/>
        <v>0.98452249725094687</v>
      </c>
      <c r="U5" s="1">
        <f t="shared" si="38"/>
        <v>4.2412394286289821E-3</v>
      </c>
      <c r="V5" s="11">
        <f t="shared" si="39"/>
        <v>6.1857398048342489</v>
      </c>
      <c r="W5" s="12">
        <f t="shared" si="40"/>
        <v>4.2625461615122595E-2</v>
      </c>
      <c r="X5" s="13">
        <f t="shared" si="2"/>
        <v>-5.2266387910415713E-3</v>
      </c>
      <c r="Y5" s="12" t="e">
        <f>(SQRT((Q5/M5)^2 + (0.0002/F5)^2))*#REF!</f>
        <v>#REF!</v>
      </c>
      <c r="Z5" s="12">
        <f t="shared" si="3"/>
        <v>4.1224874382217429E-3</v>
      </c>
      <c r="AA5" s="12">
        <f t="shared" si="41"/>
        <v>1.0298110158782171E-2</v>
      </c>
      <c r="AB5" s="12">
        <f t="shared" si="42"/>
        <v>4.5133203912659792E-3</v>
      </c>
      <c r="AC5" s="14">
        <f t="shared" si="43"/>
        <v>6.1266506820310092</v>
      </c>
      <c r="AD5" s="1">
        <f t="shared" si="44"/>
        <v>3.0122025300744104</v>
      </c>
      <c r="AE5" s="14">
        <f t="shared" si="45"/>
        <v>2.7690884129300528</v>
      </c>
      <c r="AF5" s="14">
        <f t="shared" si="4"/>
        <v>56.125469366935512</v>
      </c>
      <c r="AG5" s="14">
        <f t="shared" si="5"/>
        <v>232.18699266725477</v>
      </c>
      <c r="AH5" s="14">
        <f t="shared" si="6"/>
        <v>232.18699266725477</v>
      </c>
      <c r="AI5" s="14">
        <f t="shared" si="7"/>
        <v>56.125469366935512</v>
      </c>
      <c r="AJ5" s="14">
        <f t="shared" si="8"/>
        <v>47.431328912856969</v>
      </c>
      <c r="AK5" s="14">
        <f t="shared" si="46"/>
        <v>128.6301943874623</v>
      </c>
      <c r="AL5" s="14">
        <f t="shared" si="47"/>
        <v>249.5752735754119</v>
      </c>
      <c r="AM5" s="7"/>
      <c r="AN5" s="12">
        <f t="shared" si="48"/>
        <v>0.700349044840749</v>
      </c>
      <c r="AO5" s="14">
        <f t="shared" si="9"/>
        <v>0.34351335180625775</v>
      </c>
      <c r="AP5" s="14">
        <f t="shared" si="49"/>
        <v>1.0157208218118636</v>
      </c>
      <c r="AQ5" s="11">
        <f t="shared" si="71"/>
        <v>6.1857398048342489</v>
      </c>
      <c r="AR5" s="14">
        <f t="shared" si="10"/>
        <v>2.5924334085672212</v>
      </c>
      <c r="AS5" s="14">
        <f t="shared" si="11"/>
        <v>-5.2266387673991499E-3</v>
      </c>
      <c r="AT5" s="89">
        <f t="shared" si="50"/>
        <v>253.71523328928876</v>
      </c>
      <c r="AU5" s="89">
        <f t="shared" si="51"/>
        <v>46.914091782420741</v>
      </c>
      <c r="AV5" s="89">
        <f t="shared" si="52"/>
        <v>129.85281700578898</v>
      </c>
      <c r="AW5" s="14">
        <f t="shared" si="53"/>
        <v>4.1399597138768627</v>
      </c>
      <c r="AX5" s="14">
        <f t="shared" si="54"/>
        <v>-0.51723713043622865</v>
      </c>
      <c r="AY5" s="14">
        <f t="shared" si="55"/>
        <v>1.2226226183266817</v>
      </c>
      <c r="AZ5" s="11">
        <f t="shared" si="56"/>
        <v>9.5863851594324423E-2</v>
      </c>
      <c r="BA5" s="2"/>
      <c r="BB5" s="12">
        <v>0.21874572005565329</v>
      </c>
      <c r="BC5" s="12">
        <v>0.50583364660407459</v>
      </c>
      <c r="BD5" s="12">
        <f t="shared" si="57"/>
        <v>0.22862378849011855</v>
      </c>
      <c r="BE5" s="12">
        <f t="shared" si="58"/>
        <v>0.46500793877458718</v>
      </c>
      <c r="BF5" s="12">
        <v>0.700349044840749</v>
      </c>
      <c r="BG5" s="14">
        <f t="shared" si="12"/>
        <v>0.34351335180625775</v>
      </c>
      <c r="BH5" s="14">
        <f t="shared" si="13"/>
        <v>1.0157208218118636</v>
      </c>
      <c r="BI5" s="11">
        <f t="shared" si="59"/>
        <v>6.1857398048342489</v>
      </c>
      <c r="BJ5" s="11">
        <f t="shared" si="14"/>
        <v>2.5897041677909831</v>
      </c>
      <c r="BK5" s="12">
        <f t="shared" si="15"/>
        <v>-5.2266387673991499E-3</v>
      </c>
      <c r="BL5" s="11">
        <f t="shared" si="16"/>
        <v>9.3134610818086383E-2</v>
      </c>
      <c r="BM5" s="14">
        <f t="shared" si="72"/>
        <v>6.1266506820310092</v>
      </c>
      <c r="BN5" s="14">
        <f t="shared" si="73"/>
        <v>3.0122025300744104</v>
      </c>
      <c r="BO5" s="14">
        <f t="shared" si="74"/>
        <v>2.7690884129300528</v>
      </c>
      <c r="BP5" s="14">
        <f t="shared" si="60"/>
        <v>232.18699266725477</v>
      </c>
      <c r="BQ5" s="14">
        <f t="shared" si="61"/>
        <v>56.125469366935512</v>
      </c>
      <c r="BR5" s="14">
        <f t="shared" si="62"/>
        <v>47.431328912856969</v>
      </c>
      <c r="BS5" s="14">
        <f t="shared" si="63"/>
        <v>128.6301943874623</v>
      </c>
      <c r="BT5" s="14">
        <f t="shared" si="64"/>
        <v>249.5752735754119</v>
      </c>
      <c r="BU5" s="18">
        <f t="shared" si="18"/>
        <v>253.65697586757776</v>
      </c>
      <c r="BV5" s="18">
        <f t="shared" si="19"/>
        <v>46.927851985394419</v>
      </c>
      <c r="BW5" s="18">
        <f t="shared" si="20"/>
        <v>129.80695453511979</v>
      </c>
      <c r="BX5" s="11">
        <f t="shared" si="65"/>
        <v>4.0817022921658577</v>
      </c>
      <c r="BY5" s="11">
        <f t="shared" si="66"/>
        <v>-0.50347692746255035</v>
      </c>
      <c r="BZ5" s="11">
        <f t="shared" si="67"/>
        <v>1.1767601476574896</v>
      </c>
      <c r="CA5" s="11">
        <f t="shared" si="21"/>
        <v>171.09029497927244</v>
      </c>
      <c r="CB5" s="11">
        <f t="shared" si="22"/>
        <v>6.4036499152813544</v>
      </c>
      <c r="CC5" s="11">
        <f t="shared" si="23"/>
        <v>2.7543524603333518</v>
      </c>
      <c r="CD5" s="11">
        <f t="shared" si="24"/>
        <v>6.1460639783254001</v>
      </c>
      <c r="CE5" s="11">
        <f t="shared" si="25"/>
        <v>3.0336075223975305</v>
      </c>
      <c r="CF5" s="11">
        <f t="shared" si="26"/>
        <v>52.926715457728243</v>
      </c>
      <c r="CG5" s="11">
        <f t="shared" si="27"/>
        <v>51.961522124234257</v>
      </c>
      <c r="CH5" s="11">
        <f t="shared" si="28"/>
        <v>52.44411879098125</v>
      </c>
      <c r="CI5" s="14"/>
      <c r="CJ5" s="14">
        <f t="shared" si="29"/>
        <v>-1.4735952596701019E-2</v>
      </c>
      <c r="CK5" s="14">
        <f t="shared" si="30"/>
        <v>1.9413296294390925E-2</v>
      </c>
      <c r="CL5" s="14">
        <f t="shared" si="31"/>
        <v>2.1404992323120098E-2</v>
      </c>
      <c r="CM5" s="19"/>
      <c r="CN5" s="12"/>
      <c r="CO5" s="12"/>
      <c r="CR5" s="17"/>
      <c r="CS5" s="20"/>
      <c r="CT5" s="20"/>
      <c r="CU5" s="21"/>
      <c r="DB5" s="14"/>
      <c r="DC5" s="14"/>
      <c r="DD5" s="14"/>
      <c r="DE5" s="14"/>
      <c r="DJ5" s="12"/>
    </row>
    <row r="6" spans="1:141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8"/>
        <v>0.22676621932328164</v>
      </c>
      <c r="I6" s="12">
        <f t="shared" si="69"/>
        <v>0.46145041845044033</v>
      </c>
      <c r="J6" s="12">
        <f t="shared" si="0"/>
        <v>7.0307809725521794E-2</v>
      </c>
      <c r="K6" s="13">
        <f t="shared" si="32"/>
        <v>6.7302718697719865E-2</v>
      </c>
      <c r="L6" s="13">
        <f>SUM(K$3:$K6)</f>
        <v>0.25296597596281678</v>
      </c>
      <c r="M6" s="72">
        <f t="shared" si="70"/>
        <v>0.69903491175820132</v>
      </c>
      <c r="N6" s="12">
        <f t="shared" si="33"/>
        <v>1.5276458095088427E-4</v>
      </c>
      <c r="O6" s="21">
        <f t="shared" si="34"/>
        <v>1.0265500870415706E-8</v>
      </c>
      <c r="P6" s="11">
        <f>SUM(O$2:$O6)</f>
        <v>4.7688429583695914E-8</v>
      </c>
      <c r="Q6" s="12">
        <f t="shared" si="35"/>
        <v>1.0070833575766499E-3</v>
      </c>
      <c r="R6" s="3">
        <f t="shared" si="1"/>
        <v>0.3415832753158376</v>
      </c>
      <c r="S6" s="1">
        <f t="shared" si="36"/>
        <v>1.4763332675268217E-3</v>
      </c>
      <c r="T6" s="1">
        <f t="shared" si="37"/>
        <v>0.97899082368937451</v>
      </c>
      <c r="U6" s="1">
        <f t="shared" si="38"/>
        <v>4.233245699219226E-3</v>
      </c>
      <c r="V6" s="11">
        <f t="shared" si="39"/>
        <v>6.2206916067400284</v>
      </c>
      <c r="W6" s="24">
        <f t="shared" si="40"/>
        <v>4.2929216120925873E-2</v>
      </c>
      <c r="X6" s="25">
        <f t="shared" si="2"/>
        <v>-7.1280005294949156E-3</v>
      </c>
      <c r="Y6" s="24" t="e">
        <f>(SQRT((Q6/M6)^2 + (0.0002/F6)^2))*#REF!</f>
        <v>#REF!</v>
      </c>
      <c r="Z6" s="24">
        <f t="shared" si="3"/>
        <v>4.1343591000642327E-3</v>
      </c>
      <c r="AA6" s="24">
        <f t="shared" si="41"/>
        <v>1.0414365306794487E-2</v>
      </c>
      <c r="AB6" s="24">
        <f t="shared" si="42"/>
        <v>4.558105537704648E-3</v>
      </c>
      <c r="AC6" s="28">
        <f t="shared" si="43"/>
        <v>6.1652473092709252</v>
      </c>
      <c r="AD6" s="27">
        <f t="shared" si="44"/>
        <v>3.0297292355073573</v>
      </c>
      <c r="AE6" s="28">
        <f t="shared" si="45"/>
        <v>2.7671748168664578</v>
      </c>
      <c r="AF6" s="28">
        <f t="shared" si="4"/>
        <v>57.101340913394523</v>
      </c>
      <c r="AG6" s="28">
        <f t="shared" si="5"/>
        <v>236.45019483337285</v>
      </c>
      <c r="AH6" s="14">
        <f t="shared" si="6"/>
        <v>236.45019483337285</v>
      </c>
      <c r="AI6" s="14">
        <f t="shared" si="7"/>
        <v>57.101340913394523</v>
      </c>
      <c r="AJ6" s="14">
        <f t="shared" si="8"/>
        <v>47.633431035544241</v>
      </c>
      <c r="AK6" s="14">
        <f t="shared" si="46"/>
        <v>131.71542288443408</v>
      </c>
      <c r="AL6" s="14">
        <f t="shared" si="47"/>
        <v>255.38601458907343</v>
      </c>
      <c r="AM6" s="7"/>
      <c r="AN6" s="12">
        <f t="shared" si="48"/>
        <v>0.69903491175820132</v>
      </c>
      <c r="AO6" s="28">
        <f t="shared" si="9"/>
        <v>0.3415832753158376</v>
      </c>
      <c r="AP6" s="14">
        <f t="shared" si="49"/>
        <v>1.0214600339474598</v>
      </c>
      <c r="AQ6" s="11">
        <f t="shared" si="71"/>
        <v>6.2206916067400284</v>
      </c>
      <c r="AR6" s="14">
        <f t="shared" si="10"/>
        <v>3.5669827373839191</v>
      </c>
      <c r="AS6" s="28">
        <f t="shared" si="11"/>
        <v>-7.1280004971914224E-3</v>
      </c>
      <c r="AT6" s="89">
        <f t="shared" si="50"/>
        <v>258.84390823897314</v>
      </c>
      <c r="AU6" s="89">
        <f t="shared" si="51"/>
        <v>47.143249997541901</v>
      </c>
      <c r="AV6" s="89">
        <f t="shared" si="52"/>
        <v>132.76725456986023</v>
      </c>
      <c r="AW6" s="14">
        <f t="shared" si="53"/>
        <v>3.4578936498997166</v>
      </c>
      <c r="AX6" s="14">
        <f t="shared" si="54"/>
        <v>-0.49018103800234059</v>
      </c>
      <c r="AY6" s="14">
        <f t="shared" si="55"/>
        <v>1.0518316854261514</v>
      </c>
      <c r="AZ6" s="11">
        <f t="shared" si="56"/>
        <v>0.12343852086956852</v>
      </c>
      <c r="BA6" s="2"/>
      <c r="BB6" s="55">
        <v>0.21654572005565328</v>
      </c>
      <c r="BC6" s="55">
        <v>0.50523364660407455</v>
      </c>
      <c r="BD6" s="12">
        <f t="shared" si="57"/>
        <v>0.22676621932328164</v>
      </c>
      <c r="BE6" s="12">
        <f t="shared" si="58"/>
        <v>0.46145041845044033</v>
      </c>
      <c r="BF6" s="24">
        <v>0.69906577927944691</v>
      </c>
      <c r="BG6" s="28">
        <f t="shared" si="12"/>
        <v>0.34162852753897355</v>
      </c>
      <c r="BH6" s="28">
        <f t="shared" si="13"/>
        <v>1.0213247310273155</v>
      </c>
      <c r="BI6" s="11">
        <f t="shared" si="59"/>
        <v>6.2198676119563512</v>
      </c>
      <c r="BJ6" s="22">
        <f t="shared" si="14"/>
        <v>3.5410843743816169</v>
      </c>
      <c r="BK6" s="12">
        <f t="shared" si="15"/>
        <v>-7.0832166179002343E-3</v>
      </c>
      <c r="BL6" s="22">
        <f t="shared" si="16"/>
        <v>9.7540157867266331E-2</v>
      </c>
      <c r="BM6" s="14">
        <f t="shared" si="72"/>
        <v>6.1655195501835065</v>
      </c>
      <c r="BN6" s="14">
        <f t="shared" si="73"/>
        <v>3.0298630202868759</v>
      </c>
      <c r="BO6" s="14">
        <f t="shared" si="74"/>
        <v>2.7672970079416288</v>
      </c>
      <c r="BP6" s="14">
        <f t="shared" si="60"/>
        <v>236.43975428310014</v>
      </c>
      <c r="BQ6" s="14">
        <f t="shared" si="61"/>
        <v>57.098819581488392</v>
      </c>
      <c r="BR6" s="14">
        <f t="shared" si="62"/>
        <v>47.631327762879394</v>
      </c>
      <c r="BS6" s="14">
        <f t="shared" si="63"/>
        <v>131.70960693873235</v>
      </c>
      <c r="BT6" s="14">
        <f t="shared" si="64"/>
        <v>255.37473792031818</v>
      </c>
      <c r="BU6" s="32">
        <f t="shared" si="18"/>
        <v>258.78850583151876</v>
      </c>
      <c r="BV6" s="32">
        <f t="shared" si="19"/>
        <v>47.149957829728947</v>
      </c>
      <c r="BW6" s="32">
        <f t="shared" si="20"/>
        <v>132.7300166504551</v>
      </c>
      <c r="BX6" s="11">
        <f t="shared" si="65"/>
        <v>3.4137679112005799</v>
      </c>
      <c r="BY6" s="11">
        <f t="shared" si="66"/>
        <v>-0.48136993315044663</v>
      </c>
      <c r="BZ6" s="11">
        <f t="shared" si="67"/>
        <v>1.0204097117227491</v>
      </c>
      <c r="CA6" s="22">
        <f t="shared" si="21"/>
        <v>174.74951304414299</v>
      </c>
      <c r="CB6" s="22">
        <f t="shared" si="22"/>
        <v>6.4503298112090199</v>
      </c>
      <c r="CC6" s="22">
        <f t="shared" si="23"/>
        <v>2.75327812224476</v>
      </c>
      <c r="CD6" s="22">
        <f t="shared" si="24"/>
        <v>6.1808383731010572</v>
      </c>
      <c r="CE6" s="22">
        <f t="shared" si="25"/>
        <v>3.0467258649988862</v>
      </c>
      <c r="CF6" s="22">
        <f t="shared" si="26"/>
        <v>53.501672534050101</v>
      </c>
      <c r="CG6" s="22">
        <f t="shared" si="27"/>
        <v>52.433940407241984</v>
      </c>
      <c r="CH6" s="22">
        <f t="shared" si="28"/>
        <v>52.967806470646039</v>
      </c>
      <c r="CI6" s="28"/>
      <c r="CJ6" s="28">
        <f t="shared" si="29"/>
        <v>-1.3896694621697847E-2</v>
      </c>
      <c r="CK6" s="28">
        <f t="shared" si="30"/>
        <v>1.5591063830131979E-2</v>
      </c>
      <c r="CL6" s="28">
        <f t="shared" si="31"/>
        <v>1.6996629491528914E-2</v>
      </c>
      <c r="CM6" s="19"/>
      <c r="CN6" s="24"/>
      <c r="CO6" s="24"/>
      <c r="CR6" s="31"/>
      <c r="CS6" s="33"/>
      <c r="CT6" s="33"/>
      <c r="CU6" s="26"/>
      <c r="DB6" s="28"/>
      <c r="DC6" s="28"/>
      <c r="DD6" s="28"/>
      <c r="DE6" s="28"/>
      <c r="DJ6" s="24"/>
      <c r="DM6" s="1"/>
    </row>
    <row r="7" spans="1:141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8"/>
        <v>0.22496299651535173</v>
      </c>
      <c r="I7" s="12">
        <f t="shared" si="69"/>
        <v>0.45795413466486506</v>
      </c>
      <c r="J7" s="12">
        <f t="shared" si="0"/>
        <v>6.8793892507287013E-2</v>
      </c>
      <c r="K7" s="13">
        <f t="shared" si="32"/>
        <v>6.8856661445722681E-2</v>
      </c>
      <c r="L7" s="13">
        <f>SUM(K$3:$K7)</f>
        <v>0.32182263740853945</v>
      </c>
      <c r="M7" s="72">
        <f t="shared" si="70"/>
        <v>0.69769553085384417</v>
      </c>
      <c r="N7" s="12">
        <f t="shared" si="33"/>
        <v>1.4984065271274547E-4</v>
      </c>
      <c r="O7" s="21">
        <f t="shared" si="34"/>
        <v>1.0840844214984978E-8</v>
      </c>
      <c r="P7" s="11">
        <f>SUM(O$2:$O7)</f>
        <v>5.8529273798680891E-8</v>
      </c>
      <c r="Q7" s="12">
        <f t="shared" si="35"/>
        <v>1.0090034764039212E-3</v>
      </c>
      <c r="R7" s="3">
        <f t="shared" si="1"/>
        <v>0.33962357033098339</v>
      </c>
      <c r="S7" s="1">
        <f t="shared" si="36"/>
        <v>1.4734852724939988E-3</v>
      </c>
      <c r="T7" s="1">
        <f t="shared" si="37"/>
        <v>0.97337423372156451</v>
      </c>
      <c r="U7" s="1">
        <f t="shared" si="38"/>
        <v>4.2250832357600045E-3</v>
      </c>
      <c r="V7" s="11">
        <f t="shared" si="39"/>
        <v>6.2565864073838373</v>
      </c>
      <c r="W7" s="12">
        <f t="shared" si="40"/>
        <v>4.3241865799697715E-2</v>
      </c>
      <c r="X7" s="13">
        <f t="shared" si="2"/>
        <v>-9.0769582243251934E-3</v>
      </c>
      <c r="Y7" s="12" t="e">
        <f>(SQRT((Q7/M7)^2 + (0.0002/F7)^2))*#REF!</f>
        <v>#REF!</v>
      </c>
      <c r="Z7" s="12">
        <f t="shared" si="3"/>
        <v>4.1411342488890607E-3</v>
      </c>
      <c r="AA7" s="12">
        <f t="shared" si="41"/>
        <v>1.0529832087588798E-2</v>
      </c>
      <c r="AB7" s="12">
        <f t="shared" si="42"/>
        <v>4.6031116018348372E-3</v>
      </c>
      <c r="AC7" s="14">
        <f t="shared" si="43"/>
        <v>6.2027581572174926</v>
      </c>
      <c r="AD7" s="1">
        <f t="shared" si="44"/>
        <v>3.0470105106242746</v>
      </c>
      <c r="AE7" s="14">
        <f t="shared" si="45"/>
        <v>2.761872791107248</v>
      </c>
      <c r="AF7" s="14">
        <f t="shared" si="4"/>
        <v>58.08785657867481</v>
      </c>
      <c r="AG7" s="14">
        <f t="shared" si="5"/>
        <v>240.71721154344485</v>
      </c>
      <c r="AH7" s="14">
        <f t="shared" si="6"/>
        <v>240.71721154344482</v>
      </c>
      <c r="AI7" s="14">
        <f t="shared" si="7"/>
        <v>58.08785657867481</v>
      </c>
      <c r="AJ7" s="14">
        <f t="shared" si="8"/>
        <v>47.724873943111589</v>
      </c>
      <c r="AK7" s="14">
        <f t="shared" si="46"/>
        <v>134.90448102165843</v>
      </c>
      <c r="AL7" s="14">
        <f t="shared" si="47"/>
        <v>261.4431768145713</v>
      </c>
      <c r="AM7" s="7"/>
      <c r="AN7" s="12">
        <f t="shared" si="48"/>
        <v>0.69769553085384417</v>
      </c>
      <c r="AO7" s="14">
        <f t="shared" si="9"/>
        <v>0.33962357033098339</v>
      </c>
      <c r="AP7" s="14">
        <f t="shared" si="49"/>
        <v>1.0273540898824036</v>
      </c>
      <c r="AQ7" s="11">
        <f t="shared" si="71"/>
        <v>6.2565864073838373</v>
      </c>
      <c r="AR7" s="14">
        <f t="shared" si="10"/>
        <v>4.5835518275944374</v>
      </c>
      <c r="AS7" s="14">
        <f t="shared" si="11"/>
        <v>-9.076958183110384E-3</v>
      </c>
      <c r="AT7" s="89">
        <f t="shared" si="50"/>
        <v>264.1569225718041</v>
      </c>
      <c r="AU7" s="89">
        <f t="shared" si="51"/>
        <v>47.36504718643512</v>
      </c>
      <c r="AV7" s="89">
        <f t="shared" si="52"/>
        <v>135.79573299838376</v>
      </c>
      <c r="AW7" s="14">
        <f t="shared" si="53"/>
        <v>2.7137457572328003</v>
      </c>
      <c r="AX7" s="14">
        <f t="shared" si="54"/>
        <v>-0.35982675667646902</v>
      </c>
      <c r="AY7" s="14">
        <f t="shared" si="55"/>
        <v>0.89125197672532863</v>
      </c>
      <c r="AZ7" s="11">
        <f t="shared" si="56"/>
        <v>0.1499886488321609</v>
      </c>
      <c r="BA7" s="2"/>
      <c r="BB7" s="12">
        <v>0.21474572005565329</v>
      </c>
      <c r="BC7" s="12">
        <v>0.50523364660407455</v>
      </c>
      <c r="BD7" s="12">
        <f t="shared" si="57"/>
        <v>0.22496299651535173</v>
      </c>
      <c r="BE7" s="12">
        <f t="shared" si="58"/>
        <v>0.45795413466486506</v>
      </c>
      <c r="BF7" s="12">
        <v>0.69767799326910895</v>
      </c>
      <c r="BG7" s="14">
        <f t="shared" si="12"/>
        <v>0.33959796018803351</v>
      </c>
      <c r="BH7" s="14">
        <f t="shared" si="13"/>
        <v>1.0274315658633768</v>
      </c>
      <c r="BI7" s="11">
        <f t="shared" si="59"/>
        <v>6.2570582361079641</v>
      </c>
      <c r="BJ7" s="11">
        <f t="shared" si="14"/>
        <v>4.5948402955368675</v>
      </c>
      <c r="BK7" s="12">
        <f t="shared" si="15"/>
        <v>-9.1025519171628044E-3</v>
      </c>
      <c r="BL7" s="11">
        <f t="shared" si="16"/>
        <v>0.161277116774591</v>
      </c>
      <c r="BM7" s="14">
        <f t="shared" si="72"/>
        <v>6.2026022419335849</v>
      </c>
      <c r="BN7" s="14">
        <f t="shared" si="73"/>
        <v>3.0469339196147929</v>
      </c>
      <c r="BO7" s="14">
        <f t="shared" si="74"/>
        <v>2.7618033674461238</v>
      </c>
      <c r="BP7" s="14">
        <f t="shared" si="60"/>
        <v>240.72326247028411</v>
      </c>
      <c r="BQ7" s="14">
        <f t="shared" si="61"/>
        <v>58.089316737539889</v>
      </c>
      <c r="BR7" s="14">
        <f t="shared" si="62"/>
        <v>47.726073606894637</v>
      </c>
      <c r="BS7" s="14">
        <f t="shared" si="63"/>
        <v>134.90787212584959</v>
      </c>
      <c r="BT7" s="14">
        <f t="shared" si="64"/>
        <v>261.44974873157463</v>
      </c>
      <c r="BU7" s="18">
        <f t="shared" si="18"/>
        <v>264.43367493194245</v>
      </c>
      <c r="BV7" s="18">
        <f t="shared" si="19"/>
        <v>47.378410300137269</v>
      </c>
      <c r="BW7" s="18">
        <f t="shared" si="20"/>
        <v>135.95505531296794</v>
      </c>
      <c r="BX7" s="11">
        <f t="shared" si="65"/>
        <v>2.9839262003678186</v>
      </c>
      <c r="BY7" s="11">
        <f t="shared" si="66"/>
        <v>-0.34766330675736867</v>
      </c>
      <c r="BZ7" s="11">
        <f t="shared" si="67"/>
        <v>1.0471831871183497</v>
      </c>
      <c r="CA7" s="11">
        <f t="shared" si="21"/>
        <v>178.78126185262613</v>
      </c>
      <c r="CB7" s="11">
        <f t="shared" si="22"/>
        <v>6.5008969491820023</v>
      </c>
      <c r="CC7" s="11">
        <f t="shared" si="23"/>
        <v>2.7517257239900901</v>
      </c>
      <c r="CD7" s="11">
        <f t="shared" si="24"/>
        <v>6.2184184152035522</v>
      </c>
      <c r="CE7" s="11">
        <f t="shared" si="25"/>
        <v>3.0607945862339374</v>
      </c>
      <c r="CF7" s="11">
        <f t="shared" si="26"/>
        <v>54.122770103877272</v>
      </c>
      <c r="CG7" s="11">
        <f t="shared" si="27"/>
        <v>52.936064423871713</v>
      </c>
      <c r="CH7" s="11">
        <f t="shared" si="28"/>
        <v>53.529417263874493</v>
      </c>
      <c r="CI7" s="14"/>
      <c r="CJ7" s="14">
        <f t="shared" si="29"/>
        <v>-1.014706711715796E-2</v>
      </c>
      <c r="CK7" s="14">
        <f t="shared" si="30"/>
        <v>1.5660257986059634E-2</v>
      </c>
      <c r="CL7" s="14">
        <f t="shared" si="31"/>
        <v>1.3784075609662771E-2</v>
      </c>
      <c r="CM7" s="19"/>
      <c r="CN7" s="12"/>
      <c r="CO7" s="12"/>
      <c r="CR7" s="17"/>
      <c r="CS7" s="20"/>
      <c r="CT7" s="20"/>
      <c r="CU7" s="21"/>
      <c r="DB7" s="14"/>
      <c r="DC7" s="14"/>
      <c r="DD7" s="14"/>
      <c r="DE7" s="14"/>
      <c r="DJ7" s="12"/>
    </row>
    <row r="8" spans="1:141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8"/>
        <v>0.22376844444720004</v>
      </c>
      <c r="I8" s="12">
        <f t="shared" si="69"/>
        <v>0.45559644121199777</v>
      </c>
      <c r="J8" s="12">
        <f t="shared" si="0"/>
        <v>6.7807165094839389E-2</v>
      </c>
      <c r="K8" s="13">
        <f t="shared" si="32"/>
        <v>4.7039178187553043E-2</v>
      </c>
      <c r="L8" s="13">
        <f>SUM(K$3:$K8)</f>
        <v>0.36886181559609249</v>
      </c>
      <c r="M8" s="72">
        <f t="shared" si="70"/>
        <v>0.69678348463151085</v>
      </c>
      <c r="N8" s="12">
        <f t="shared" si="33"/>
        <v>1.4761406785215972E-4</v>
      </c>
      <c r="O8" s="21">
        <f t="shared" si="34"/>
        <v>5.0935317558639293E-9</v>
      </c>
      <c r="P8" s="11">
        <f>SUM(O$2:$O8)</f>
        <v>6.3622805554544815E-8</v>
      </c>
      <c r="Q8" s="12">
        <f t="shared" si="35"/>
        <v>1.0103129120707397E-3</v>
      </c>
      <c r="R8" s="13">
        <f t="shared" si="1"/>
        <v>0.3382934156696889</v>
      </c>
      <c r="S8" s="1">
        <f t="shared" si="36"/>
        <v>1.47154265331224E-3</v>
      </c>
      <c r="T8" s="1">
        <f t="shared" si="37"/>
        <v>0.96956195922922905</v>
      </c>
      <c r="U8" s="1">
        <f t="shared" si="38"/>
        <v>4.2195156143619529E-3</v>
      </c>
      <c r="V8" s="11">
        <f t="shared" si="39"/>
        <v>6.2811870268109073</v>
      </c>
      <c r="W8" s="12">
        <f t="shared" si="40"/>
        <v>4.3456547485372969E-2</v>
      </c>
      <c r="X8" s="13">
        <f t="shared" si="2"/>
        <v>-1.0410530561288933E-2</v>
      </c>
      <c r="Y8" s="12" t="e">
        <f>(SQRT((Q8/M8)^2 + (0.0002/F8)^2))*#REF!</f>
        <v>#REF!</v>
      </c>
      <c r="Z8" s="12">
        <f t="shared" si="3"/>
        <v>4.145757408750725E-3</v>
      </c>
      <c r="AA8" s="12">
        <f t="shared" si="41"/>
        <v>1.060770540737495E-2</v>
      </c>
      <c r="AB8" s="12">
        <f t="shared" si="42"/>
        <v>4.6339294419412E-3</v>
      </c>
      <c r="AC8" s="14">
        <f t="shared" si="43"/>
        <v>6.2277188935450862</v>
      </c>
      <c r="AD8" s="1">
        <f t="shared" si="44"/>
        <v>3.058774922727213</v>
      </c>
      <c r="AE8" s="14">
        <f t="shared" si="45"/>
        <v>2.7582623972688185</v>
      </c>
      <c r="AF8" s="14">
        <f t="shared" si="4"/>
        <v>58.767439241569335</v>
      </c>
      <c r="AG8" s="14">
        <f t="shared" si="5"/>
        <v>243.61258905558932</v>
      </c>
      <c r="AH8" s="14">
        <f t="shared" si="6"/>
        <v>243.61258905558932</v>
      </c>
      <c r="AI8" s="14">
        <f t="shared" si="7"/>
        <v>58.767439241569335</v>
      </c>
      <c r="AJ8" s="14">
        <f t="shared" si="8"/>
        <v>47.78734283330661</v>
      </c>
      <c r="AK8" s="14">
        <f t="shared" si="46"/>
        <v>137.05780698071337</v>
      </c>
      <c r="AL8" s="14">
        <f t="shared" si="47"/>
        <v>265.57278187211477</v>
      </c>
      <c r="AM8" s="7"/>
      <c r="AN8" s="12">
        <f t="shared" si="48"/>
        <v>0.69678348463151085</v>
      </c>
      <c r="AO8" s="14">
        <f t="shared" si="9"/>
        <v>0.3382934156696889</v>
      </c>
      <c r="AP8" s="14">
        <f t="shared" si="49"/>
        <v>1.0313936004615611</v>
      </c>
      <c r="AQ8" s="11">
        <f t="shared" si="71"/>
        <v>6.2811870268109073</v>
      </c>
      <c r="AR8" s="14">
        <f t="shared" si="10"/>
        <v>5.289486483485935</v>
      </c>
      <c r="AS8" s="14">
        <f t="shared" si="11"/>
        <v>-1.0410530513957128E-2</v>
      </c>
      <c r="AT8" s="89">
        <f t="shared" si="50"/>
        <v>267.8250710522164</v>
      </c>
      <c r="AU8" s="89">
        <f t="shared" si="51"/>
        <v>47.508983858893686</v>
      </c>
      <c r="AV8" s="89">
        <f t="shared" si="52"/>
        <v>137.89210161621207</v>
      </c>
      <c r="AW8" s="14">
        <f t="shared" si="53"/>
        <v>2.2522891801016272</v>
      </c>
      <c r="AX8" s="14">
        <f t="shared" si="54"/>
        <v>-0.27835897441292445</v>
      </c>
      <c r="AY8" s="14">
        <f t="shared" si="55"/>
        <v>0.83429463549870775</v>
      </c>
      <c r="AZ8" s="11">
        <f t="shared" si="56"/>
        <v>0.16721446142081131</v>
      </c>
      <c r="BA8" s="2"/>
      <c r="BB8" s="12">
        <v>0.21334572005565328</v>
      </c>
      <c r="BC8" s="12">
        <v>0.50523364660407455</v>
      </c>
      <c r="BD8" s="12">
        <f t="shared" si="57"/>
        <v>0.22376844444720004</v>
      </c>
      <c r="BE8" s="12">
        <f t="shared" si="58"/>
        <v>0.45559644121199777</v>
      </c>
      <c r="BF8" s="12">
        <v>0.696750776217539</v>
      </c>
      <c r="BG8" s="14">
        <f t="shared" si="12"/>
        <v>0.33824577739214373</v>
      </c>
      <c r="BH8" s="14">
        <f t="shared" si="13"/>
        <v>1.03153886115033</v>
      </c>
      <c r="BI8" s="11">
        <f t="shared" si="59"/>
        <v>6.2820716644055086</v>
      </c>
      <c r="BJ8" s="11">
        <f t="shared" si="14"/>
        <v>5.3135680355364032</v>
      </c>
      <c r="BK8" s="12">
        <f t="shared" si="15"/>
        <v>-1.0458453275914659E-2</v>
      </c>
      <c r="BL8" s="11">
        <f t="shared" si="16"/>
        <v>0.19129601347127956</v>
      </c>
      <c r="BM8" s="14">
        <f t="shared" si="72"/>
        <v>6.2274265519322851</v>
      </c>
      <c r="BN8" s="14">
        <f t="shared" si="73"/>
        <v>3.0586313376988277</v>
      </c>
      <c r="BO8" s="14">
        <f t="shared" si="74"/>
        <v>2.7581329189009716</v>
      </c>
      <c r="BP8" s="14">
        <f t="shared" si="60"/>
        <v>243.62402525585429</v>
      </c>
      <c r="BQ8" s="14">
        <f t="shared" si="61"/>
        <v>58.77019803251207</v>
      </c>
      <c r="BR8" s="14">
        <f t="shared" si="62"/>
        <v>47.789586172310109</v>
      </c>
      <c r="BS8" s="14">
        <f t="shared" si="63"/>
        <v>137.06424105103213</v>
      </c>
      <c r="BT8" s="14">
        <f t="shared" si="64"/>
        <v>265.58524897625819</v>
      </c>
      <c r="BU8" s="18">
        <f t="shared" si="18"/>
        <v>268.26161186634511</v>
      </c>
      <c r="BV8" s="18">
        <f t="shared" si="19"/>
        <v>47.523943351883858</v>
      </c>
      <c r="BW8" s="18">
        <f t="shared" si="20"/>
        <v>138.14747801347465</v>
      </c>
      <c r="BX8" s="11">
        <f t="shared" si="65"/>
        <v>2.6763628900869207</v>
      </c>
      <c r="BY8" s="11">
        <f t="shared" si="66"/>
        <v>-0.26564282042625109</v>
      </c>
      <c r="BZ8" s="11">
        <f t="shared" si="67"/>
        <v>1.0832369624425269</v>
      </c>
      <c r="CA8" s="11">
        <f t="shared" si="21"/>
        <v>181.51885596443148</v>
      </c>
      <c r="CB8" s="11">
        <f t="shared" si="22"/>
        <v>6.5347326094548039</v>
      </c>
      <c r="CC8" s="11">
        <f t="shared" si="23"/>
        <v>2.7504565685604025</v>
      </c>
      <c r="CD8" s="11">
        <f t="shared" si="24"/>
        <v>6.2435107997525119</v>
      </c>
      <c r="CE8" s="11">
        <f t="shared" si="25"/>
        <v>3.0701246221785294</v>
      </c>
      <c r="CF8" s="11">
        <f t="shared" si="26"/>
        <v>54.537192781704405</v>
      </c>
      <c r="CG8" s="11">
        <f t="shared" si="27"/>
        <v>53.266109925177609</v>
      </c>
      <c r="CH8" s="11">
        <f t="shared" si="28"/>
        <v>53.901651353441011</v>
      </c>
      <c r="CI8" s="14"/>
      <c r="CJ8" s="14">
        <f t="shared" si="29"/>
        <v>-7.8058287084159517E-3</v>
      </c>
      <c r="CK8" s="14">
        <f t="shared" si="30"/>
        <v>1.5791906207425654E-2</v>
      </c>
      <c r="CL8" s="14">
        <f t="shared" si="31"/>
        <v>1.1349699451316475E-2</v>
      </c>
      <c r="CM8" s="19"/>
      <c r="CN8" s="12"/>
      <c r="CO8" s="12"/>
      <c r="CR8" s="17"/>
      <c r="CS8" s="20"/>
      <c r="CT8" s="20"/>
      <c r="CU8" s="21"/>
      <c r="DB8" s="14"/>
      <c r="DC8" s="14"/>
      <c r="DD8" s="14"/>
      <c r="DE8" s="14"/>
      <c r="DJ8" s="12"/>
    </row>
    <row r="9" spans="1:141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8"/>
        <v>0.22268123353394198</v>
      </c>
      <c r="I9" s="12">
        <f t="shared" si="69"/>
        <v>0.4534778579370875</v>
      </c>
      <c r="J9" s="12">
        <f t="shared" si="0"/>
        <v>6.7013107359622848E-2</v>
      </c>
      <c r="K9" s="13">
        <f t="shared" si="32"/>
        <v>4.3524334638699966E-2</v>
      </c>
      <c r="L9" s="13">
        <f>SUM(K$3:$K9)</f>
        <v>0.41238615023479247</v>
      </c>
      <c r="M9" s="72">
        <f t="shared" si="70"/>
        <v>0.69594170931186849</v>
      </c>
      <c r="N9" s="12">
        <f t="shared" si="33"/>
        <v>1.4548020576010275E-4</v>
      </c>
      <c r="O9" s="21">
        <f t="shared" si="34"/>
        <v>4.3650510903554069E-9</v>
      </c>
      <c r="P9" s="11">
        <f>SUM(O$2:$O9)</f>
        <v>6.7987856644900228E-8</v>
      </c>
      <c r="Q9" s="12">
        <f t="shared" si="35"/>
        <v>1.0115227535893519E-3</v>
      </c>
      <c r="R9" s="3">
        <f t="shared" si="1"/>
        <v>0.33706883226847162</v>
      </c>
      <c r="S9" s="1">
        <f t="shared" si="36"/>
        <v>1.4697472021147214E-3</v>
      </c>
      <c r="T9" s="1">
        <f t="shared" si="37"/>
        <v>0.96605225603452338</v>
      </c>
      <c r="U9" s="1">
        <f t="shared" si="38"/>
        <v>4.2143697820751485E-3</v>
      </c>
      <c r="V9" s="11">
        <f t="shared" si="39"/>
        <v>6.3040068091123667</v>
      </c>
      <c r="W9" s="12">
        <f t="shared" si="40"/>
        <v>4.3655981616949911E-2</v>
      </c>
      <c r="X9" s="13">
        <f t="shared" si="2"/>
        <v>-1.164600998661125E-2</v>
      </c>
      <c r="Y9" s="12" t="e">
        <f>(SQRT((Q9/M9)^2 + (0.0002/F9)^2))*#REF!</f>
        <v>#REF!</v>
      </c>
      <c r="Z9" s="12">
        <f t="shared" si="3"/>
        <v>4.1588312946318241E-3</v>
      </c>
      <c r="AA9" s="12">
        <f t="shared" si="41"/>
        <v>1.0679519383003475E-2</v>
      </c>
      <c r="AB9" s="12">
        <f t="shared" si="42"/>
        <v>4.6620381130036536E-3</v>
      </c>
      <c r="AC9" s="14">
        <f t="shared" si="43"/>
        <v>6.2505645246103798</v>
      </c>
      <c r="AD9" s="1">
        <f t="shared" si="44"/>
        <v>3.0693525477859995</v>
      </c>
      <c r="AE9" s="14">
        <f t="shared" si="45"/>
        <v>2.7603937737948043</v>
      </c>
      <c r="AF9" s="14">
        <f t="shared" si="4"/>
        <v>59.389575742770319</v>
      </c>
      <c r="AG9" s="14">
        <f t="shared" si="5"/>
        <v>246.29475257731019</v>
      </c>
      <c r="AH9" s="14">
        <f t="shared" si="6"/>
        <v>246.29475257731019</v>
      </c>
      <c r="AI9" s="14">
        <f t="shared" si="7"/>
        <v>59.389575742770319</v>
      </c>
      <c r="AJ9" s="14">
        <f t="shared" si="8"/>
        <v>48.0351058333938</v>
      </c>
      <c r="AK9" s="14">
        <f t="shared" si="46"/>
        <v>138.87007100114607</v>
      </c>
      <c r="AL9" s="14">
        <f t="shared" si="47"/>
        <v>269.00369239606323</v>
      </c>
      <c r="AM9" s="7"/>
      <c r="AN9" s="12">
        <f t="shared" si="48"/>
        <v>0.69594170931186849</v>
      </c>
      <c r="AO9" s="14">
        <f t="shared" si="9"/>
        <v>0.33706883226847162</v>
      </c>
      <c r="AP9" s="14">
        <f t="shared" si="49"/>
        <v>1.0351406911514562</v>
      </c>
      <c r="AQ9" s="11">
        <f t="shared" si="71"/>
        <v>6.3040068091123667</v>
      </c>
      <c r="AR9" s="14">
        <f t="shared" si="10"/>
        <v>5.9510408366639078</v>
      </c>
      <c r="AS9" s="14">
        <f t="shared" si="11"/>
        <v>-1.1646009933598656E-2</v>
      </c>
      <c r="AT9" s="89">
        <f t="shared" si="50"/>
        <v>271.24718191872671</v>
      </c>
      <c r="AU9" s="89">
        <f t="shared" si="51"/>
        <v>47.636537753710527</v>
      </c>
      <c r="AV9" s="89">
        <f t="shared" si="52"/>
        <v>139.85187538631234</v>
      </c>
      <c r="AW9" s="14">
        <f t="shared" si="53"/>
        <v>2.2434895226634808</v>
      </c>
      <c r="AX9" s="14">
        <f t="shared" si="54"/>
        <v>-0.39856807968327246</v>
      </c>
      <c r="AY9" s="14">
        <f t="shared" si="55"/>
        <v>0.98180438516627078</v>
      </c>
      <c r="AZ9" s="11">
        <f t="shared" si="56"/>
        <v>0.1831042740023241</v>
      </c>
      <c r="BA9" s="2"/>
      <c r="BB9" s="12">
        <v>0.21174572005565329</v>
      </c>
      <c r="BC9" s="12">
        <v>0.50423364660407455</v>
      </c>
      <c r="BD9" s="12">
        <f t="shared" si="57"/>
        <v>0.22268123353394198</v>
      </c>
      <c r="BE9" s="12">
        <f t="shared" si="58"/>
        <v>0.4534778579370875</v>
      </c>
      <c r="BF9" s="12">
        <v>0.69599277280064642</v>
      </c>
      <c r="BG9" s="14">
        <f t="shared" si="12"/>
        <v>0.33714303319605471</v>
      </c>
      <c r="BH9" s="14">
        <f t="shared" si="13"/>
        <v>1.0349128697465932</v>
      </c>
      <c r="BI9" s="11">
        <f t="shared" si="59"/>
        <v>6.3026193767567529</v>
      </c>
      <c r="BJ9" s="11">
        <f t="shared" si="14"/>
        <v>5.9100115588519291</v>
      </c>
      <c r="BK9" s="12">
        <f t="shared" si="15"/>
        <v>-1.1570935958980955E-2</v>
      </c>
      <c r="BL9" s="11">
        <f t="shared" si="16"/>
        <v>0.14207499619034536</v>
      </c>
      <c r="BM9" s="14">
        <f t="shared" si="72"/>
        <v>6.2510231486979828</v>
      </c>
      <c r="BN9" s="14">
        <f t="shared" si="73"/>
        <v>3.0695777560861806</v>
      </c>
      <c r="BO9" s="14">
        <f t="shared" si="74"/>
        <v>2.7605963127928335</v>
      </c>
      <c r="BP9" s="14">
        <f t="shared" si="60"/>
        <v>246.27668246246736</v>
      </c>
      <c r="BQ9" s="14">
        <f t="shared" si="61"/>
        <v>59.385218457676288</v>
      </c>
      <c r="BR9" s="14">
        <f t="shared" si="62"/>
        <v>48.03158160127024</v>
      </c>
      <c r="BS9" s="14">
        <f t="shared" si="63"/>
        <v>138.85988240352086</v>
      </c>
      <c r="BT9" s="14">
        <f t="shared" si="64"/>
        <v>268.9839561752795</v>
      </c>
      <c r="BU9" s="18">
        <f t="shared" si="18"/>
        <v>271.42487203947042</v>
      </c>
      <c r="BV9" s="18">
        <f t="shared" si="19"/>
        <v>47.638532885720295</v>
      </c>
      <c r="BW9" s="18">
        <f t="shared" si="20"/>
        <v>139.96257579571406</v>
      </c>
      <c r="BX9" s="11">
        <f t="shared" si="65"/>
        <v>2.440915864190913</v>
      </c>
      <c r="BY9" s="11">
        <f t="shared" si="66"/>
        <v>-0.39304871554994492</v>
      </c>
      <c r="BZ9" s="11">
        <f t="shared" si="67"/>
        <v>1.1026933921932027</v>
      </c>
      <c r="CA9" s="11">
        <f t="shared" si="21"/>
        <v>183.78334121029948</v>
      </c>
      <c r="CB9" s="11">
        <f t="shared" si="22"/>
        <v>6.5624239074885375</v>
      </c>
      <c r="CC9" s="11">
        <f t="shared" si="23"/>
        <v>2.7492779499380493</v>
      </c>
      <c r="CD9" s="11">
        <f t="shared" si="24"/>
        <v>6.2640142718461886</v>
      </c>
      <c r="CE9" s="11">
        <f t="shared" si="25"/>
        <v>3.0777098473858282</v>
      </c>
      <c r="CF9" s="11">
        <f t="shared" si="26"/>
        <v>54.875578980183448</v>
      </c>
      <c r="CG9" s="11">
        <f t="shared" si="27"/>
        <v>53.532499053539624</v>
      </c>
      <c r="CH9" s="11">
        <f t="shared" si="28"/>
        <v>54.204039016861536</v>
      </c>
      <c r="CI9" s="14"/>
      <c r="CJ9" s="14">
        <f t="shared" si="29"/>
        <v>-1.1115823856755025E-2</v>
      </c>
      <c r="CK9" s="14">
        <f t="shared" si="30"/>
        <v>1.3449747235808829E-2</v>
      </c>
      <c r="CL9" s="14">
        <f t="shared" si="31"/>
        <v>8.3572995998286714E-3</v>
      </c>
      <c r="CM9" s="19"/>
      <c r="CN9" s="12"/>
      <c r="CO9" s="12"/>
      <c r="CR9" s="17"/>
      <c r="CS9" s="20"/>
      <c r="CT9" s="20"/>
      <c r="CU9" s="21"/>
      <c r="DB9" s="14"/>
      <c r="DC9" s="14"/>
      <c r="DD9" s="14"/>
      <c r="DE9" s="14"/>
      <c r="DJ9" s="12"/>
    </row>
    <row r="10" spans="1:141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8"/>
        <v>0.22134156987383763</v>
      </c>
      <c r="I10" s="12">
        <f t="shared" si="69"/>
        <v>0.45099458602459414</v>
      </c>
      <c r="J10" s="12">
        <f t="shared" si="0"/>
        <v>6.5931277191928872E-2</v>
      </c>
      <c r="K10" s="13">
        <f t="shared" si="32"/>
        <v>5.4363734151692378E-2</v>
      </c>
      <c r="L10" s="13">
        <f>SUM(K$3:$K10)</f>
        <v>0.46674988438648485</v>
      </c>
      <c r="M10" s="72">
        <f t="shared" si="70"/>
        <v>0.69489314877420816</v>
      </c>
      <c r="N10" s="12">
        <f t="shared" si="33"/>
        <v>1.4393847616358112E-4</v>
      </c>
      <c r="O10" s="21">
        <f t="shared" si="34"/>
        <v>6.8066340632979484E-9</v>
      </c>
      <c r="P10" s="11">
        <f>SUM(O$2:$O10)</f>
        <v>7.4794490708198178E-8</v>
      </c>
      <c r="Q10" s="12">
        <f t="shared" si="35"/>
        <v>1.0130314161884931E-3</v>
      </c>
      <c r="R10" s="3">
        <f t="shared" si="1"/>
        <v>0.33554756336359531</v>
      </c>
      <c r="S10" s="1">
        <f t="shared" si="36"/>
        <v>1.4675071580966394E-3</v>
      </c>
      <c r="T10" s="1">
        <f t="shared" si="37"/>
        <v>0.96169224075900728</v>
      </c>
      <c r="U10" s="1">
        <f t="shared" si="38"/>
        <v>4.2079497296403949E-3</v>
      </c>
      <c r="V10" s="11">
        <f t="shared" si="39"/>
        <v>6.3325872268591041</v>
      </c>
      <c r="W10" s="12">
        <f t="shared" si="40"/>
        <v>4.3906156474283795E-2</v>
      </c>
      <c r="X10" s="13">
        <f t="shared" si="2"/>
        <v>-1.3191273713008433E-2</v>
      </c>
      <c r="Y10" s="12" t="e">
        <f>(SQRT((Q10/M10)^2 + (0.0002/F10)^2))*#REF!</f>
        <v>#REF!</v>
      </c>
      <c r="Z10" s="12">
        <f t="shared" si="3"/>
        <v>4.1641710847941998E-3</v>
      </c>
      <c r="AA10" s="12">
        <f t="shared" si="41"/>
        <v>1.0769232456070317E-2</v>
      </c>
      <c r="AB10" s="12">
        <f t="shared" si="42"/>
        <v>4.6956890021448896E-3</v>
      </c>
      <c r="AC10" s="14">
        <f t="shared" si="43"/>
        <v>6.2789212995126942</v>
      </c>
      <c r="AD10" s="1">
        <f t="shared" si="44"/>
        <v>3.0816030626864932</v>
      </c>
      <c r="AE10" s="14">
        <f t="shared" si="45"/>
        <v>2.7562347473406108</v>
      </c>
      <c r="AF10" s="14">
        <f t="shared" si="4"/>
        <v>60.136005193662854</v>
      </c>
      <c r="AG10" s="14">
        <f t="shared" si="5"/>
        <v>249.66131853683567</v>
      </c>
      <c r="AH10" s="14">
        <f t="shared" si="6"/>
        <v>249.66131853683564</v>
      </c>
      <c r="AI10" s="14">
        <f t="shared" si="7"/>
        <v>60.136005193662854</v>
      </c>
      <c r="AJ10" s="14">
        <f t="shared" si="8"/>
        <v>48.107588511468961</v>
      </c>
      <c r="AK10" s="14">
        <f t="shared" si="46"/>
        <v>141.41772483170382</v>
      </c>
      <c r="AL10" s="14">
        <f t="shared" si="47"/>
        <v>273.71815190122339</v>
      </c>
      <c r="AM10" s="7"/>
      <c r="AN10" s="12">
        <f t="shared" si="48"/>
        <v>0.69489314877420816</v>
      </c>
      <c r="AO10" s="14">
        <f t="shared" si="9"/>
        <v>0.33554756336359531</v>
      </c>
      <c r="AP10" s="14">
        <f t="shared" si="49"/>
        <v>1.0398336989916428</v>
      </c>
      <c r="AQ10" s="11">
        <f t="shared" si="71"/>
        <v>6.3325872268591041</v>
      </c>
      <c r="AR10" s="14">
        <f t="shared" si="10"/>
        <v>6.7887413282469273</v>
      </c>
      <c r="AS10" s="14">
        <f t="shared" si="11"/>
        <v>-1.3191273652871427E-2</v>
      </c>
      <c r="AT10" s="89">
        <f t="shared" si="50"/>
        <v>275.55960728887516</v>
      </c>
      <c r="AU10" s="89">
        <f t="shared" si="51"/>
        <v>47.788080250691323</v>
      </c>
      <c r="AV10" s="89">
        <f t="shared" si="52"/>
        <v>142.32701105092784</v>
      </c>
      <c r="AW10" s="14">
        <f t="shared" si="53"/>
        <v>1.841455387651763</v>
      </c>
      <c r="AX10" s="14">
        <f t="shared" si="54"/>
        <v>-0.3195082607776385</v>
      </c>
      <c r="AY10" s="14">
        <f t="shared" si="55"/>
        <v>0.90928621922401476</v>
      </c>
      <c r="AZ10" s="11">
        <f t="shared" si="56"/>
        <v>0.20296301416316442</v>
      </c>
      <c r="BA10" s="2"/>
      <c r="BB10" s="12">
        <v>0.21074572005565329</v>
      </c>
      <c r="BC10" s="12">
        <v>0.50423364660407455</v>
      </c>
      <c r="BD10" s="12">
        <f t="shared" si="57"/>
        <v>0.22134156987383763</v>
      </c>
      <c r="BE10" s="12">
        <f t="shared" si="58"/>
        <v>0.45099458602459414</v>
      </c>
      <c r="BF10" s="12">
        <v>0.6949538424348789</v>
      </c>
      <c r="BG10" s="14">
        <f t="shared" si="12"/>
        <v>0.33563549366835971</v>
      </c>
      <c r="BH10" s="14">
        <f t="shared" si="13"/>
        <v>1.0395612817539506</v>
      </c>
      <c r="BI10" s="11">
        <f t="shared" si="59"/>
        <v>6.3309282058815581</v>
      </c>
      <c r="BJ10" s="11">
        <f t="shared" si="14"/>
        <v>6.7406713694208928</v>
      </c>
      <c r="BK10" s="12">
        <f t="shared" si="15"/>
        <v>-1.3101638644019253E-2</v>
      </c>
      <c r="BL10" s="11">
        <f t="shared" si="16"/>
        <v>0.15489305533712994</v>
      </c>
      <c r="BM10" s="14">
        <f t="shared" si="72"/>
        <v>6.2794697157971298</v>
      </c>
      <c r="BN10" s="14">
        <f t="shared" si="73"/>
        <v>3.0818722174060906</v>
      </c>
      <c r="BO10" s="14">
        <f t="shared" si="74"/>
        <v>2.7564754835988099</v>
      </c>
      <c r="BP10" s="14">
        <f t="shared" si="60"/>
        <v>249.63951441341811</v>
      </c>
      <c r="BQ10" s="14">
        <f t="shared" si="61"/>
        <v>60.130753227171766</v>
      </c>
      <c r="BR10" s="14">
        <f t="shared" si="62"/>
        <v>48.103387044444091</v>
      </c>
      <c r="BS10" s="14">
        <f t="shared" si="63"/>
        <v>141.40537414180227</v>
      </c>
      <c r="BT10" s="14">
        <f t="shared" si="64"/>
        <v>273.69424677887349</v>
      </c>
      <c r="BU10" s="18">
        <f t="shared" si="18"/>
        <v>275.81060588883821</v>
      </c>
      <c r="BV10" s="18">
        <f t="shared" si="19"/>
        <v>47.78897365446548</v>
      </c>
      <c r="BW10" s="18">
        <f t="shared" si="20"/>
        <v>142.48414170420472</v>
      </c>
      <c r="BX10" s="11">
        <f t="shared" si="65"/>
        <v>2.1163591099647192</v>
      </c>
      <c r="BY10" s="11">
        <f t="shared" si="66"/>
        <v>-0.31441338997861124</v>
      </c>
      <c r="BZ10" s="11">
        <f t="shared" si="67"/>
        <v>1.0787675624024473</v>
      </c>
      <c r="CA10" s="11">
        <f t="shared" si="21"/>
        <v>186.92629643241585</v>
      </c>
      <c r="CB10" s="11">
        <f t="shared" si="22"/>
        <v>6.6004232720610068</v>
      </c>
      <c r="CC10" s="11">
        <f t="shared" si="23"/>
        <v>2.7474522766211318</v>
      </c>
      <c r="CD10" s="11">
        <f t="shared" si="24"/>
        <v>6.292102233893055</v>
      </c>
      <c r="CE10" s="11">
        <f t="shared" si="25"/>
        <v>3.0880438370787391</v>
      </c>
      <c r="CF10" s="11">
        <f t="shared" si="26"/>
        <v>55.338677029605989</v>
      </c>
      <c r="CG10" s="11">
        <f t="shared" si="27"/>
        <v>53.892357829343631</v>
      </c>
      <c r="CH10" s="11">
        <f t="shared" si="28"/>
        <v>54.615517429474806</v>
      </c>
      <c r="CI10" s="14"/>
      <c r="CJ10" s="14">
        <f t="shared" si="29"/>
        <v>-8.7824707194790186E-3</v>
      </c>
      <c r="CK10" s="14">
        <f t="shared" si="30"/>
        <v>1.3180934380360831E-2</v>
      </c>
      <c r="CL10" s="14">
        <f t="shared" si="31"/>
        <v>6.4407743922458849E-3</v>
      </c>
      <c r="CM10" s="19"/>
      <c r="CN10" s="12"/>
      <c r="CO10" s="12"/>
      <c r="CR10" s="17"/>
      <c r="CS10" s="20"/>
      <c r="CT10" s="20"/>
      <c r="CU10" s="21"/>
      <c r="DB10" s="14"/>
      <c r="DC10" s="14"/>
      <c r="DD10" s="14"/>
      <c r="DE10" s="14"/>
      <c r="DJ10" s="12"/>
    </row>
    <row r="11" spans="1:141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8"/>
        <v>0.22024501494487403</v>
      </c>
      <c r="I11" s="12">
        <f t="shared" si="69"/>
        <v>0.44912514961026817</v>
      </c>
      <c r="J11" s="12">
        <f t="shared" si="0"/>
        <v>6.50221549004492E-2</v>
      </c>
      <c r="K11" s="13">
        <f t="shared" si="32"/>
        <v>4.5094393371439889E-2</v>
      </c>
      <c r="L11" s="13">
        <f>SUM(K$3:$K11)</f>
        <v>0.51184427775792474</v>
      </c>
      <c r="M11" s="72">
        <f t="shared" si="70"/>
        <v>0.6940257685658715</v>
      </c>
      <c r="N11" s="12">
        <f t="shared" si="33"/>
        <v>1.4137639436247103E-4</v>
      </c>
      <c r="O11" s="21">
        <f t="shared" si="34"/>
        <v>4.6994311607138134E-9</v>
      </c>
      <c r="P11" s="11">
        <f>SUM(O$2:$O11)</f>
        <v>7.9493921868911995E-8</v>
      </c>
      <c r="Q11" s="12">
        <f t="shared" si="35"/>
        <v>1.0142806575692159E-3</v>
      </c>
      <c r="R11" s="3">
        <f t="shared" si="1"/>
        <v>0.33429261858948089</v>
      </c>
      <c r="S11" s="1">
        <f t="shared" si="36"/>
        <v>1.465651071014774E-3</v>
      </c>
      <c r="T11" s="1">
        <f t="shared" si="37"/>
        <v>0.9580955207001608</v>
      </c>
      <c r="U11" s="1">
        <f t="shared" si="38"/>
        <v>4.2026301125735631E-3</v>
      </c>
      <c r="V11" s="11">
        <f t="shared" si="39"/>
        <v>6.3563599541197364</v>
      </c>
      <c r="W11" s="12">
        <f t="shared" si="40"/>
        <v>4.4114580764170713E-2</v>
      </c>
      <c r="X11" s="13">
        <f t="shared" si="2"/>
        <v>-1.4474828690472008E-2</v>
      </c>
      <c r="Y11" s="12" t="e">
        <f>(SQRT((Q11/M11)^2 + (0.0002/F11)^2))*#REF!</f>
        <v>#REF!</v>
      </c>
      <c r="Z11" s="12">
        <f t="shared" si="3"/>
        <v>4.1650641697307724E-3</v>
      </c>
      <c r="AA11" s="12">
        <f t="shared" si="41"/>
        <v>1.0843686537276222E-2</v>
      </c>
      <c r="AB11" s="12">
        <f t="shared" si="42"/>
        <v>4.7217187877818716E-3</v>
      </c>
      <c r="AC11" s="14">
        <f t="shared" si="43"/>
        <v>6.3023062632276323</v>
      </c>
      <c r="AD11" s="1">
        <f t="shared" si="44"/>
        <v>3.0905673804645217</v>
      </c>
      <c r="AE11" s="14">
        <f t="shared" si="45"/>
        <v>2.7506123431773082</v>
      </c>
      <c r="AF11" s="14">
        <f t="shared" si="4"/>
        <v>60.713450536357847</v>
      </c>
      <c r="AG11" s="14">
        <f t="shared" si="5"/>
        <v>252.4686693217576</v>
      </c>
      <c r="AH11" s="14">
        <f t="shared" si="6"/>
        <v>252.46866932175757</v>
      </c>
      <c r="AI11" s="14">
        <f t="shared" si="7"/>
        <v>60.713450536357847</v>
      </c>
      <c r="AJ11" s="14">
        <f t="shared" si="8"/>
        <v>48.091382041515033</v>
      </c>
      <c r="AK11" s="14">
        <f t="shared" si="46"/>
        <v>143.6638367438847</v>
      </c>
      <c r="AL11" s="14">
        <f t="shared" si="47"/>
        <v>277.71280631144322</v>
      </c>
      <c r="AM11" s="7"/>
      <c r="AN11" s="12">
        <f t="shared" si="48"/>
        <v>0.6940257685658715</v>
      </c>
      <c r="AO11" s="14">
        <f t="shared" si="9"/>
        <v>0.33429261858948089</v>
      </c>
      <c r="AP11" s="14">
        <f t="shared" si="49"/>
        <v>1.043737266686328</v>
      </c>
      <c r="AQ11" s="11">
        <f t="shared" si="71"/>
        <v>6.3563599541197364</v>
      </c>
      <c r="AR11" s="14">
        <f t="shared" si="10"/>
        <v>7.4932874227091162</v>
      </c>
      <c r="AS11" s="14">
        <f t="shared" si="11"/>
        <v>-1.4474828624401415E-2</v>
      </c>
      <c r="AT11" s="89">
        <f t="shared" si="50"/>
        <v>279.16897827158095</v>
      </c>
      <c r="AU11" s="89">
        <f t="shared" si="51"/>
        <v>47.907077121008307</v>
      </c>
      <c r="AV11" s="89">
        <f t="shared" si="52"/>
        <v>144.40331636145788</v>
      </c>
      <c r="AW11" s="14">
        <f t="shared" si="53"/>
        <v>1.4561719601377376</v>
      </c>
      <c r="AX11" s="14">
        <f t="shared" si="54"/>
        <v>-0.18430492050672598</v>
      </c>
      <c r="AY11" s="14">
        <f t="shared" si="55"/>
        <v>0.73947961757318126</v>
      </c>
      <c r="AZ11" s="11">
        <f t="shared" si="56"/>
        <v>0.21880026532250518</v>
      </c>
      <c r="BA11" s="2"/>
      <c r="BB11" s="12">
        <v>0.20914572005565329</v>
      </c>
      <c r="BC11" s="12">
        <v>0.5046336466040745</v>
      </c>
      <c r="BD11" s="12">
        <f t="shared" si="57"/>
        <v>0.22024501494487403</v>
      </c>
      <c r="BE11" s="12">
        <f t="shared" si="58"/>
        <v>0.44912514961026817</v>
      </c>
      <c r="BF11" s="12">
        <v>0.69407618165317098</v>
      </c>
      <c r="BG11" s="14">
        <f t="shared" si="12"/>
        <v>0.33436547156374946</v>
      </c>
      <c r="BH11" s="14">
        <f t="shared" si="13"/>
        <v>1.0435098527614468</v>
      </c>
      <c r="BI11" s="11">
        <f t="shared" si="59"/>
        <v>6.3549750033172101</v>
      </c>
      <c r="BJ11" s="11">
        <f t="shared" si="14"/>
        <v>7.4544208356231119</v>
      </c>
      <c r="BK11" s="12">
        <f t="shared" si="15"/>
        <v>-1.4400095264495705E-2</v>
      </c>
      <c r="BL11" s="11">
        <f t="shared" si="16"/>
        <v>0.17993367823650086</v>
      </c>
      <c r="BM11" s="14">
        <f t="shared" si="72"/>
        <v>6.3027640541775165</v>
      </c>
      <c r="BN11" s="14">
        <f t="shared" si="73"/>
        <v>3.0907918750729544</v>
      </c>
      <c r="BO11" s="14">
        <f t="shared" si="74"/>
        <v>2.7508121439144912</v>
      </c>
      <c r="BP11" s="14">
        <f t="shared" si="60"/>
        <v>252.45033167323521</v>
      </c>
      <c r="BQ11" s="14">
        <f t="shared" si="61"/>
        <v>60.709040714261882</v>
      </c>
      <c r="BR11" s="14">
        <f t="shared" si="62"/>
        <v>48.087889002702724</v>
      </c>
      <c r="BS11" s="14">
        <f t="shared" si="63"/>
        <v>143.65340195627061</v>
      </c>
      <c r="BT11" s="14">
        <f t="shared" si="64"/>
        <v>277.69263509635357</v>
      </c>
      <c r="BU11" s="18">
        <f t="shared" si="18"/>
        <v>279.56122992495273</v>
      </c>
      <c r="BV11" s="18">
        <f t="shared" si="19"/>
        <v>47.909909770255275</v>
      </c>
      <c r="BW11" s="18">
        <f t="shared" si="20"/>
        <v>144.645139172336</v>
      </c>
      <c r="BX11" s="11">
        <f t="shared" si="65"/>
        <v>1.8685948285991572</v>
      </c>
      <c r="BY11" s="11">
        <f t="shared" si="66"/>
        <v>-0.17797923244744851</v>
      </c>
      <c r="BZ11" s="11">
        <f t="shared" si="67"/>
        <v>0.99173721606538834</v>
      </c>
      <c r="CA11" s="11">
        <f t="shared" si="21"/>
        <v>189.61716942320822</v>
      </c>
      <c r="CB11" s="11">
        <f t="shared" si="22"/>
        <v>6.6325655055365207</v>
      </c>
      <c r="CC11" s="11">
        <f t="shared" si="23"/>
        <v>2.7457168767865845</v>
      </c>
      <c r="CD11" s="11">
        <f t="shared" si="24"/>
        <v>6.3158169598145895</v>
      </c>
      <c r="CE11" s="11">
        <f t="shared" si="25"/>
        <v>3.0967166712458862</v>
      </c>
      <c r="CF11" s="11">
        <f t="shared" si="26"/>
        <v>55.729164012676506</v>
      </c>
      <c r="CG11" s="11">
        <f t="shared" si="27"/>
        <v>54.191387950858868</v>
      </c>
      <c r="CH11" s="11">
        <f t="shared" si="28"/>
        <v>54.960275981767687</v>
      </c>
      <c r="CI11" s="14"/>
      <c r="CJ11" s="14">
        <f t="shared" si="29"/>
        <v>-4.8954663907236906E-3</v>
      </c>
      <c r="CK11" s="14">
        <f t="shared" si="30"/>
        <v>1.3510696586957138E-2</v>
      </c>
      <c r="CL11" s="14">
        <f t="shared" si="31"/>
        <v>6.1492907813645026E-3</v>
      </c>
      <c r="CM11" s="19"/>
      <c r="CN11" s="12"/>
      <c r="CO11" s="12"/>
      <c r="CR11" s="17"/>
      <c r="CS11" s="20"/>
      <c r="CT11" s="20"/>
      <c r="CU11" s="21"/>
      <c r="DB11" s="14"/>
      <c r="DC11" s="14"/>
      <c r="DD11" s="14"/>
      <c r="DE11" s="14"/>
      <c r="DJ11" s="12"/>
    </row>
    <row r="12" spans="1:141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8"/>
        <v>0.21937759640869217</v>
      </c>
      <c r="I12" s="12">
        <f t="shared" si="69"/>
        <v>0.44776499001184611</v>
      </c>
      <c r="J12" s="12">
        <f t="shared" si="0"/>
        <v>6.4407756455996668E-2</v>
      </c>
      <c r="K12" s="13">
        <f t="shared" si="32"/>
        <v>3.6212931844008638E-2</v>
      </c>
      <c r="L12" s="13">
        <f>SUM(K$3:$K12)</f>
        <v>0.54805720960193338</v>
      </c>
      <c r="M12" s="72">
        <f t="shared" si="70"/>
        <v>0.6933307872929303</v>
      </c>
      <c r="N12" s="12">
        <f t="shared" si="33"/>
        <v>1.4015569129308025E-4</v>
      </c>
      <c r="O12" s="21">
        <f t="shared" si="34"/>
        <v>3.0482080873313215E-9</v>
      </c>
      <c r="P12" s="11">
        <f>SUM(O$2:$O12)</f>
        <v>8.2542129956243318E-8</v>
      </c>
      <c r="Q12" s="12">
        <f t="shared" si="35"/>
        <v>1.0152823653699968E-3</v>
      </c>
      <c r="R12" s="3">
        <f t="shared" si="1"/>
        <v>0.33328936532078701</v>
      </c>
      <c r="S12" s="1">
        <f t="shared" si="36"/>
        <v>1.4641617884736504E-3</v>
      </c>
      <c r="T12" s="1">
        <f t="shared" si="37"/>
        <v>0.95522015819015638</v>
      </c>
      <c r="U12" s="1">
        <f t="shared" si="38"/>
        <v>4.1983617714485685E-3</v>
      </c>
      <c r="V12" s="11">
        <f t="shared" si="39"/>
        <v>6.3754935946270725</v>
      </c>
      <c r="W12" s="12">
        <f t="shared" si="40"/>
        <v>4.428255072125057E-2</v>
      </c>
      <c r="X12" s="13">
        <f t="shared" si="2"/>
        <v>-1.5506744712230458E-2</v>
      </c>
      <c r="Y12" s="12" t="e">
        <f>(SQRT((Q12/M12)^2 + (0.0002/F12)^2))*#REF!</f>
        <v>#REF!</v>
      </c>
      <c r="Z12" s="12">
        <f t="shared" si="3"/>
        <v>4.1756824562262313E-3</v>
      </c>
      <c r="AA12" s="12">
        <f t="shared" si="41"/>
        <v>1.090326493702074E-2</v>
      </c>
      <c r="AB12" s="12">
        <f t="shared" si="42"/>
        <v>4.7411600665294151E-3</v>
      </c>
      <c r="AC12" s="14">
        <f t="shared" si="43"/>
        <v>6.3208896317861125</v>
      </c>
      <c r="AD12" s="1">
        <f t="shared" si="44"/>
        <v>3.0968512624204383</v>
      </c>
      <c r="AE12" s="14">
        <f t="shared" si="45"/>
        <v>2.7522210633057123</v>
      </c>
      <c r="AF12" s="14">
        <f t="shared" si="4"/>
        <v>61.144093165633755</v>
      </c>
      <c r="AG12" s="14">
        <f t="shared" si="5"/>
        <v>254.72421247965286</v>
      </c>
      <c r="AH12" s="14">
        <f t="shared" si="6"/>
        <v>254.72421247965286</v>
      </c>
      <c r="AI12" s="14">
        <f t="shared" si="7"/>
        <v>61.144093165633755</v>
      </c>
      <c r="AJ12" s="14">
        <f t="shared" si="8"/>
        <v>48.292583822289842</v>
      </c>
      <c r="AK12" s="14">
        <f t="shared" si="46"/>
        <v>145.28753549172927</v>
      </c>
      <c r="AL12" s="14">
        <f t="shared" si="47"/>
        <v>280.42723116634073</v>
      </c>
      <c r="AM12" s="7"/>
      <c r="AN12" s="12">
        <f t="shared" si="48"/>
        <v>0.6933307872929303</v>
      </c>
      <c r="AO12" s="14">
        <f t="shared" si="9"/>
        <v>0.33328936532078701</v>
      </c>
      <c r="AP12" s="14">
        <f t="shared" si="49"/>
        <v>1.0468790795775158</v>
      </c>
      <c r="AQ12" s="11">
        <f t="shared" si="71"/>
        <v>6.3754935946270725</v>
      </c>
      <c r="AR12" s="14">
        <f t="shared" si="10"/>
        <v>8.0654740585564699</v>
      </c>
      <c r="AS12" s="14">
        <f t="shared" si="11"/>
        <v>-1.5506744641379022E-2</v>
      </c>
      <c r="AT12" s="89">
        <f t="shared" si="50"/>
        <v>282.08873846876031</v>
      </c>
      <c r="AU12" s="89">
        <f t="shared" si="51"/>
        <v>47.998138686011515</v>
      </c>
      <c r="AV12" s="89">
        <f t="shared" si="52"/>
        <v>146.08603457683466</v>
      </c>
      <c r="AW12" s="14">
        <f t="shared" si="53"/>
        <v>1.6615073024195794</v>
      </c>
      <c r="AX12" s="14">
        <f t="shared" si="54"/>
        <v>-0.29444513627832691</v>
      </c>
      <c r="AY12" s="14">
        <f t="shared" si="55"/>
        <v>0.7984990851053908</v>
      </c>
      <c r="AZ12" s="11">
        <f t="shared" si="56"/>
        <v>0.2314109659862309</v>
      </c>
      <c r="BA12" s="2"/>
      <c r="BB12" s="12">
        <v>0.20814572005565329</v>
      </c>
      <c r="BC12" s="12">
        <v>0.50383364660407459</v>
      </c>
      <c r="BD12" s="12">
        <f t="shared" si="57"/>
        <v>0.21937759640869217</v>
      </c>
      <c r="BE12" s="12">
        <f t="shared" si="58"/>
        <v>0.44776499001184611</v>
      </c>
      <c r="BF12" s="12">
        <v>0.69348305841614988</v>
      </c>
      <c r="BG12" s="14">
        <f t="shared" si="12"/>
        <v>0.33350900720176824</v>
      </c>
      <c r="BH12" s="14">
        <f t="shared" si="13"/>
        <v>1.0461896274630811</v>
      </c>
      <c r="BI12" s="11">
        <f t="shared" si="59"/>
        <v>6.3712948312501645</v>
      </c>
      <c r="BJ12" s="11">
        <f t="shared" si="14"/>
        <v>7.9430942240404345</v>
      </c>
      <c r="BK12" s="12">
        <f t="shared" si="15"/>
        <v>-1.5280385331867929E-2</v>
      </c>
      <c r="BL12" s="11">
        <f t="shared" si="16"/>
        <v>0.1090311314701955</v>
      </c>
      <c r="BM12" s="14">
        <f t="shared" si="72"/>
        <v>6.3222778421203696</v>
      </c>
      <c r="BN12" s="14">
        <f t="shared" si="73"/>
        <v>3.0975314010048129</v>
      </c>
      <c r="BO12" s="14">
        <f t="shared" si="74"/>
        <v>2.7528255133032298</v>
      </c>
      <c r="BP12" s="14">
        <f t="shared" si="60"/>
        <v>254.668281564723</v>
      </c>
      <c r="BQ12" s="14">
        <f t="shared" si="61"/>
        <v>61.130667488349239</v>
      </c>
      <c r="BR12" s="14">
        <f t="shared" si="62"/>
        <v>48.281980007398388</v>
      </c>
      <c r="BS12" s="14">
        <f t="shared" si="63"/>
        <v>145.25563406897538</v>
      </c>
      <c r="BT12" s="14">
        <f t="shared" si="64"/>
        <v>280.36565652662472</v>
      </c>
      <c r="BU12" s="18">
        <f t="shared" si="18"/>
        <v>282.11983856233911</v>
      </c>
      <c r="BV12" s="18">
        <f t="shared" si="19"/>
        <v>47.988353462596997</v>
      </c>
      <c r="BW12" s="18">
        <f t="shared" si="20"/>
        <v>146.12174566569971</v>
      </c>
      <c r="BX12" s="11">
        <f t="shared" si="65"/>
        <v>1.7541820357143934</v>
      </c>
      <c r="BY12" s="11">
        <f t="shared" si="66"/>
        <v>-0.29362654480139128</v>
      </c>
      <c r="BZ12" s="11">
        <f t="shared" si="67"/>
        <v>0.86611159672432336</v>
      </c>
      <c r="CA12" s="11">
        <f t="shared" si="21"/>
        <v>191.45444329791283</v>
      </c>
      <c r="CB12" s="11">
        <f t="shared" si="22"/>
        <v>6.6543089716143573</v>
      </c>
      <c r="CC12" s="11">
        <f t="shared" si="23"/>
        <v>2.7444421027979069</v>
      </c>
      <c r="CD12" s="11">
        <f t="shared" si="24"/>
        <v>6.3318363705983653</v>
      </c>
      <c r="CE12" s="11">
        <f t="shared" si="25"/>
        <v>3.1025477940765067</v>
      </c>
      <c r="CF12" s="11">
        <f t="shared" si="26"/>
        <v>55.992630656886078</v>
      </c>
      <c r="CG12" s="11">
        <f t="shared" si="27"/>
        <v>54.390779673884452</v>
      </c>
      <c r="CH12" s="11">
        <f t="shared" si="28"/>
        <v>55.191705165385265</v>
      </c>
      <c r="CI12" s="14"/>
      <c r="CJ12" s="14">
        <f t="shared" si="29"/>
        <v>-7.7789605078053548E-3</v>
      </c>
      <c r="CK12" s="14">
        <f t="shared" si="30"/>
        <v>1.0946738812252832E-2</v>
      </c>
      <c r="CL12" s="14">
        <f t="shared" si="31"/>
        <v>5.6965316560684265E-3</v>
      </c>
      <c r="CM12" s="19"/>
      <c r="CN12" s="12"/>
      <c r="CO12" s="12"/>
      <c r="CR12" s="17"/>
      <c r="CS12" s="20"/>
      <c r="CT12" s="20"/>
      <c r="CU12" s="21"/>
      <c r="DB12" s="14"/>
      <c r="DC12" s="14"/>
      <c r="DD12" s="14"/>
      <c r="DE12" s="14"/>
      <c r="DJ12" s="12"/>
    </row>
    <row r="13" spans="1:141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8"/>
        <v>0.21834293437005509</v>
      </c>
      <c r="I13" s="12">
        <f t="shared" si="69"/>
        <v>0.44626509021859395</v>
      </c>
      <c r="J13" s="12">
        <f t="shared" si="0"/>
        <v>6.3582325213876231E-2</v>
      </c>
      <c r="K13" s="13">
        <f t="shared" si="32"/>
        <v>4.407395055054756E-2</v>
      </c>
      <c r="L13" s="13">
        <f>SUM(K$3:$K13)</f>
        <v>0.59213116015248091</v>
      </c>
      <c r="M13" s="72">
        <f t="shared" si="70"/>
        <v>0.69248681671030432</v>
      </c>
      <c r="N13" s="12">
        <f t="shared" si="33"/>
        <v>1.3890838379065608E-4</v>
      </c>
      <c r="O13" s="21">
        <f t="shared" si="34"/>
        <v>4.5241558546774555E-9</v>
      </c>
      <c r="P13" s="11">
        <f>SUM(O$2:$O13)</f>
        <v>8.7066285810920778E-8</v>
      </c>
      <c r="Q13" s="12">
        <f t="shared" si="35"/>
        <v>1.0164996659044819E-3</v>
      </c>
      <c r="R13" s="3">
        <f t="shared" si="1"/>
        <v>0.33207373709915805</v>
      </c>
      <c r="S13" s="1">
        <f t="shared" si="36"/>
        <v>1.4623506238884507E-3</v>
      </c>
      <c r="T13" s="1">
        <f t="shared" si="37"/>
        <v>0.95173612088507398</v>
      </c>
      <c r="U13" s="1">
        <f t="shared" si="38"/>
        <v>4.1931709039874435E-3</v>
      </c>
      <c r="V13" s="11">
        <f t="shared" si="39"/>
        <v>6.3988324771540244</v>
      </c>
      <c r="W13" s="12">
        <f t="shared" si="40"/>
        <v>4.4487699609290852E-2</v>
      </c>
      <c r="X13" s="13">
        <f t="shared" si="2"/>
        <v>-1.6764061508428685E-2</v>
      </c>
      <c r="Y13" s="12" t="e">
        <f>(SQRT((Q13/M13)^2 + (0.0002/F13)^2))*#REF!</f>
        <v>#REF!</v>
      </c>
      <c r="Z13" s="12">
        <f t="shared" si="3"/>
        <v>4.1782275363312161E-3</v>
      </c>
      <c r="AA13" s="12">
        <f t="shared" si="41"/>
        <v>1.0975162054274496E-2</v>
      </c>
      <c r="AB13" s="12">
        <f t="shared" si="42"/>
        <v>4.7631798470375202E-3</v>
      </c>
      <c r="AC13" s="14">
        <f t="shared" si="43"/>
        <v>6.3431117540689819</v>
      </c>
      <c r="AD13" s="1">
        <f t="shared" si="44"/>
        <v>3.1034774258103122</v>
      </c>
      <c r="AE13" s="14">
        <f t="shared" si="45"/>
        <v>2.7477801189501236</v>
      </c>
      <c r="AF13" s="14">
        <f t="shared" si="4"/>
        <v>61.630816567583516</v>
      </c>
      <c r="AG13" s="14">
        <f t="shared" si="5"/>
        <v>257.45745167788135</v>
      </c>
      <c r="AH13" s="14">
        <f t="shared" si="6"/>
        <v>257.45745167788135</v>
      </c>
      <c r="AI13" s="14">
        <f t="shared" si="7"/>
        <v>61.630816567583516</v>
      </c>
      <c r="AJ13" s="14">
        <f t="shared" si="8"/>
        <v>48.313076582838384</v>
      </c>
      <c r="AK13" s="14">
        <f t="shared" si="46"/>
        <v>147.51355852745945</v>
      </c>
      <c r="AL13" s="14">
        <f t="shared" si="47"/>
        <v>284.09293164737159</v>
      </c>
      <c r="AM13" s="7"/>
      <c r="AN13" s="12">
        <f t="shared" si="48"/>
        <v>0.69248681671030432</v>
      </c>
      <c r="AO13" s="14">
        <f t="shared" si="9"/>
        <v>0.33207373709915805</v>
      </c>
      <c r="AP13" s="14">
        <f t="shared" si="49"/>
        <v>1.0507114083996756</v>
      </c>
      <c r="AQ13" s="11">
        <f t="shared" si="71"/>
        <v>6.3988324771540244</v>
      </c>
      <c r="AR13" s="14">
        <f t="shared" si="10"/>
        <v>8.7696190756684569</v>
      </c>
      <c r="AS13" s="14">
        <f t="shared" si="11"/>
        <v>-1.6764061431739696E-2</v>
      </c>
      <c r="AT13" s="89">
        <f t="shared" si="50"/>
        <v>285.66797928635941</v>
      </c>
      <c r="AU13" s="89">
        <f t="shared" si="51"/>
        <v>48.103453816399828</v>
      </c>
      <c r="AV13" s="89">
        <f t="shared" si="52"/>
        <v>148.15261057105383</v>
      </c>
      <c r="AW13" s="14">
        <f t="shared" si="53"/>
        <v>1.5750476389878258</v>
      </c>
      <c r="AX13" s="14">
        <f t="shared" si="54"/>
        <v>-0.2096227664385566</v>
      </c>
      <c r="AY13" s="14">
        <f t="shared" si="55"/>
        <v>0.63905204359437562</v>
      </c>
      <c r="AZ13" s="11">
        <f t="shared" si="56"/>
        <v>0.24684713979537065</v>
      </c>
      <c r="BA13" s="2"/>
      <c r="BB13" s="12">
        <v>0.20734572005565327</v>
      </c>
      <c r="BC13" s="12">
        <v>0.50403364660407457</v>
      </c>
      <c r="BD13" s="12">
        <f t="shared" si="57"/>
        <v>0.21834293437005509</v>
      </c>
      <c r="BE13" s="12">
        <f t="shared" si="58"/>
        <v>0.44626509021859395</v>
      </c>
      <c r="BF13" s="12">
        <v>0.69268212999975654</v>
      </c>
      <c r="BG13" s="14">
        <f t="shared" si="12"/>
        <v>0.33235479678358093</v>
      </c>
      <c r="BH13" s="14">
        <f t="shared" si="13"/>
        <v>1.0498228621240622</v>
      </c>
      <c r="BI13" s="11">
        <f t="shared" si="59"/>
        <v>6.3934212303355382</v>
      </c>
      <c r="BJ13" s="11">
        <f t="shared" si="14"/>
        <v>8.6111657498525442</v>
      </c>
      <c r="BK13" s="12">
        <f t="shared" si="15"/>
        <v>-1.6472682010171713E-2</v>
      </c>
      <c r="BL13" s="11">
        <f t="shared" si="16"/>
        <v>8.8393813979458002E-2</v>
      </c>
      <c r="BM13" s="14">
        <f t="shared" si="72"/>
        <v>6.3449008047659117</v>
      </c>
      <c r="BN13" s="14">
        <f t="shared" si="73"/>
        <v>3.1043527498889065</v>
      </c>
      <c r="BO13" s="14">
        <f t="shared" si="74"/>
        <v>2.7485551199476488</v>
      </c>
      <c r="BP13" s="14">
        <f t="shared" si="60"/>
        <v>257.38485725165992</v>
      </c>
      <c r="BQ13" s="14">
        <f t="shared" si="61"/>
        <v>61.613438730052998</v>
      </c>
      <c r="BR13" s="14">
        <f t="shared" si="62"/>
        <v>48.299453904408743</v>
      </c>
      <c r="BS13" s="14">
        <f t="shared" si="63"/>
        <v>147.47196461719818</v>
      </c>
      <c r="BT13" s="14">
        <f t="shared" si="64"/>
        <v>284.01282690294846</v>
      </c>
      <c r="BU13" s="18">
        <f t="shared" si="18"/>
        <v>285.60580482532021</v>
      </c>
      <c r="BV13" s="18">
        <f t="shared" si="19"/>
        <v>48.089964431295883</v>
      </c>
      <c r="BW13" s="18">
        <f t="shared" si="20"/>
        <v>148.13667592001079</v>
      </c>
      <c r="BX13" s="11">
        <f t="shared" si="65"/>
        <v>1.5929779223717446</v>
      </c>
      <c r="BY13" s="11">
        <f t="shared" si="66"/>
        <v>-0.20948947311286048</v>
      </c>
      <c r="BZ13" s="11">
        <f t="shared" si="67"/>
        <v>0.66471130281260571</v>
      </c>
      <c r="CA13" s="11">
        <f t="shared" si="21"/>
        <v>193.95971888844724</v>
      </c>
      <c r="CB13" s="11">
        <f t="shared" si="22"/>
        <v>6.6836985747421132</v>
      </c>
      <c r="CC13" s="11">
        <f t="shared" si="23"/>
        <v>2.742587981368763</v>
      </c>
      <c r="CD13" s="11">
        <f t="shared" si="24"/>
        <v>6.3534591729478098</v>
      </c>
      <c r="CE13" s="11">
        <f t="shared" si="25"/>
        <v>3.1103830571099307</v>
      </c>
      <c r="CF13" s="11">
        <f t="shared" si="26"/>
        <v>56.347804439839408</v>
      </c>
      <c r="CG13" s="11">
        <f t="shared" si="27"/>
        <v>54.656444939961375</v>
      </c>
      <c r="CH13" s="11">
        <f t="shared" si="28"/>
        <v>55.502124689900391</v>
      </c>
      <c r="CI13" s="14"/>
      <c r="CJ13" s="14">
        <f t="shared" si="29"/>
        <v>-5.1921375813606119E-3</v>
      </c>
      <c r="CK13" s="14">
        <f t="shared" si="30"/>
        <v>1.0347418878827952E-2</v>
      </c>
      <c r="CL13" s="14">
        <f t="shared" si="31"/>
        <v>6.9056312996185198E-3</v>
      </c>
      <c r="CM13" s="19"/>
      <c r="CN13" s="12"/>
      <c r="CO13" s="12"/>
      <c r="CR13" s="17"/>
      <c r="CS13" s="20"/>
      <c r="CT13" s="20"/>
      <c r="CU13" s="21"/>
      <c r="DB13" s="14"/>
      <c r="DC13" s="14"/>
      <c r="DD13" s="14"/>
      <c r="DE13" s="14"/>
      <c r="DJ13" s="12"/>
    </row>
    <row r="14" spans="1:141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8"/>
        <v>0.21746956626893954</v>
      </c>
      <c r="I14" s="12">
        <f t="shared" si="69"/>
        <v>0.44506680642534358</v>
      </c>
      <c r="J14" s="12">
        <f t="shared" si="0"/>
        <v>6.2874177611697807E-2</v>
      </c>
      <c r="K14" s="13">
        <f t="shared" si="32"/>
        <v>3.8102623907745201E-2</v>
      </c>
      <c r="L14" s="13">
        <f>SUM(K$3:$K14)</f>
        <v>0.63023378406022612</v>
      </c>
      <c r="M14" s="72">
        <f t="shared" si="70"/>
        <v>0.69175884509037111</v>
      </c>
      <c r="N14" s="12">
        <f t="shared" si="33"/>
        <v>1.3732168282651387E-4</v>
      </c>
      <c r="O14" s="21">
        <f t="shared" si="34"/>
        <v>3.400095117608118E-9</v>
      </c>
      <c r="P14" s="11">
        <f>SUM(O$2:$O14)</f>
        <v>9.0466380928528898E-8</v>
      </c>
      <c r="Q14" s="12">
        <f t="shared" si="35"/>
        <v>1.0175503483713353E-3</v>
      </c>
      <c r="R14" s="3">
        <f t="shared" si="1"/>
        <v>0.33102756750325524</v>
      </c>
      <c r="S14" s="1">
        <f t="shared" si="36"/>
        <v>1.460786019683415E-3</v>
      </c>
      <c r="T14" s="1">
        <f t="shared" si="37"/>
        <v>0.94873775852829678</v>
      </c>
      <c r="U14" s="1">
        <f t="shared" si="38"/>
        <v>4.1886866880725413E-3</v>
      </c>
      <c r="V14" s="11">
        <f t="shared" si="39"/>
        <v>6.4190551553960971</v>
      </c>
      <c r="W14" s="12">
        <f t="shared" si="40"/>
        <v>4.4665688694352355E-2</v>
      </c>
      <c r="X14" s="13">
        <f t="shared" si="2"/>
        <v>-1.7852265922046695E-2</v>
      </c>
      <c r="Y14" s="12" t="e">
        <f>(SQRT((Q14/M14)^2 + (0.0002/F14)^2))*#REF!</f>
        <v>#REF!</v>
      </c>
      <c r="Z14" s="12">
        <f t="shared" si="3"/>
        <v>4.1784128206378921E-3</v>
      </c>
      <c r="AA14" s="12">
        <f t="shared" si="41"/>
        <v>1.103658370927338E-2</v>
      </c>
      <c r="AB14" s="12">
        <f t="shared" si="42"/>
        <v>4.7811870012114408E-3</v>
      </c>
      <c r="AC14" s="14">
        <f t="shared" si="43"/>
        <v>6.3618910632753929</v>
      </c>
      <c r="AD14" s="1">
        <f t="shared" si="44"/>
        <v>3.1085618388232157</v>
      </c>
      <c r="AE14" s="14">
        <f t="shared" si="45"/>
        <v>2.7427149229532919</v>
      </c>
      <c r="AF14" s="14">
        <f t="shared" si="4"/>
        <v>62.028335869688654</v>
      </c>
      <c r="AG14" s="14">
        <f t="shared" si="5"/>
        <v>259.80264240704486</v>
      </c>
      <c r="AH14" s="14">
        <f t="shared" si="6"/>
        <v>259.80264240704491</v>
      </c>
      <c r="AI14" s="14">
        <f t="shared" si="7"/>
        <v>62.028335869688654</v>
      </c>
      <c r="AJ14" s="14">
        <f t="shared" si="8"/>
        <v>48.287247074451592</v>
      </c>
      <c r="AK14" s="14">
        <f t="shared" si="46"/>
        <v>149.48705946290468</v>
      </c>
      <c r="AL14" s="14">
        <f t="shared" si="47"/>
        <v>287.28481999751904</v>
      </c>
      <c r="AM14" s="7"/>
      <c r="AN14" s="12">
        <f t="shared" si="48"/>
        <v>0.69175884509037111</v>
      </c>
      <c r="AO14" s="14">
        <f t="shared" si="9"/>
        <v>0.33102756750325524</v>
      </c>
      <c r="AP14" s="14">
        <f t="shared" si="49"/>
        <v>1.0540320452210339</v>
      </c>
      <c r="AQ14" s="11">
        <f t="shared" si="71"/>
        <v>6.4190551553960971</v>
      </c>
      <c r="AR14" s="14">
        <f t="shared" si="10"/>
        <v>9.3852665136084088</v>
      </c>
      <c r="AS14" s="14">
        <f t="shared" si="11"/>
        <v>-1.7852265840293979E-2</v>
      </c>
      <c r="AT14" s="89">
        <f t="shared" si="50"/>
        <v>288.78509211694814</v>
      </c>
      <c r="AU14" s="89">
        <f t="shared" si="51"/>
        <v>48.189530589411142</v>
      </c>
      <c r="AV14" s="89">
        <f t="shared" si="52"/>
        <v>149.95574844461828</v>
      </c>
      <c r="AW14" s="14">
        <f t="shared" si="53"/>
        <v>1.5002721194290984</v>
      </c>
      <c r="AX14" s="14">
        <f t="shared" si="54"/>
        <v>-9.7716485040450607E-2</v>
      </c>
      <c r="AY14" s="14">
        <f t="shared" si="55"/>
        <v>0.46868898171359774</v>
      </c>
      <c r="AZ14" s="11">
        <f t="shared" si="56"/>
        <v>0.25987433984527897</v>
      </c>
      <c r="BA14" s="2"/>
      <c r="BB14" s="12">
        <v>0.20634572005565327</v>
      </c>
      <c r="BC14" s="12">
        <v>0.50443364660407453</v>
      </c>
      <c r="BD14" s="12">
        <f t="shared" si="57"/>
        <v>0.21746956626893954</v>
      </c>
      <c r="BE14" s="12">
        <f t="shared" si="58"/>
        <v>0.44506680642534358</v>
      </c>
      <c r="BF14" s="12">
        <v>0.69198921766454169</v>
      </c>
      <c r="BG14" s="14">
        <f t="shared" si="12"/>
        <v>0.33135839842449122</v>
      </c>
      <c r="BH14" s="14">
        <f t="shared" si="13"/>
        <v>1.0529796910504721</v>
      </c>
      <c r="BI14" s="11">
        <f t="shared" si="59"/>
        <v>6.4126463184973748</v>
      </c>
      <c r="BJ14" s="11">
        <f t="shared" si="14"/>
        <v>9.1968128246121008</v>
      </c>
      <c r="BK14" s="12">
        <f t="shared" si="15"/>
        <v>-1.7507523181253926E-2</v>
      </c>
      <c r="BL14" s="11">
        <f t="shared" si="16"/>
        <v>7.1420650848970979E-2</v>
      </c>
      <c r="BM14" s="14">
        <f t="shared" si="72"/>
        <v>6.3640097282281305</v>
      </c>
      <c r="BN14" s="14">
        <f t="shared" si="73"/>
        <v>3.1095970657637322</v>
      </c>
      <c r="BO14" s="14">
        <f t="shared" si="74"/>
        <v>2.7436283139442437</v>
      </c>
      <c r="BP14" s="14">
        <f t="shared" si="60"/>
        <v>259.71615059188383</v>
      </c>
      <c r="BQ14" s="14">
        <f t="shared" si="61"/>
        <v>62.007685797344962</v>
      </c>
      <c r="BR14" s="14">
        <f t="shared" si="62"/>
        <v>48.271171596504544</v>
      </c>
      <c r="BS14" s="14">
        <f t="shared" si="63"/>
        <v>149.43729319803435</v>
      </c>
      <c r="BT14" s="14">
        <f t="shared" si="64"/>
        <v>287.18917899356472</v>
      </c>
      <c r="BU14" s="18">
        <f t="shared" si="18"/>
        <v>288.65056729527714</v>
      </c>
      <c r="BV14" s="18">
        <f t="shared" si="19"/>
        <v>48.173773633304954</v>
      </c>
      <c r="BW14" s="18">
        <f t="shared" si="20"/>
        <v>149.89952868765988</v>
      </c>
      <c r="BX14" s="11">
        <f t="shared" si="65"/>
        <v>1.4613883017124181</v>
      </c>
      <c r="BY14" s="11">
        <f t="shared" si="66"/>
        <v>-9.7397963199590265E-2</v>
      </c>
      <c r="BZ14" s="11">
        <f t="shared" si="67"/>
        <v>0.46223548962552741</v>
      </c>
      <c r="CA14" s="11">
        <f t="shared" si="21"/>
        <v>196.14987489019896</v>
      </c>
      <c r="CB14" s="11">
        <f t="shared" si="22"/>
        <v>6.7091509600591781</v>
      </c>
      <c r="CC14" s="11">
        <f t="shared" si="23"/>
        <v>2.7408589721929064</v>
      </c>
      <c r="CD14" s="11">
        <f t="shared" si="24"/>
        <v>6.3721572369371096</v>
      </c>
      <c r="CE14" s="11">
        <f t="shared" si="25"/>
        <v>3.1171252190270238</v>
      </c>
      <c r="CF14" s="11">
        <f t="shared" si="26"/>
        <v>56.654471901506419</v>
      </c>
      <c r="CG14" s="11">
        <f t="shared" si="27"/>
        <v>54.882837420286243</v>
      </c>
      <c r="CH14" s="11">
        <f t="shared" si="28"/>
        <v>55.768654660896331</v>
      </c>
      <c r="CI14" s="14"/>
      <c r="CJ14" s="14">
        <f t="shared" si="29"/>
        <v>-1.8559507603854719E-3</v>
      </c>
      <c r="CK14" s="14">
        <f t="shared" si="30"/>
        <v>1.0266173661716671E-2</v>
      </c>
      <c r="CL14" s="14">
        <f t="shared" si="31"/>
        <v>8.5633802038080908E-3</v>
      </c>
      <c r="CM14" s="19"/>
      <c r="CN14" s="12"/>
      <c r="CO14" s="12"/>
      <c r="CR14" s="17"/>
      <c r="CS14" s="20"/>
      <c r="CT14" s="20"/>
      <c r="CU14" s="21"/>
      <c r="DB14" s="14"/>
      <c r="DC14" s="14"/>
      <c r="DD14" s="14"/>
      <c r="DE14" s="14"/>
      <c r="DJ14" s="12"/>
    </row>
    <row r="15" spans="1:141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8"/>
        <v>0.216863224419231</v>
      </c>
      <c r="I15" s="12">
        <f t="shared" si="69"/>
        <v>0.44424358753123327</v>
      </c>
      <c r="J15" s="12">
        <f t="shared" si="0"/>
        <v>6.2458237951210013E-2</v>
      </c>
      <c r="K15" s="13">
        <f t="shared" si="32"/>
        <v>2.6974232172091057E-2</v>
      </c>
      <c r="L15" s="13">
        <f>SUM(K$3:$K15)</f>
        <v>0.65720801623231717</v>
      </c>
      <c r="M15" s="72">
        <f t="shared" si="70"/>
        <v>0.69124441213842269</v>
      </c>
      <c r="N15" s="12">
        <f t="shared" si="33"/>
        <v>1.3635898908012113E-4</v>
      </c>
      <c r="O15" s="21">
        <f t="shared" si="34"/>
        <v>1.7104900764775685E-9</v>
      </c>
      <c r="P15" s="11">
        <f>SUM(O$2:$O15)</f>
        <v>9.2176871005006468E-8</v>
      </c>
      <c r="Q15" s="12">
        <f t="shared" si="35"/>
        <v>1.0182931896831821E-3</v>
      </c>
      <c r="R15" s="3">
        <f t="shared" si="1"/>
        <v>0.33028960130680834</v>
      </c>
      <c r="S15" s="1">
        <f t="shared" si="36"/>
        <v>1.4596790038132509E-3</v>
      </c>
      <c r="T15" s="1">
        <f t="shared" si="37"/>
        <v>0.94662271898531436</v>
      </c>
      <c r="U15" s="1">
        <f t="shared" si="38"/>
        <v>4.1855139379501378E-3</v>
      </c>
      <c r="V15" s="11">
        <f t="shared" si="39"/>
        <v>6.4333972530554471</v>
      </c>
      <c r="W15" s="12">
        <f t="shared" si="40"/>
        <v>4.479204980597197E-2</v>
      </c>
      <c r="X15" s="13">
        <f t="shared" si="2"/>
        <v>-1.8623337328145362E-2</v>
      </c>
      <c r="Y15" s="12" t="e">
        <f>(SQRT((Q15/M15)^2 + (0.0002/F15)^2))*#REF!</f>
        <v>#REF!</v>
      </c>
      <c r="Z15" s="12">
        <f t="shared" si="3"/>
        <v>4.1863623830211503E-3</v>
      </c>
      <c r="AA15" s="12">
        <f t="shared" si="41"/>
        <v>1.1079629417478146E-2</v>
      </c>
      <c r="AB15" s="12">
        <f t="shared" si="42"/>
        <v>4.7936983856971468E-3</v>
      </c>
      <c r="AC15" s="14">
        <f t="shared" si="43"/>
        <v>6.3749343761682491</v>
      </c>
      <c r="AD15" s="1">
        <f t="shared" si="44"/>
        <v>3.1120062575571725</v>
      </c>
      <c r="AE15" s="14">
        <f t="shared" si="45"/>
        <v>2.7439390632107599</v>
      </c>
      <c r="AF15" s="14">
        <f t="shared" si="4"/>
        <v>62.304769328699919</v>
      </c>
      <c r="AG15" s="14">
        <f t="shared" si="5"/>
        <v>261.45190241688061</v>
      </c>
      <c r="AH15" s="14">
        <f t="shared" si="6"/>
        <v>261.45190241688061</v>
      </c>
      <c r="AI15" s="14">
        <f t="shared" si="7"/>
        <v>62.304769328699919</v>
      </c>
      <c r="AJ15" s="14">
        <f t="shared" si="8"/>
        <v>48.43834477928926</v>
      </c>
      <c r="AK15" s="14">
        <f t="shared" si="46"/>
        <v>150.70878830889143</v>
      </c>
      <c r="AL15" s="14">
        <f t="shared" si="47"/>
        <v>289.18475151570192</v>
      </c>
      <c r="AM15" s="7"/>
      <c r="AN15" s="12">
        <f t="shared" si="48"/>
        <v>0.69124441213842269</v>
      </c>
      <c r="AO15" s="14">
        <f t="shared" si="9"/>
        <v>0.33028960130680834</v>
      </c>
      <c r="AP15" s="14">
        <f t="shared" si="49"/>
        <v>1.0563870694672328</v>
      </c>
      <c r="AQ15" s="11">
        <f t="shared" si="71"/>
        <v>6.4333972530554471</v>
      </c>
      <c r="AR15" s="14">
        <f t="shared" si="10"/>
        <v>9.8249994590233136</v>
      </c>
      <c r="AS15" s="14">
        <f t="shared" si="11"/>
        <v>-1.8623337242798632E-2</v>
      </c>
      <c r="AT15" s="89">
        <f t="shared" si="50"/>
        <v>291.00464093262923</v>
      </c>
      <c r="AU15" s="89">
        <f t="shared" si="51"/>
        <v>48.24763387675992</v>
      </c>
      <c r="AV15" s="89">
        <f t="shared" si="52"/>
        <v>151.24159206214085</v>
      </c>
      <c r="AW15" s="14">
        <f t="shared" si="53"/>
        <v>1.8198894169273103</v>
      </c>
      <c r="AX15" s="14">
        <f t="shared" si="54"/>
        <v>-0.19071090252933942</v>
      </c>
      <c r="AY15" s="14">
        <f t="shared" si="55"/>
        <v>0.53280375324942497</v>
      </c>
      <c r="AZ15" s="11">
        <f t="shared" si="56"/>
        <v>0.26916425819585754</v>
      </c>
      <c r="BA15" s="2"/>
      <c r="BB15" s="12">
        <v>0.20554572005565327</v>
      </c>
      <c r="BC15" s="12">
        <v>0.50383364660407459</v>
      </c>
      <c r="BD15" s="12">
        <f t="shared" si="57"/>
        <v>0.216863224419231</v>
      </c>
      <c r="BE15" s="12">
        <f t="shared" si="58"/>
        <v>0.44424358753123327</v>
      </c>
      <c r="BF15" s="12">
        <v>0.69158039185004261</v>
      </c>
      <c r="BG15" s="14">
        <f t="shared" si="12"/>
        <v>0.33077144773815059</v>
      </c>
      <c r="BH15" s="14">
        <f t="shared" si="13"/>
        <v>1.0548481931735878</v>
      </c>
      <c r="BI15" s="11">
        <f t="shared" si="59"/>
        <v>6.4240254964271495</v>
      </c>
      <c r="BJ15" s="11">
        <f t="shared" si="14"/>
        <v>9.5457237621291604</v>
      </c>
      <c r="BK15" s="12">
        <f t="shared" si="15"/>
        <v>-1.8119550277190255E-2</v>
      </c>
      <c r="BL15" s="11">
        <f t="shared" si="16"/>
        <v>-1.0111438698295672E-2</v>
      </c>
      <c r="BM15" s="14">
        <f t="shared" si="72"/>
        <v>6.3780329163888849</v>
      </c>
      <c r="BN15" s="14">
        <f t="shared" si="73"/>
        <v>3.1135188498423512</v>
      </c>
      <c r="BO15" s="14">
        <f t="shared" si="74"/>
        <v>2.7452727562417212</v>
      </c>
      <c r="BP15" s="14">
        <f t="shared" si="60"/>
        <v>261.32488531834554</v>
      </c>
      <c r="BQ15" s="14">
        <f t="shared" si="61"/>
        <v>62.274500774706354</v>
      </c>
      <c r="BR15" s="14">
        <f t="shared" si="62"/>
        <v>48.414812733988263</v>
      </c>
      <c r="BS15" s="14">
        <f t="shared" si="63"/>
        <v>150.63557180965091</v>
      </c>
      <c r="BT15" s="14">
        <f t="shared" si="64"/>
        <v>289.0442613997817</v>
      </c>
      <c r="BU15" s="18">
        <f t="shared" si="18"/>
        <v>290.45969815382472</v>
      </c>
      <c r="BV15" s="18">
        <f t="shared" si="19"/>
        <v>48.221399638688155</v>
      </c>
      <c r="BW15" s="18">
        <f t="shared" si="20"/>
        <v>150.94827156664641</v>
      </c>
      <c r="BX15" s="11">
        <f t="shared" si="65"/>
        <v>1.4154367540430144</v>
      </c>
      <c r="BY15" s="11">
        <f t="shared" si="66"/>
        <v>-0.19341309530010875</v>
      </c>
      <c r="BZ15" s="11">
        <f t="shared" si="67"/>
        <v>0.31269975699549946</v>
      </c>
      <c r="CA15" s="11">
        <f t="shared" si="21"/>
        <v>197.45208042903917</v>
      </c>
      <c r="CB15" s="11">
        <f t="shared" si="22"/>
        <v>6.7241797258984972</v>
      </c>
      <c r="CC15" s="11">
        <f t="shared" si="23"/>
        <v>2.7397837020669016</v>
      </c>
      <c r="CD15" s="11">
        <f t="shared" si="24"/>
        <v>6.3831854919812638</v>
      </c>
      <c r="CE15" s="11">
        <f t="shared" si="25"/>
        <v>3.1210871616106393</v>
      </c>
      <c r="CF15" s="11">
        <f t="shared" si="26"/>
        <v>56.835125100648554</v>
      </c>
      <c r="CG15" s="11">
        <f t="shared" si="27"/>
        <v>55.014863714847415</v>
      </c>
      <c r="CH15" s="11">
        <f t="shared" si="28"/>
        <v>55.924994407747988</v>
      </c>
      <c r="CI15" s="14"/>
      <c r="CJ15" s="14">
        <f t="shared" si="29"/>
        <v>-4.1553611438582827E-3</v>
      </c>
      <c r="CK15" s="14">
        <f t="shared" si="30"/>
        <v>8.2511158130147422E-3</v>
      </c>
      <c r="CL15" s="14">
        <f t="shared" si="31"/>
        <v>9.0809040534667318E-3</v>
      </c>
      <c r="CM15" s="19"/>
      <c r="CN15" s="12"/>
      <c r="CO15" s="12"/>
      <c r="CR15" s="17"/>
      <c r="CS15" s="20"/>
      <c r="CT15" s="20"/>
      <c r="CU15" s="21"/>
      <c r="DB15" s="14"/>
      <c r="DC15" s="14"/>
      <c r="DD15" s="14"/>
      <c r="DE15" s="14"/>
      <c r="DJ15" s="12"/>
    </row>
    <row r="16" spans="1:141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8"/>
        <v>0.2160919159128894</v>
      </c>
      <c r="I16" s="12">
        <f t="shared" si="69"/>
        <v>0.44317113824361481</v>
      </c>
      <c r="J16" s="12">
        <f t="shared" si="0"/>
        <v>6.1918629238749787E-2</v>
      </c>
      <c r="K16" s="13">
        <f t="shared" si="32"/>
        <v>3.4799150886512351E-2</v>
      </c>
      <c r="L16" s="13">
        <f>SUM(K$3:$K16)</f>
        <v>0.69200716711882948</v>
      </c>
      <c r="M16" s="72">
        <f t="shared" si="70"/>
        <v>0.69058187719080544</v>
      </c>
      <c r="N16" s="12">
        <f t="shared" si="33"/>
        <v>1.3540186741751415E-4</v>
      </c>
      <c r="O16" s="21">
        <f t="shared" si="34"/>
        <v>2.8387457116006314E-9</v>
      </c>
      <c r="P16" s="11">
        <f>SUM(O$2:$O16)</f>
        <v>9.5015616716607097E-8</v>
      </c>
      <c r="Q16" s="12">
        <f t="shared" si="35"/>
        <v>1.0192502984531226E-3</v>
      </c>
      <c r="R16" s="3">
        <f t="shared" si="1"/>
        <v>0.32934079625144491</v>
      </c>
      <c r="S16" s="1">
        <f t="shared" si="36"/>
        <v>1.458251581568771E-3</v>
      </c>
      <c r="T16" s="1">
        <f t="shared" si="37"/>
        <v>0.94390340715187626</v>
      </c>
      <c r="U16" s="1">
        <f t="shared" si="38"/>
        <v>4.1814228908179738E-3</v>
      </c>
      <c r="V16" s="11">
        <f t="shared" si="39"/>
        <v>6.4519313669773659</v>
      </c>
      <c r="W16" s="36">
        <f t="shared" si="40"/>
        <v>4.4955503426311751E-2</v>
      </c>
      <c r="X16" s="37">
        <f t="shared" si="2"/>
        <v>-1.9618935168832841E-2</v>
      </c>
      <c r="Y16" s="36" t="e">
        <f>(SQRT((Q16/M16)^2 + (0.0002/F16)^2))*#REF!</f>
        <v>#REF!</v>
      </c>
      <c r="Z16" s="36">
        <f t="shared" si="3"/>
        <v>4.1950926500362818E-3</v>
      </c>
      <c r="AA16" s="36">
        <f t="shared" si="41"/>
        <v>1.1134851581915821E-2</v>
      </c>
      <c r="AB16" s="36">
        <f t="shared" si="42"/>
        <v>4.8100286202378871E-3</v>
      </c>
      <c r="AC16" s="40">
        <f t="shared" si="43"/>
        <v>6.3915567990909166</v>
      </c>
      <c r="AD16" s="39">
        <f t="shared" si="44"/>
        <v>3.1165471647261782</v>
      </c>
      <c r="AE16" s="40">
        <f t="shared" si="45"/>
        <v>2.7445775212011192</v>
      </c>
      <c r="AF16" s="40">
        <f t="shared" si="4"/>
        <v>62.666746292352052</v>
      </c>
      <c r="AG16" s="40">
        <f t="shared" si="5"/>
        <v>263.57428933874127</v>
      </c>
      <c r="AH16" s="14">
        <f t="shared" si="6"/>
        <v>263.57428933874127</v>
      </c>
      <c r="AI16" s="14">
        <f t="shared" si="7"/>
        <v>62.666746292352052</v>
      </c>
      <c r="AJ16" s="14">
        <f t="shared" si="8"/>
        <v>48.600500634916159</v>
      </c>
      <c r="AK16" s="14">
        <f t="shared" si="46"/>
        <v>152.30704241147305</v>
      </c>
      <c r="AL16" s="14">
        <f t="shared" si="47"/>
        <v>291.70678065361307</v>
      </c>
      <c r="AM16" s="7"/>
      <c r="AN16" s="12">
        <f t="shared" si="48"/>
        <v>0.69058187719080544</v>
      </c>
      <c r="AO16" s="40">
        <f t="shared" si="9"/>
        <v>0.32934079625144491</v>
      </c>
      <c r="AP16" s="14">
        <f t="shared" si="49"/>
        <v>1.0594304379273183</v>
      </c>
      <c r="AQ16" s="11">
        <f t="shared" si="71"/>
        <v>6.4519313669773659</v>
      </c>
      <c r="AR16" s="14">
        <f t="shared" si="10"/>
        <v>10.397088958647371</v>
      </c>
      <c r="AS16" s="28">
        <f t="shared" si="11"/>
        <v>-1.961893507883794E-2</v>
      </c>
      <c r="AT16" s="89">
        <f t="shared" si="50"/>
        <v>293.88382219733484</v>
      </c>
      <c r="AU16" s="89">
        <f t="shared" si="51"/>
        <v>48.319068651166695</v>
      </c>
      <c r="AV16" s="89">
        <f t="shared" si="52"/>
        <v>152.91194370194242</v>
      </c>
      <c r="AW16" s="14">
        <f t="shared" si="53"/>
        <v>2.1770415437217707</v>
      </c>
      <c r="AX16" s="14">
        <f t="shared" si="54"/>
        <v>-0.28143198374946365</v>
      </c>
      <c r="AY16" s="14">
        <f t="shared" si="55"/>
        <v>0.60490129046937113</v>
      </c>
      <c r="AZ16" s="11">
        <f t="shared" si="56"/>
        <v>0.28167782263634322</v>
      </c>
      <c r="BA16" s="2"/>
      <c r="BB16" s="55">
        <v>0.20474572005565328</v>
      </c>
      <c r="BC16" s="55">
        <v>0.50323364660407455</v>
      </c>
      <c r="BD16" s="12">
        <f t="shared" si="57"/>
        <v>0.2160919159128894</v>
      </c>
      <c r="BE16" s="12">
        <f t="shared" si="58"/>
        <v>0.44317113824361481</v>
      </c>
      <c r="BF16" s="36">
        <v>0.69104279168257687</v>
      </c>
      <c r="BG16" s="40">
        <f t="shared" si="12"/>
        <v>0.33000067144217238</v>
      </c>
      <c r="BH16" s="40">
        <f t="shared" si="13"/>
        <v>1.0573119820489267</v>
      </c>
      <c r="BI16" s="11">
        <f t="shared" si="59"/>
        <v>6.4390299706779635</v>
      </c>
      <c r="BJ16" s="34">
        <f t="shared" si="14"/>
        <v>10.008379543941217</v>
      </c>
      <c r="BK16" s="12">
        <f t="shared" si="15"/>
        <v>-1.8926011198935999E-2</v>
      </c>
      <c r="BL16" s="34">
        <f t="shared" si="16"/>
        <v>-0.10703159206981105</v>
      </c>
      <c r="BM16" s="14">
        <f t="shared" si="72"/>
        <v>6.3958227105649694</v>
      </c>
      <c r="BN16" s="14">
        <f t="shared" si="73"/>
        <v>3.1186272392256056</v>
      </c>
      <c r="BO16" s="14">
        <f t="shared" si="74"/>
        <v>2.7464093323086702</v>
      </c>
      <c r="BP16" s="14">
        <f t="shared" si="60"/>
        <v>263.39848950249848</v>
      </c>
      <c r="BQ16" s="14">
        <f t="shared" si="61"/>
        <v>62.624948574662255</v>
      </c>
      <c r="BR16" s="14">
        <f t="shared" si="62"/>
        <v>48.568084878150302</v>
      </c>
      <c r="BS16" s="14">
        <f t="shared" si="63"/>
        <v>152.20545604968592</v>
      </c>
      <c r="BT16" s="14">
        <f t="shared" si="64"/>
        <v>291.51221689552233</v>
      </c>
      <c r="BU16" s="44">
        <f t="shared" si="18"/>
        <v>292.85311093600632</v>
      </c>
      <c r="BV16" s="44">
        <f t="shared" si="19"/>
        <v>48.281930035315753</v>
      </c>
      <c r="BW16" s="44">
        <f t="shared" si="20"/>
        <v>152.33719690967183</v>
      </c>
      <c r="BX16" s="11">
        <f t="shared" si="65"/>
        <v>1.3408940404839882</v>
      </c>
      <c r="BY16" s="11">
        <f t="shared" si="66"/>
        <v>-0.28615484283454862</v>
      </c>
      <c r="BZ16" s="11">
        <f t="shared" si="67"/>
        <v>0.13174085998591067</v>
      </c>
      <c r="CA16" s="34">
        <f t="shared" si="21"/>
        <v>199.17583491845002</v>
      </c>
      <c r="CB16" s="34">
        <f t="shared" si="22"/>
        <v>6.7439555266623437</v>
      </c>
      <c r="CC16" s="34">
        <f t="shared" si="23"/>
        <v>2.7383066929909341</v>
      </c>
      <c r="CD16" s="34">
        <f t="shared" si="24"/>
        <v>6.3976831324396199</v>
      </c>
      <c r="CE16" s="34">
        <f t="shared" si="25"/>
        <v>3.1262788183644887</v>
      </c>
      <c r="CF16" s="34">
        <f t="shared" si="26"/>
        <v>57.07234082645634</v>
      </c>
      <c r="CG16" s="34">
        <f t="shared" si="27"/>
        <v>55.186679368671221</v>
      </c>
      <c r="CH16" s="34">
        <f t="shared" si="28"/>
        <v>56.129510097563781</v>
      </c>
      <c r="CI16" s="40"/>
      <c r="CJ16" s="40">
        <f t="shared" si="29"/>
        <v>-6.2708282101850976E-3</v>
      </c>
      <c r="CK16" s="40">
        <f t="shared" si="30"/>
        <v>6.1263333487033833E-3</v>
      </c>
      <c r="CL16" s="40">
        <f t="shared" si="31"/>
        <v>9.7316536383105223E-3</v>
      </c>
      <c r="CM16" s="19"/>
      <c r="CN16" s="36"/>
      <c r="CO16" s="36"/>
      <c r="CR16" s="43"/>
      <c r="CS16" s="45"/>
      <c r="CT16" s="45"/>
      <c r="CU16" s="38"/>
      <c r="DB16" s="40"/>
      <c r="DC16" s="40"/>
      <c r="DD16" s="40"/>
      <c r="DE16" s="40"/>
      <c r="DJ16" s="36"/>
      <c r="DM16" s="1"/>
    </row>
    <row r="17" spans="1:114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8"/>
        <v>0.21538705444410439</v>
      </c>
      <c r="I17" s="12">
        <f t="shared" si="69"/>
        <v>0.44213982994496276</v>
      </c>
      <c r="J17" s="12">
        <f t="shared" si="0"/>
        <v>6.129087648946549E-2</v>
      </c>
      <c r="K17" s="13">
        <f t="shared" si="32"/>
        <v>3.1820803565247607E-2</v>
      </c>
      <c r="L17" s="13">
        <f>SUM(K$3:$K17)</f>
        <v>0.72382797068407712</v>
      </c>
      <c r="M17" s="72">
        <f t="shared" si="70"/>
        <v>0.68997715714342744</v>
      </c>
      <c r="N17" s="12">
        <f t="shared" si="33"/>
        <v>1.3390192775030208E-4</v>
      </c>
      <c r="O17" s="21">
        <f t="shared" si="34"/>
        <v>2.3727186493252283E-9</v>
      </c>
      <c r="P17" s="11">
        <f>SUM(O$2:$O17)</f>
        <v>9.7388335365932324E-8</v>
      </c>
      <c r="Q17" s="12">
        <f t="shared" si="35"/>
        <v>1.0201242601241022E-3</v>
      </c>
      <c r="R17" s="13">
        <f t="shared" si="1"/>
        <v>0.32847637462806339</v>
      </c>
      <c r="S17" s="1">
        <f t="shared" si="36"/>
        <v>1.4569470097662023E-3</v>
      </c>
      <c r="T17" s="1">
        <f t="shared" si="37"/>
        <v>0.94142594148466319</v>
      </c>
      <c r="U17" s="1">
        <f t="shared" si="38"/>
        <v>4.1776839377841123E-3</v>
      </c>
      <c r="V17" s="11">
        <f t="shared" si="39"/>
        <v>6.4689103323367592</v>
      </c>
      <c r="W17" s="12">
        <f t="shared" si="40"/>
        <v>4.5105398503328419E-2</v>
      </c>
      <c r="X17" s="13">
        <f t="shared" si="2"/>
        <v>-2.0530158631359652E-2</v>
      </c>
      <c r="Y17" s="12" t="e">
        <f>(SQRT((Q17/M17)^2 + (0.0002/F17)^2))*#REF!</f>
        <v>#REF!</v>
      </c>
      <c r="Z17" s="12">
        <f t="shared" si="3"/>
        <v>4.1875408237733412E-3</v>
      </c>
      <c r="AA17" s="12">
        <f t="shared" si="41"/>
        <v>1.1185717118330208E-2</v>
      </c>
      <c r="AB17" s="12">
        <f t="shared" si="42"/>
        <v>4.8256285200498194E-3</v>
      </c>
      <c r="AC17" s="14">
        <f t="shared" si="43"/>
        <v>6.4068581923291505</v>
      </c>
      <c r="AD17" s="1">
        <f t="shared" si="44"/>
        <v>3.1210812074058802</v>
      </c>
      <c r="AE17" s="14">
        <f t="shared" si="45"/>
        <v>2.7356508107199455</v>
      </c>
      <c r="AF17" s="14">
        <f t="shared" si="4"/>
        <v>63.014612319974304</v>
      </c>
      <c r="AG17" s="14">
        <f t="shared" si="5"/>
        <v>265.53474387603615</v>
      </c>
      <c r="AH17" s="14">
        <f t="shared" si="6"/>
        <v>265.53474387603615</v>
      </c>
      <c r="AI17" s="14">
        <f t="shared" si="7"/>
        <v>63.014612319974304</v>
      </c>
      <c r="AJ17" s="14">
        <f t="shared" si="8"/>
        <v>48.411936428603283</v>
      </c>
      <c r="AK17" s="14">
        <f t="shared" si="46"/>
        <v>154.10819512745854</v>
      </c>
      <c r="AL17" s="14">
        <f t="shared" si="47"/>
        <v>294.74009565877822</v>
      </c>
      <c r="AM17" s="7"/>
      <c r="AN17" s="12">
        <f t="shared" si="48"/>
        <v>0.68997715714342744</v>
      </c>
      <c r="AO17" s="14">
        <f t="shared" si="9"/>
        <v>0.32847637462806339</v>
      </c>
      <c r="AP17" s="14">
        <f t="shared" si="49"/>
        <v>1.0622184453754944</v>
      </c>
      <c r="AQ17" s="11">
        <f t="shared" si="71"/>
        <v>6.4689103323367592</v>
      </c>
      <c r="AR17" s="14">
        <f t="shared" si="10"/>
        <v>10.924968578078815</v>
      </c>
      <c r="AS17" s="14">
        <f t="shared" si="11"/>
        <v>-2.0530158537102716E-2</v>
      </c>
      <c r="AT17" s="89">
        <f t="shared" si="50"/>
        <v>296.53218101150151</v>
      </c>
      <c r="AU17" s="89">
        <f t="shared" si="51"/>
        <v>48.380864748894723</v>
      </c>
      <c r="AV17" s="89">
        <f t="shared" si="52"/>
        <v>154.45073633309985</v>
      </c>
      <c r="AW17" s="14">
        <f t="shared" si="53"/>
        <v>1.7920853527232907</v>
      </c>
      <c r="AX17" s="14">
        <f t="shared" si="54"/>
        <v>-3.1071679708560396E-2</v>
      </c>
      <c r="AY17" s="14">
        <f t="shared" si="55"/>
        <v>0.34254120564131085</v>
      </c>
      <c r="AZ17" s="11">
        <f t="shared" si="56"/>
        <v>0.29302580959065772</v>
      </c>
      <c r="BA17" s="2"/>
      <c r="BB17" s="12">
        <v>0.20394572005565328</v>
      </c>
      <c r="BC17" s="12">
        <v>0.50443364660407453</v>
      </c>
      <c r="BD17" s="12">
        <f t="shared" si="57"/>
        <v>0.21538705444410439</v>
      </c>
      <c r="BE17" s="12">
        <f t="shared" si="58"/>
        <v>0.44213982994496276</v>
      </c>
      <c r="BF17" s="12">
        <v>0.68997715714342744</v>
      </c>
      <c r="BG17" s="14">
        <f t="shared" si="12"/>
        <v>0.32847637462806339</v>
      </c>
      <c r="BH17" s="14">
        <f t="shared" si="13"/>
        <v>1.0622184453754944</v>
      </c>
      <c r="BI17" s="11">
        <f t="shared" si="59"/>
        <v>6.4689103323367592</v>
      </c>
      <c r="BJ17" s="11">
        <f t="shared" si="14"/>
        <v>10.93849941600214</v>
      </c>
      <c r="BK17" s="12">
        <f t="shared" si="15"/>
        <v>-2.0530158537102716E-2</v>
      </c>
      <c r="BL17" s="11">
        <f t="shared" si="16"/>
        <v>0.30655664751398248</v>
      </c>
      <c r="BM17" s="14">
        <f t="shared" si="72"/>
        <v>6.4068581923291505</v>
      </c>
      <c r="BN17" s="14">
        <f t="shared" si="73"/>
        <v>3.1210812074058802</v>
      </c>
      <c r="BO17" s="14">
        <f t="shared" si="74"/>
        <v>2.7356508107199455</v>
      </c>
      <c r="BP17" s="14">
        <f t="shared" si="60"/>
        <v>265.53474387603615</v>
      </c>
      <c r="BQ17" s="14">
        <f t="shared" si="61"/>
        <v>63.014612319974304</v>
      </c>
      <c r="BR17" s="14">
        <f t="shared" si="62"/>
        <v>48.411936428603283</v>
      </c>
      <c r="BS17" s="14">
        <f t="shared" si="63"/>
        <v>154.10819512745854</v>
      </c>
      <c r="BT17" s="14">
        <f t="shared" si="64"/>
        <v>294.74009565877822</v>
      </c>
      <c r="BU17" s="18">
        <f t="shared" si="18"/>
        <v>297.6462181673474</v>
      </c>
      <c r="BV17" s="18">
        <f t="shared" si="19"/>
        <v>48.394710162991956</v>
      </c>
      <c r="BW17" s="18">
        <f t="shared" si="20"/>
        <v>155.12373085774288</v>
      </c>
      <c r="BX17" s="11">
        <f t="shared" si="65"/>
        <v>2.9061225085691831</v>
      </c>
      <c r="BY17" s="11">
        <f t="shared" si="66"/>
        <v>-1.7226265611327563E-2</v>
      </c>
      <c r="BZ17" s="11">
        <f t="shared" si="67"/>
        <v>1.0155357302843413</v>
      </c>
      <c r="CA17" s="11">
        <f t="shared" si="21"/>
        <v>202.63122662761103</v>
      </c>
      <c r="CB17" s="11">
        <f t="shared" si="22"/>
        <v>6.7831999458473824</v>
      </c>
      <c r="CC17" s="11">
        <f t="shared" si="23"/>
        <v>2.7351640584456405</v>
      </c>
      <c r="CD17" s="11">
        <f t="shared" si="24"/>
        <v>6.4264055593462652</v>
      </c>
      <c r="CE17" s="11">
        <f t="shared" si="25"/>
        <v>3.1365078276977485</v>
      </c>
      <c r="CF17" s="11">
        <f t="shared" si="26"/>
        <v>57.541323559716076</v>
      </c>
      <c r="CG17" s="11">
        <f t="shared" si="27"/>
        <v>55.521013619492614</v>
      </c>
      <c r="CH17" s="11">
        <f t="shared" si="28"/>
        <v>56.531168589604349</v>
      </c>
      <c r="CI17" s="14"/>
      <c r="CJ17" s="14">
        <f t="shared" si="29"/>
        <v>-4.8675227430505785E-4</v>
      </c>
      <c r="CK17" s="14">
        <f t="shared" si="30"/>
        <v>1.9547367017114681E-2</v>
      </c>
      <c r="CL17" s="14">
        <f t="shared" si="31"/>
        <v>1.5426620291868254E-2</v>
      </c>
      <c r="CM17" s="19"/>
      <c r="CN17" s="12"/>
      <c r="CO17" s="12"/>
      <c r="CR17" s="17"/>
      <c r="CS17" s="20"/>
      <c r="CT17" s="20"/>
      <c r="CU17" s="21"/>
      <c r="DB17" s="14"/>
      <c r="DC17" s="14"/>
      <c r="DD17" s="14"/>
      <c r="DE17" s="14"/>
      <c r="DJ17" s="12"/>
    </row>
    <row r="18" spans="1:114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8"/>
        <v>0.21497259919151673</v>
      </c>
      <c r="I18" s="12">
        <f t="shared" si="69"/>
        <v>0.44150718106829961</v>
      </c>
      <c r="J18" s="12">
        <f t="shared" si="0"/>
        <v>6.091833382282659E-2</v>
      </c>
      <c r="K18" s="13">
        <f t="shared" si="32"/>
        <v>1.8411435847686956E-2</v>
      </c>
      <c r="L18" s="13">
        <f>SUM(K$3:$K18)</f>
        <v>0.74223940653176412</v>
      </c>
      <c r="M18" s="72">
        <f t="shared" si="70"/>
        <v>0.68962775108165864</v>
      </c>
      <c r="N18" s="12">
        <f t="shared" si="33"/>
        <v>1.3282548711181843E-4</v>
      </c>
      <c r="O18" s="21">
        <f t="shared" si="34"/>
        <v>7.919065595810542E-10</v>
      </c>
      <c r="P18" s="11">
        <f>SUM(O$2:$O18)</f>
        <v>9.8180241925513379E-8</v>
      </c>
      <c r="Q18" s="12">
        <f t="shared" si="35"/>
        <v>1.0206293849027404E-3</v>
      </c>
      <c r="R18" s="3">
        <f t="shared" si="1"/>
        <v>0.32797760365671319</v>
      </c>
      <c r="S18" s="1">
        <f t="shared" si="36"/>
        <v>1.4561924720560835E-3</v>
      </c>
      <c r="T18" s="1">
        <f t="shared" si="37"/>
        <v>0.93999644466980015</v>
      </c>
      <c r="U18" s="1">
        <f t="shared" si="38"/>
        <v>4.1755214036446669E-3</v>
      </c>
      <c r="V18" s="11">
        <f t="shared" si="39"/>
        <v>6.4787479086043573</v>
      </c>
      <c r="W18" s="12">
        <f t="shared" si="40"/>
        <v>4.5192315565787469E-2</v>
      </c>
      <c r="X18" s="13">
        <f t="shared" si="2"/>
        <v>-2.1057754767198733E-2</v>
      </c>
      <c r="Y18" s="12" t="e">
        <f>(SQRT((Q18/M18)^2 + (0.0002/F18)^2))*#REF!</f>
        <v>#REF!</v>
      </c>
      <c r="Z18" s="12">
        <f t="shared" si="3"/>
        <v>4.1822564039299022E-3</v>
      </c>
      <c r="AA18" s="12">
        <f t="shared" si="41"/>
        <v>1.1215766633482843E-2</v>
      </c>
      <c r="AB18" s="12">
        <f t="shared" si="42"/>
        <v>4.8351143544802105E-3</v>
      </c>
      <c r="AC18" s="14">
        <f t="shared" si="43"/>
        <v>6.4159595564760963</v>
      </c>
      <c r="AD18" s="1">
        <f t="shared" si="44"/>
        <v>3.1239707105691474</v>
      </c>
      <c r="AE18" s="14">
        <f t="shared" si="45"/>
        <v>2.7299359641504011</v>
      </c>
      <c r="AF18" s="14">
        <f t="shared" si="4"/>
        <v>63.227351241616162</v>
      </c>
      <c r="AG18" s="14">
        <f t="shared" si="5"/>
        <v>266.69465819396208</v>
      </c>
      <c r="AH18" s="14">
        <f t="shared" si="6"/>
        <v>266.69465819396208</v>
      </c>
      <c r="AI18" s="14">
        <f t="shared" si="7"/>
        <v>63.227351241616162</v>
      </c>
      <c r="AJ18" s="14">
        <f t="shared" si="8"/>
        <v>48.283195112792512</v>
      </c>
      <c r="AK18" s="14">
        <f t="shared" si="46"/>
        <v>155.1841118395534</v>
      </c>
      <c r="AL18" s="14">
        <f t="shared" si="47"/>
        <v>296.58297045160936</v>
      </c>
      <c r="AM18" s="7"/>
      <c r="AN18" s="12">
        <f t="shared" si="48"/>
        <v>0.68962775108165864</v>
      </c>
      <c r="AO18" s="14">
        <f t="shared" si="9"/>
        <v>0.32797760365671319</v>
      </c>
      <c r="AP18" s="14">
        <f t="shared" si="49"/>
        <v>1.0638338109366763</v>
      </c>
      <c r="AQ18" s="11">
        <f t="shared" si="71"/>
        <v>6.4787479086043573</v>
      </c>
      <c r="AR18" s="14">
        <f t="shared" si="10"/>
        <v>11.232482005669151</v>
      </c>
      <c r="AS18" s="14">
        <f t="shared" si="11"/>
        <v>-2.1057754670470885E-2</v>
      </c>
      <c r="AT18" s="89">
        <f t="shared" si="50"/>
        <v>298.07133882124884</v>
      </c>
      <c r="AU18" s="89">
        <f t="shared" si="51"/>
        <v>48.415062097306631</v>
      </c>
      <c r="AV18" s="89">
        <f t="shared" si="52"/>
        <v>155.34607594312706</v>
      </c>
      <c r="AW18" s="14">
        <f t="shared" si="53"/>
        <v>1.4883683696394883</v>
      </c>
      <c r="AX18" s="14">
        <f t="shared" si="54"/>
        <v>0.13186698451411871</v>
      </c>
      <c r="AY18" s="14">
        <f t="shared" si="55"/>
        <v>0.16196410357366631</v>
      </c>
      <c r="AZ18" s="11">
        <f t="shared" si="56"/>
        <v>0.29922911823597254</v>
      </c>
      <c r="BA18" s="2"/>
      <c r="BB18" s="12">
        <v>0.2033457200556533</v>
      </c>
      <c r="BC18" s="12">
        <v>0.50523364660407455</v>
      </c>
      <c r="BD18" s="12">
        <f t="shared" si="57"/>
        <v>0.21497259919151673</v>
      </c>
      <c r="BE18" s="12">
        <f t="shared" si="58"/>
        <v>0.44150718106829961</v>
      </c>
      <c r="BF18" s="12">
        <v>0.68962775108165864</v>
      </c>
      <c r="BG18" s="14">
        <f t="shared" si="12"/>
        <v>0.32797760365671319</v>
      </c>
      <c r="BH18" s="14">
        <f t="shared" si="13"/>
        <v>1.0638338109366763</v>
      </c>
      <c r="BI18" s="11">
        <f t="shared" si="59"/>
        <v>6.4787479086043573</v>
      </c>
      <c r="BJ18" s="11">
        <f t="shared" si="14"/>
        <v>11.247284932135464</v>
      </c>
      <c r="BK18" s="12">
        <f t="shared" si="15"/>
        <v>-2.1057754670470885E-2</v>
      </c>
      <c r="BL18" s="11">
        <f t="shared" si="16"/>
        <v>0.31403204470228552</v>
      </c>
      <c r="BM18" s="14">
        <f t="shared" si="72"/>
        <v>6.4159595564760963</v>
      </c>
      <c r="BN18" s="14">
        <f t="shared" si="73"/>
        <v>3.1239707105691474</v>
      </c>
      <c r="BO18" s="14">
        <f t="shared" si="74"/>
        <v>2.7299359641504011</v>
      </c>
      <c r="BP18" s="14">
        <f t="shared" si="60"/>
        <v>266.69465819396208</v>
      </c>
      <c r="BQ18" s="14">
        <f t="shared" si="61"/>
        <v>63.227351241616162</v>
      </c>
      <c r="BR18" s="14">
        <f t="shared" si="62"/>
        <v>48.283195112792512</v>
      </c>
      <c r="BS18" s="14">
        <f t="shared" si="63"/>
        <v>155.1841118395534</v>
      </c>
      <c r="BT18" s="14">
        <f t="shared" si="64"/>
        <v>296.58297045160936</v>
      </c>
      <c r="BU18" s="18">
        <f t="shared" si="18"/>
        <v>299.23206711346319</v>
      </c>
      <c r="BV18" s="18">
        <f t="shared" si="19"/>
        <v>48.429558293031214</v>
      </c>
      <c r="BW18" s="18">
        <f t="shared" si="20"/>
        <v>156.04715766978131</v>
      </c>
      <c r="BX18" s="11">
        <f t="shared" si="65"/>
        <v>2.6490966618538323</v>
      </c>
      <c r="BY18" s="11">
        <f t="shared" si="66"/>
        <v>0.14636318023870132</v>
      </c>
      <c r="BZ18" s="11">
        <f t="shared" si="67"/>
        <v>0.86304583022791803</v>
      </c>
      <c r="CA18" s="11">
        <f t="shared" si="21"/>
        <v>203.77546081767528</v>
      </c>
      <c r="CB18" s="11">
        <f t="shared" si="22"/>
        <v>6.79608067309728</v>
      </c>
      <c r="CC18" s="11">
        <f t="shared" si="23"/>
        <v>2.7340705265352367</v>
      </c>
      <c r="CD18" s="11">
        <f t="shared" si="24"/>
        <v>6.435818843237973</v>
      </c>
      <c r="CE18" s="11">
        <f t="shared" si="25"/>
        <v>3.1398436579110522</v>
      </c>
      <c r="CF18" s="11">
        <f t="shared" si="26"/>
        <v>57.694716864555105</v>
      </c>
      <c r="CG18" s="11">
        <f t="shared" si="27"/>
        <v>55.628772198470486</v>
      </c>
      <c r="CH18" s="11">
        <f t="shared" si="28"/>
        <v>56.661744531512795</v>
      </c>
      <c r="CI18" s="14"/>
      <c r="CJ18" s="14">
        <f t="shared" si="29"/>
        <v>4.1345623848356716E-3</v>
      </c>
      <c r="CK18" s="14">
        <f t="shared" si="30"/>
        <v>1.985928676187676E-2</v>
      </c>
      <c r="CL18" s="14">
        <f t="shared" si="31"/>
        <v>1.5872947341904808E-2</v>
      </c>
      <c r="CM18" s="19"/>
      <c r="CN18" s="12"/>
      <c r="CO18" s="12"/>
      <c r="CR18" s="17"/>
      <c r="CS18" s="20"/>
      <c r="CT18" s="20"/>
      <c r="CU18" s="21"/>
      <c r="DB18" s="14"/>
      <c r="DC18" s="14"/>
      <c r="DD18" s="14"/>
      <c r="DE18" s="14"/>
      <c r="DJ18" s="12"/>
    </row>
    <row r="19" spans="1:114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8"/>
        <v>0.2146720043241416</v>
      </c>
      <c r="I19" s="12">
        <f t="shared" si="69"/>
        <v>0.44103865632053879</v>
      </c>
      <c r="J19" s="12">
        <f t="shared" si="0"/>
        <v>6.0663700156712796E-2</v>
      </c>
      <c r="K19" s="13">
        <f t="shared" si="32"/>
        <v>1.3083534685696003E-2</v>
      </c>
      <c r="L19" s="13">
        <f>SUM(K$3:$K19)</f>
        <v>0.75532294121746013</v>
      </c>
      <c r="M19" s="72">
        <f t="shared" si="70"/>
        <v>0.68937967115441801</v>
      </c>
      <c r="N19" s="12">
        <f t="shared" si="33"/>
        <v>1.3133100972784838E-4</v>
      </c>
      <c r="O19" s="21">
        <f t="shared" si="34"/>
        <v>3.9732652985210963E-10</v>
      </c>
      <c r="P19" s="11">
        <f>SUM(O$2:$O19)</f>
        <v>9.8577568455365487E-8</v>
      </c>
      <c r="Q19" s="12">
        <f t="shared" si="35"/>
        <v>1.0209880895701263E-3</v>
      </c>
      <c r="R19" s="3">
        <f t="shared" si="1"/>
        <v>0.32762378062345249</v>
      </c>
      <c r="S19" s="1">
        <f t="shared" si="36"/>
        <v>1.4556564047631501E-3</v>
      </c>
      <c r="T19" s="1">
        <f t="shared" si="37"/>
        <v>0.93898237422840658</v>
      </c>
      <c r="U19" s="1">
        <f t="shared" si="38"/>
        <v>4.1739850141356179E-3</v>
      </c>
      <c r="V19" s="11">
        <f t="shared" si="39"/>
        <v>6.4857447457460076</v>
      </c>
      <c r="W19" s="12">
        <f t="shared" si="40"/>
        <v>4.525416445164096E-2</v>
      </c>
      <c r="X19" s="13">
        <f t="shared" si="2"/>
        <v>-2.1432837568130414E-2</v>
      </c>
      <c r="Y19" s="12" t="e">
        <f>(SQRT((Q19/M19)^2 + (0.0002/F19)^2))*#REF!</f>
        <v>#REF!</v>
      </c>
      <c r="Z19" s="12">
        <f t="shared" si="3"/>
        <v>4.17999780480326E-3</v>
      </c>
      <c r="AA19" s="12">
        <f t="shared" si="41"/>
        <v>1.1237609903760975E-2</v>
      </c>
      <c r="AB19" s="12">
        <f t="shared" si="42"/>
        <v>4.8420973806595049E-3</v>
      </c>
      <c r="AC19" s="14">
        <f t="shared" si="43"/>
        <v>6.4226322693991982</v>
      </c>
      <c r="AD19" s="1">
        <f t="shared" si="44"/>
        <v>3.126164390694087</v>
      </c>
      <c r="AE19" s="14">
        <f t="shared" si="45"/>
        <v>2.7267950848778142</v>
      </c>
      <c r="AF19" s="14">
        <f t="shared" si="4"/>
        <v>63.384559456249036</v>
      </c>
      <c r="AG19" s="14">
        <f t="shared" si="5"/>
        <v>267.53830207740759</v>
      </c>
      <c r="AH19" s="14">
        <f t="shared" si="6"/>
        <v>267.53830207740765</v>
      </c>
      <c r="AI19" s="14">
        <f t="shared" si="7"/>
        <v>63.384559456249036</v>
      </c>
      <c r="AJ19" s="14">
        <f t="shared" si="8"/>
        <v>48.224180646451998</v>
      </c>
      <c r="AK19" s="14">
        <f t="shared" si="46"/>
        <v>155.92956197470662</v>
      </c>
      <c r="AL19" s="14">
        <f t="shared" si="47"/>
        <v>297.85905969700173</v>
      </c>
      <c r="AM19" s="7"/>
      <c r="AN19" s="12">
        <f t="shared" si="48"/>
        <v>0.68937967115441801</v>
      </c>
      <c r="AO19" s="14">
        <f t="shared" si="9"/>
        <v>0.32762378062345249</v>
      </c>
      <c r="AP19" s="14">
        <f t="shared" si="49"/>
        <v>1.0649827168712658</v>
      </c>
      <c r="AQ19" s="11">
        <f t="shared" si="71"/>
        <v>6.4857447457460076</v>
      </c>
      <c r="AR19" s="14">
        <f t="shared" si="10"/>
        <v>11.451938836199172</v>
      </c>
      <c r="AS19" s="14">
        <f t="shared" si="11"/>
        <v>-2.1432837469644528E-2</v>
      </c>
      <c r="AT19" s="89">
        <f t="shared" si="50"/>
        <v>299.16814211271566</v>
      </c>
      <c r="AU19" s="89">
        <f t="shared" si="51"/>
        <v>48.438662715233249</v>
      </c>
      <c r="AV19" s="89">
        <f t="shared" si="52"/>
        <v>155.98455714805721</v>
      </c>
      <c r="AW19" s="14">
        <f t="shared" si="53"/>
        <v>1.3090824157139309</v>
      </c>
      <c r="AX19" s="14">
        <f t="shared" si="54"/>
        <v>0.2144820687812512</v>
      </c>
      <c r="AY19" s="14">
        <f t="shared" si="55"/>
        <v>5.4995173350590676E-2</v>
      </c>
      <c r="AZ19" s="11">
        <f t="shared" si="56"/>
        <v>0.3034644352338578</v>
      </c>
      <c r="BA19" s="2"/>
      <c r="BB19" s="12">
        <v>0.20234572005565329</v>
      </c>
      <c r="BC19" s="12">
        <v>0.5056336466040745</v>
      </c>
      <c r="BD19" s="12">
        <f t="shared" si="57"/>
        <v>0.2146720043241416</v>
      </c>
      <c r="BE19" s="12">
        <f t="shared" si="58"/>
        <v>0.44103865632053879</v>
      </c>
      <c r="BF19" s="12">
        <v>0.68937967115441801</v>
      </c>
      <c r="BG19" s="14">
        <f t="shared" si="12"/>
        <v>0.32762378062345249</v>
      </c>
      <c r="BH19" s="14">
        <f t="shared" si="13"/>
        <v>1.0649827168712658</v>
      </c>
      <c r="BI19" s="11">
        <f t="shared" si="59"/>
        <v>6.4857447457460076</v>
      </c>
      <c r="BJ19" s="11">
        <f t="shared" si="14"/>
        <v>11.46767711725848</v>
      </c>
      <c r="BK19" s="12">
        <f t="shared" si="15"/>
        <v>-2.1432837469644528E-2</v>
      </c>
      <c r="BL19" s="11">
        <f t="shared" si="16"/>
        <v>0.31920271629316588</v>
      </c>
      <c r="BM19" s="14">
        <f t="shared" si="72"/>
        <v>6.4226322693991982</v>
      </c>
      <c r="BN19" s="14">
        <f t="shared" si="73"/>
        <v>3.126164390694087</v>
      </c>
      <c r="BO19" s="14">
        <f t="shared" si="74"/>
        <v>2.7267950848778142</v>
      </c>
      <c r="BP19" s="14">
        <f t="shared" si="60"/>
        <v>267.53830207740765</v>
      </c>
      <c r="BQ19" s="14">
        <f t="shared" si="61"/>
        <v>63.384559456249036</v>
      </c>
      <c r="BR19" s="14">
        <f t="shared" si="62"/>
        <v>48.224180646451998</v>
      </c>
      <c r="BS19" s="14">
        <f t="shared" si="63"/>
        <v>155.92956197470662</v>
      </c>
      <c r="BT19" s="14">
        <f t="shared" si="64"/>
        <v>297.85905969700173</v>
      </c>
      <c r="BU19" s="18">
        <f t="shared" si="18"/>
        <v>300.36233181955782</v>
      </c>
      <c r="BV19" s="18">
        <f t="shared" si="19"/>
        <v>48.453649877408587</v>
      </c>
      <c r="BW19" s="18">
        <f t="shared" si="20"/>
        <v>156.70574703897779</v>
      </c>
      <c r="BX19" s="11">
        <f t="shared" si="65"/>
        <v>2.5032721225560977</v>
      </c>
      <c r="BY19" s="11">
        <f t="shared" si="66"/>
        <v>0.22946923095658889</v>
      </c>
      <c r="BZ19" s="11">
        <f t="shared" si="67"/>
        <v>0.77618506427117495</v>
      </c>
      <c r="CA19" s="11">
        <f t="shared" si="21"/>
        <v>204.59127529917114</v>
      </c>
      <c r="CB19" s="11">
        <f t="shared" si="22"/>
        <v>6.8052299922973845</v>
      </c>
      <c r="CC19" s="11">
        <f t="shared" si="23"/>
        <v>2.7332749563809267</v>
      </c>
      <c r="CD19" s="11">
        <f t="shared" si="24"/>
        <v>6.442500985803183</v>
      </c>
      <c r="CE19" s="11">
        <f t="shared" si="25"/>
        <v>3.1422066330723513</v>
      </c>
      <c r="CF19" s="11">
        <f t="shared" si="26"/>
        <v>57.803506882561159</v>
      </c>
      <c r="CG19" s="11">
        <f t="shared" si="27"/>
        <v>55.704706901145578</v>
      </c>
      <c r="CH19" s="11">
        <f t="shared" si="28"/>
        <v>56.754106891853368</v>
      </c>
      <c r="CI19" s="14"/>
      <c r="CJ19" s="14">
        <f t="shared" si="29"/>
        <v>6.4798715031124665E-3</v>
      </c>
      <c r="CK19" s="14">
        <f t="shared" si="30"/>
        <v>1.9868716403984799E-2</v>
      </c>
      <c r="CL19" s="14">
        <f t="shared" si="31"/>
        <v>1.6042242378264238E-2</v>
      </c>
      <c r="CM19" s="19"/>
      <c r="CN19" s="12"/>
      <c r="CO19" s="12"/>
      <c r="CR19" s="17"/>
      <c r="CS19" s="20"/>
      <c r="CT19" s="20"/>
      <c r="CU19" s="21"/>
      <c r="DB19" s="14"/>
      <c r="DC19" s="14"/>
      <c r="DD19" s="14"/>
      <c r="DE19" s="14"/>
      <c r="DJ19" s="12"/>
    </row>
    <row r="20" spans="1:114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8"/>
        <v>0.21411396466537747</v>
      </c>
      <c r="I20" s="12">
        <f t="shared" si="69"/>
        <v>0.44015968553222901</v>
      </c>
      <c r="J20" s="12">
        <f t="shared" si="0"/>
        <v>6.0279752024753046E-2</v>
      </c>
      <c r="K20" s="13">
        <f t="shared" si="32"/>
        <v>2.3426669547269144E-2</v>
      </c>
      <c r="L20" s="13">
        <f>SUM(K$3:$K20)</f>
        <v>0.77874961076472926</v>
      </c>
      <c r="M20" s="72">
        <f t="shared" si="70"/>
        <v>0.68893591827363032</v>
      </c>
      <c r="N20" s="12">
        <f t="shared" si="33"/>
        <v>1.30626905590321E-4</v>
      </c>
      <c r="O20" s="21">
        <f t="shared" si="34"/>
        <v>1.2682190157043404E-9</v>
      </c>
      <c r="P20" s="11">
        <f>SUM(O$2:$O20)</f>
        <v>9.9845787471069831E-8</v>
      </c>
      <c r="Q20" s="12">
        <f t="shared" si="35"/>
        <v>1.0216298479723681E-3</v>
      </c>
      <c r="R20" s="3">
        <f t="shared" si="1"/>
        <v>0.32699151466413368</v>
      </c>
      <c r="S20" s="1">
        <f t="shared" si="36"/>
        <v>1.4546967978604807E-3</v>
      </c>
      <c r="T20" s="1">
        <f t="shared" si="37"/>
        <v>0.93717027563624944</v>
      </c>
      <c r="U20" s="1">
        <f t="shared" si="38"/>
        <v>4.1712347437917506E-3</v>
      </c>
      <c r="V20" s="11">
        <f t="shared" si="39"/>
        <v>6.4982854859171351</v>
      </c>
      <c r="W20" s="12">
        <f t="shared" si="40"/>
        <v>4.5365081924775078E-2</v>
      </c>
      <c r="X20" s="13">
        <f t="shared" si="2"/>
        <v>-2.2104777696867473E-2</v>
      </c>
      <c r="Y20" s="12" t="e">
        <f>(SQRT((Q20/M20)^2 + (0.0002/F20)^2))*#REF!</f>
        <v>#REF!</v>
      </c>
      <c r="Z20" s="12">
        <f t="shared" si="3"/>
        <v>4.1858026911558693E-3</v>
      </c>
      <c r="AA20" s="12">
        <f t="shared" si="41"/>
        <v>1.1278238236576511E-2</v>
      </c>
      <c r="AB20" s="12">
        <f t="shared" si="42"/>
        <v>4.855117333371131E-3</v>
      </c>
      <c r="AC20" s="14">
        <f t="shared" si="43"/>
        <v>6.4352263931062712</v>
      </c>
      <c r="AD20" s="1">
        <f t="shared" si="44"/>
        <v>3.1303908145998784</v>
      </c>
      <c r="AE20" s="14">
        <f t="shared" si="45"/>
        <v>2.7271972993260039</v>
      </c>
      <c r="AF20" s="14">
        <f t="shared" si="4"/>
        <v>63.678952121015435</v>
      </c>
      <c r="AG20" s="14">
        <f t="shared" si="5"/>
        <v>269.10790005340004</v>
      </c>
      <c r="AH20" s="14">
        <f t="shared" si="6"/>
        <v>269.10790005340004</v>
      </c>
      <c r="AI20" s="14">
        <f t="shared" si="7"/>
        <v>63.678952121015435</v>
      </c>
      <c r="AJ20" s="14">
        <f t="shared" si="8"/>
        <v>48.331681332728877</v>
      </c>
      <c r="AK20" s="14">
        <f t="shared" si="46"/>
        <v>157.09726659965571</v>
      </c>
      <c r="AL20" s="14">
        <f t="shared" si="47"/>
        <v>299.80244162997315</v>
      </c>
      <c r="AM20" s="7"/>
      <c r="AN20" s="12">
        <f t="shared" si="48"/>
        <v>0.68893591827363032</v>
      </c>
      <c r="AO20" s="14">
        <f t="shared" si="9"/>
        <v>0.32699151466413368</v>
      </c>
      <c r="AP20" s="14">
        <f t="shared" si="49"/>
        <v>1.0670419517105312</v>
      </c>
      <c r="AQ20" s="11">
        <f t="shared" si="71"/>
        <v>6.4982854859171351</v>
      </c>
      <c r="AR20" s="14">
        <f t="shared" si="10"/>
        <v>11.84682605260903</v>
      </c>
      <c r="AS20" s="14">
        <f t="shared" si="11"/>
        <v>-2.2104777595228886E-2</v>
      </c>
      <c r="AT20" s="89">
        <f t="shared" si="50"/>
        <v>301.1383548680497</v>
      </c>
      <c r="AU20" s="89">
        <f t="shared" si="51"/>
        <v>48.479454214705477</v>
      </c>
      <c r="AV20" s="89">
        <f t="shared" si="52"/>
        <v>157.13244065620296</v>
      </c>
      <c r="AW20" s="14">
        <f t="shared" si="53"/>
        <v>1.3359132380765573</v>
      </c>
      <c r="AX20" s="14">
        <f t="shared" si="54"/>
        <v>0.14777288197659999</v>
      </c>
      <c r="AY20" s="14">
        <f t="shared" si="55"/>
        <v>3.5174056547248256E-2</v>
      </c>
      <c r="AZ20" s="11">
        <f t="shared" si="56"/>
        <v>0.31095292728583424</v>
      </c>
      <c r="BA20" s="2"/>
      <c r="BB20" s="12">
        <v>0.20174572005565328</v>
      </c>
      <c r="BC20" s="12">
        <v>0.50523364660407455</v>
      </c>
      <c r="BD20" s="12">
        <f t="shared" si="57"/>
        <v>0.21411396466537747</v>
      </c>
      <c r="BE20" s="12">
        <f t="shared" si="58"/>
        <v>0.44015968553222901</v>
      </c>
      <c r="BF20" s="12">
        <v>0.68893591827363032</v>
      </c>
      <c r="BG20" s="14">
        <f t="shared" si="12"/>
        <v>0.32699151466413368</v>
      </c>
      <c r="BH20" s="14">
        <f t="shared" si="13"/>
        <v>1.0670419517105312</v>
      </c>
      <c r="BI20" s="11">
        <f t="shared" si="59"/>
        <v>6.4982854859171351</v>
      </c>
      <c r="BJ20" s="11">
        <f t="shared" si="14"/>
        <v>11.864304811277691</v>
      </c>
      <c r="BK20" s="12">
        <f t="shared" si="15"/>
        <v>-2.2104777595228886E-2</v>
      </c>
      <c r="BL20" s="11">
        <f t="shared" si="16"/>
        <v>0.32843168595449512</v>
      </c>
      <c r="BM20" s="14">
        <f t="shared" si="72"/>
        <v>6.4352263931062712</v>
      </c>
      <c r="BN20" s="14">
        <f t="shared" si="73"/>
        <v>3.1303908145998784</v>
      </c>
      <c r="BO20" s="14">
        <f t="shared" si="74"/>
        <v>2.7271972993260039</v>
      </c>
      <c r="BP20" s="14">
        <f t="shared" si="60"/>
        <v>269.10790005340004</v>
      </c>
      <c r="BQ20" s="14">
        <f t="shared" si="61"/>
        <v>63.678952121015435</v>
      </c>
      <c r="BR20" s="14">
        <f t="shared" si="62"/>
        <v>48.331681332728877</v>
      </c>
      <c r="BS20" s="14">
        <f t="shared" si="63"/>
        <v>157.09726659965571</v>
      </c>
      <c r="BT20" s="14">
        <f t="shared" si="64"/>
        <v>299.80244162997315</v>
      </c>
      <c r="BU20" s="18">
        <f t="shared" si="18"/>
        <v>302.39304712608356</v>
      </c>
      <c r="BV20" s="18">
        <f t="shared" si="19"/>
        <v>48.495380160030329</v>
      </c>
      <c r="BW20" s="18">
        <f t="shared" si="20"/>
        <v>157.88994579853991</v>
      </c>
      <c r="BX20" s="11">
        <f t="shared" si="65"/>
        <v>2.5906054961104132</v>
      </c>
      <c r="BY20" s="11">
        <f t="shared" si="66"/>
        <v>0.16369882730145235</v>
      </c>
      <c r="BZ20" s="11">
        <f t="shared" si="67"/>
        <v>0.79267919888420124</v>
      </c>
      <c r="CA20" s="11">
        <f t="shared" si="21"/>
        <v>206.05764624105447</v>
      </c>
      <c r="CB20" s="11">
        <f t="shared" si="22"/>
        <v>6.8216040388361874</v>
      </c>
      <c r="CC20" s="11">
        <f t="shared" si="23"/>
        <v>2.7318118875769586</v>
      </c>
      <c r="CD20" s="11">
        <f t="shared" si="24"/>
        <v>6.4544508803282614</v>
      </c>
      <c r="CE20" s="11">
        <f t="shared" si="25"/>
        <v>3.1464219891406753</v>
      </c>
      <c r="CF20" s="11">
        <f t="shared" si="26"/>
        <v>57.997848361526927</v>
      </c>
      <c r="CG20" s="11">
        <f t="shared" si="27"/>
        <v>55.839325119978163</v>
      </c>
      <c r="CH20" s="11">
        <f t="shared" si="28"/>
        <v>56.918586740752545</v>
      </c>
      <c r="CI20" s="14"/>
      <c r="CJ20" s="14">
        <f t="shared" si="29"/>
        <v>4.614588250954732E-3</v>
      </c>
      <c r="CK20" s="14">
        <f t="shared" si="30"/>
        <v>1.9224487221990216E-2</v>
      </c>
      <c r="CL20" s="14">
        <f t="shared" si="31"/>
        <v>1.6031174540796833E-2</v>
      </c>
      <c r="CM20" s="19"/>
      <c r="CN20" s="12"/>
      <c r="CO20" s="12"/>
      <c r="CR20" s="17"/>
      <c r="CS20" s="20"/>
      <c r="CT20" s="20"/>
      <c r="CU20" s="21"/>
      <c r="DB20" s="14"/>
      <c r="DC20" s="14"/>
      <c r="DD20" s="14"/>
      <c r="DE20" s="14"/>
      <c r="DJ20" s="12"/>
    </row>
    <row r="21" spans="1:114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8"/>
        <v>0.21331253332335973</v>
      </c>
      <c r="I21" s="12">
        <f t="shared" si="69"/>
        <v>0.43892871432296038</v>
      </c>
      <c r="J21" s="12">
        <f t="shared" si="0"/>
        <v>5.9644822037137113E-2</v>
      </c>
      <c r="K21" s="13">
        <f t="shared" si="32"/>
        <v>3.0972418007157838E-2</v>
      </c>
      <c r="L21" s="13">
        <f>SUM(K$3:$K21)</f>
        <v>0.80972202877188715</v>
      </c>
      <c r="M21" s="72">
        <f t="shared" si="70"/>
        <v>0.6883501084388236</v>
      </c>
      <c r="N21" s="12">
        <f t="shared" si="33"/>
        <v>1.2937642711028898E-4</v>
      </c>
      <c r="O21" s="21">
        <f t="shared" si="34"/>
        <v>2.2135021076904881E-9</v>
      </c>
      <c r="P21" s="11">
        <f>SUM(O$2:$O21)</f>
        <v>1.0205928957876032E-7</v>
      </c>
      <c r="Q21" s="12">
        <f t="shared" si="35"/>
        <v>1.0224772813077893E-3</v>
      </c>
      <c r="R21" s="3">
        <f t="shared" si="1"/>
        <v>0.32615809022621112</v>
      </c>
      <c r="S21" s="1">
        <f t="shared" si="36"/>
        <v>1.4534285675964654E-3</v>
      </c>
      <c r="T21" s="1">
        <f t="shared" si="37"/>
        <v>0.93478164909646866</v>
      </c>
      <c r="U21" s="1">
        <f t="shared" si="38"/>
        <v>4.167599947007136E-3</v>
      </c>
      <c r="V21" s="11">
        <f t="shared" si="39"/>
        <v>6.514890408777716</v>
      </c>
      <c r="W21" s="12">
        <f t="shared" si="40"/>
        <v>4.5512069384984796E-2</v>
      </c>
      <c r="X21" s="13">
        <f t="shared" si="2"/>
        <v>-2.2993814416954583E-2</v>
      </c>
      <c r="Y21" s="12" t="e">
        <f>(SQRT((Q21/M21)^2 + (0.0002/F21)^2))*#REF!</f>
        <v>#REF!</v>
      </c>
      <c r="Z21" s="12">
        <f t="shared" si="3"/>
        <v>4.1835099222671986E-3</v>
      </c>
      <c r="AA21" s="12">
        <f t="shared" si="41"/>
        <v>1.1336676488148838E-2</v>
      </c>
      <c r="AB21" s="12">
        <f t="shared" si="42"/>
        <v>4.8732412647962946E-3</v>
      </c>
      <c r="AC21" s="14">
        <f t="shared" si="43"/>
        <v>6.4539115232892206</v>
      </c>
      <c r="AD21" s="1">
        <f t="shared" si="44"/>
        <v>3.136500693515079</v>
      </c>
      <c r="AE21" s="14">
        <f t="shared" si="45"/>
        <v>2.7216461896517852</v>
      </c>
      <c r="AF21" s="14">
        <f t="shared" si="4"/>
        <v>64.091124333120604</v>
      </c>
      <c r="AG21" s="14">
        <f t="shared" si="5"/>
        <v>271.3645604868247</v>
      </c>
      <c r="AH21" s="14">
        <f t="shared" si="6"/>
        <v>271.3645604868247</v>
      </c>
      <c r="AI21" s="14">
        <f t="shared" si="7"/>
        <v>64.091124333120604</v>
      </c>
      <c r="AJ21" s="14">
        <f t="shared" si="8"/>
        <v>48.258125469009116</v>
      </c>
      <c r="AK21" s="14">
        <f t="shared" si="46"/>
        <v>159.01531068469498</v>
      </c>
      <c r="AL21" s="14">
        <f t="shared" si="47"/>
        <v>303.03055821504768</v>
      </c>
      <c r="AM21" s="7"/>
      <c r="AN21" s="12">
        <f t="shared" si="48"/>
        <v>0.6883501084388236</v>
      </c>
      <c r="AO21" s="14">
        <f t="shared" si="9"/>
        <v>0.32615809022621112</v>
      </c>
      <c r="AP21" s="14">
        <f t="shared" si="49"/>
        <v>1.0697685400291816</v>
      </c>
      <c r="AQ21" s="11">
        <f t="shared" si="71"/>
        <v>6.514890408777716</v>
      </c>
      <c r="AR21" s="14">
        <f t="shared" si="10"/>
        <v>12.372742065413188</v>
      </c>
      <c r="AS21" s="14">
        <f t="shared" si="11"/>
        <v>-2.2993814311138894E-2</v>
      </c>
      <c r="AT21" s="89">
        <f t="shared" si="50"/>
        <v>303.75568423955434</v>
      </c>
      <c r="AU21" s="89">
        <f t="shared" si="51"/>
        <v>48.530466499952666</v>
      </c>
      <c r="AV21" s="89">
        <f t="shared" si="52"/>
        <v>158.65926071461837</v>
      </c>
      <c r="AW21" s="14">
        <f t="shared" si="53"/>
        <v>0.72512602450666463</v>
      </c>
      <c r="AX21" s="14">
        <f t="shared" si="54"/>
        <v>0.27234103094355078</v>
      </c>
      <c r="AY21" s="14">
        <f t="shared" si="55"/>
        <v>-0.35604997007661154</v>
      </c>
      <c r="AZ21" s="11">
        <f t="shared" si="56"/>
        <v>0.32033730761283685</v>
      </c>
      <c r="BA21" s="2"/>
      <c r="BB21" s="12">
        <v>0.20094572005565328</v>
      </c>
      <c r="BC21" s="12">
        <v>0.50583364660407459</v>
      </c>
      <c r="BD21" s="12">
        <f t="shared" si="57"/>
        <v>0.21331253332335973</v>
      </c>
      <c r="BE21" s="12">
        <f t="shared" si="58"/>
        <v>0.43892871432296038</v>
      </c>
      <c r="BF21" s="12">
        <v>0.6883501084388236</v>
      </c>
      <c r="BG21" s="14">
        <f t="shared" si="12"/>
        <v>0.32615809022621112</v>
      </c>
      <c r="BH21" s="14">
        <f t="shared" si="13"/>
        <v>1.0697685400291816</v>
      </c>
      <c r="BI21" s="11">
        <f t="shared" si="59"/>
        <v>6.514890408777716</v>
      </c>
      <c r="BJ21" s="11">
        <f t="shared" si="14"/>
        <v>12.392652615851283</v>
      </c>
      <c r="BK21" s="12">
        <f t="shared" si="15"/>
        <v>-2.2993814311138894E-2</v>
      </c>
      <c r="BL21" s="11">
        <f t="shared" si="16"/>
        <v>0.34024785805093138</v>
      </c>
      <c r="BM21" s="14">
        <f t="shared" si="72"/>
        <v>6.4539115232892206</v>
      </c>
      <c r="BN21" s="14">
        <f t="shared" si="73"/>
        <v>3.136500693515079</v>
      </c>
      <c r="BO21" s="14">
        <f t="shared" si="74"/>
        <v>2.7216461896517852</v>
      </c>
      <c r="BP21" s="14">
        <f t="shared" si="60"/>
        <v>271.3645604868247</v>
      </c>
      <c r="BQ21" s="14">
        <f t="shared" si="61"/>
        <v>64.091124333120604</v>
      </c>
      <c r="BR21" s="14">
        <f t="shared" si="62"/>
        <v>48.258125469009116</v>
      </c>
      <c r="BS21" s="14">
        <f t="shared" si="63"/>
        <v>159.01531068469498</v>
      </c>
      <c r="BT21" s="14">
        <f t="shared" si="64"/>
        <v>303.03055821504768</v>
      </c>
      <c r="BU21" s="18">
        <f t="shared" si="18"/>
        <v>305.09153450226574</v>
      </c>
      <c r="BV21" s="18">
        <f t="shared" si="19"/>
        <v>48.547752430862765</v>
      </c>
      <c r="BW21" s="18">
        <f t="shared" si="20"/>
        <v>159.46539443899007</v>
      </c>
      <c r="BX21" s="11">
        <f t="shared" si="65"/>
        <v>2.0609762872180681</v>
      </c>
      <c r="BY21" s="11">
        <f t="shared" si="66"/>
        <v>0.28962696185364933</v>
      </c>
      <c r="BZ21" s="11">
        <f t="shared" si="67"/>
        <v>0.45008375429509329</v>
      </c>
      <c r="CA21" s="11">
        <f t="shared" si="21"/>
        <v>208.00744112674863</v>
      </c>
      <c r="CB21" s="11">
        <f t="shared" si="22"/>
        <v>6.8432360591665882</v>
      </c>
      <c r="CC21" s="11">
        <f t="shared" si="23"/>
        <v>2.7298011162345208</v>
      </c>
      <c r="CD21" s="11">
        <f t="shared" si="24"/>
        <v>6.4702207157043183</v>
      </c>
      <c r="CE21" s="11">
        <f t="shared" si="25"/>
        <v>3.1519642075350958</v>
      </c>
      <c r="CF21" s="11">
        <f t="shared" si="26"/>
        <v>58.253879471172787</v>
      </c>
      <c r="CG21" s="11">
        <f t="shared" si="27"/>
        <v>56.014611547778436</v>
      </c>
      <c r="CH21" s="11">
        <f t="shared" si="28"/>
        <v>57.134245509475612</v>
      </c>
      <c r="CI21" s="14"/>
      <c r="CJ21" s="14">
        <f t="shared" si="29"/>
        <v>8.1549265827356443E-3</v>
      </c>
      <c r="CK21" s="14">
        <f t="shared" si="30"/>
        <v>1.6309192415097762E-2</v>
      </c>
      <c r="CL21" s="14">
        <f t="shared" si="31"/>
        <v>1.5463514020016778E-2</v>
      </c>
      <c r="CM21" s="19"/>
      <c r="CN21" s="12"/>
      <c r="CO21" s="12"/>
      <c r="CR21" s="17"/>
      <c r="CS21" s="20"/>
      <c r="CT21" s="20"/>
      <c r="CU21" s="21"/>
      <c r="DB21" s="14"/>
      <c r="DC21" s="14"/>
      <c r="DD21" s="14"/>
      <c r="DE21" s="14"/>
      <c r="DJ21" s="12"/>
    </row>
    <row r="22" spans="1:114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8"/>
        <v>0.21287428502659014</v>
      </c>
      <c r="I22" s="12">
        <f t="shared" si="69"/>
        <v>0.43830096371475474</v>
      </c>
      <c r="J22" s="12">
        <f t="shared" si="0"/>
        <v>5.9237728976594045E-2</v>
      </c>
      <c r="K22" s="13">
        <f t="shared" si="32"/>
        <v>1.5351649537042876E-2</v>
      </c>
      <c r="L22" s="13">
        <f>SUM(K$3:$K22)</f>
        <v>0.82507367830892997</v>
      </c>
      <c r="M22" s="72">
        <f t="shared" si="70"/>
        <v>0.68806011768450803</v>
      </c>
      <c r="N22" s="12">
        <f t="shared" si="33"/>
        <v>1.2824611447049164E-4</v>
      </c>
      <c r="O22" s="21">
        <f t="shared" si="34"/>
        <v>5.4536668453315195E-10</v>
      </c>
      <c r="P22" s="11">
        <f>SUM(O$2:$O22)</f>
        <v>1.0260465626329348E-7</v>
      </c>
      <c r="Q22" s="12">
        <f t="shared" si="35"/>
        <v>1.0228968730074837E-3</v>
      </c>
      <c r="R22" s="3">
        <f t="shared" si="1"/>
        <v>0.32574604849556127</v>
      </c>
      <c r="S22" s="1">
        <f t="shared" si="36"/>
        <v>1.4528001514837225E-3</v>
      </c>
      <c r="T22" s="1">
        <f t="shared" si="37"/>
        <v>0.93360072162597019</v>
      </c>
      <c r="U22" s="1">
        <f t="shared" si="38"/>
        <v>4.1657988822235486E-3</v>
      </c>
      <c r="V22" s="11">
        <f t="shared" si="39"/>
        <v>6.5231312047334145</v>
      </c>
      <c r="W22" s="12">
        <f t="shared" si="40"/>
        <v>4.5585069560682416E-2</v>
      </c>
      <c r="X22" s="13">
        <f t="shared" si="2"/>
        <v>-2.3434750689034556E-2</v>
      </c>
      <c r="Y22" s="12" t="e">
        <f>(SQRT((Q22/M22)^2 + (0.0002/F22)^2))*#REF!</f>
        <v>#REF!</v>
      </c>
      <c r="Z22" s="12">
        <f t="shared" si="3"/>
        <v>4.1744398759688481E-3</v>
      </c>
      <c r="AA22" s="12">
        <f t="shared" si="41"/>
        <v>1.1368647682458207E-2</v>
      </c>
      <c r="AB22" s="12">
        <f t="shared" si="42"/>
        <v>4.8824754809146569E-3</v>
      </c>
      <c r="AC22" s="14">
        <f t="shared" si="43"/>
        <v>6.4644737864750779</v>
      </c>
      <c r="AD22" s="1">
        <f t="shared" si="44"/>
        <v>3.1396696546270704</v>
      </c>
      <c r="AE22" s="14">
        <f t="shared" si="45"/>
        <v>2.7140609791594006</v>
      </c>
      <c r="AF22" s="14">
        <f t="shared" si="4"/>
        <v>64.301932452644337</v>
      </c>
      <c r="AG22" s="14">
        <f t="shared" si="5"/>
        <v>272.5978783447668</v>
      </c>
      <c r="AH22" s="14">
        <f t="shared" si="6"/>
        <v>272.5978783447668</v>
      </c>
      <c r="AI22" s="14">
        <f t="shared" si="7"/>
        <v>64.301932452644337</v>
      </c>
      <c r="AJ22" s="14">
        <f t="shared" si="8"/>
        <v>48.050212882568793</v>
      </c>
      <c r="AK22" s="14">
        <f t="shared" si="46"/>
        <v>160.24573300955367</v>
      </c>
      <c r="AL22" s="14">
        <f t="shared" si="47"/>
        <v>305.10131748491784</v>
      </c>
      <c r="AM22" s="7"/>
      <c r="AN22" s="12">
        <f t="shared" si="48"/>
        <v>0.68806011768450803</v>
      </c>
      <c r="AO22" s="14">
        <f t="shared" si="9"/>
        <v>0.32574604849556127</v>
      </c>
      <c r="AP22" s="14">
        <f t="shared" si="49"/>
        <v>1.0711217084948135</v>
      </c>
      <c r="AQ22" s="11">
        <f t="shared" si="71"/>
        <v>6.5231312047334145</v>
      </c>
      <c r="AR22" s="14">
        <f t="shared" si="10"/>
        <v>12.635040319174243</v>
      </c>
      <c r="AS22" s="14">
        <f t="shared" si="11"/>
        <v>-2.3434750581144526E-2</v>
      </c>
      <c r="AT22" s="89">
        <f t="shared" si="50"/>
        <v>305.05827025837334</v>
      </c>
      <c r="AU22" s="89">
        <f t="shared" si="51"/>
        <v>48.554506430855298</v>
      </c>
      <c r="AV22" s="89">
        <f t="shared" si="52"/>
        <v>159.41993707313014</v>
      </c>
      <c r="AW22" s="14">
        <f t="shared" si="53"/>
        <v>-4.3047226544501882E-2</v>
      </c>
      <c r="AX22" s="14">
        <f t="shared" si="54"/>
        <v>0.50429354828650474</v>
      </c>
      <c r="AY22" s="14">
        <f t="shared" si="55"/>
        <v>-0.82579593642353188</v>
      </c>
      <c r="AZ22" s="11">
        <f t="shared" si="56"/>
        <v>0.32436974513531247</v>
      </c>
      <c r="BA22" s="2"/>
      <c r="BB22" s="12">
        <v>0.20034572005565329</v>
      </c>
      <c r="BC22" s="12">
        <v>0.50703364660407457</v>
      </c>
      <c r="BD22" s="12">
        <f t="shared" si="57"/>
        <v>0.21287428502659014</v>
      </c>
      <c r="BE22" s="12">
        <f t="shared" si="58"/>
        <v>0.43830096371475474</v>
      </c>
      <c r="BF22" s="12">
        <v>0.68806011768450803</v>
      </c>
      <c r="BG22" s="14">
        <f t="shared" si="12"/>
        <v>0.32574604849556127</v>
      </c>
      <c r="BH22" s="14">
        <f t="shared" si="13"/>
        <v>1.0711217084948135</v>
      </c>
      <c r="BI22" s="11">
        <f t="shared" si="59"/>
        <v>6.5231312047334145</v>
      </c>
      <c r="BJ22" s="11">
        <f t="shared" si="14"/>
        <v>12.65621194687021</v>
      </c>
      <c r="BK22" s="12">
        <f t="shared" si="15"/>
        <v>-2.3434750581144526E-2</v>
      </c>
      <c r="BL22" s="11">
        <f t="shared" si="16"/>
        <v>0.3455413728312795</v>
      </c>
      <c r="BM22" s="14">
        <f t="shared" si="72"/>
        <v>6.4644737864750779</v>
      </c>
      <c r="BN22" s="14">
        <f t="shared" si="73"/>
        <v>3.1396696546270704</v>
      </c>
      <c r="BO22" s="14">
        <f t="shared" si="74"/>
        <v>2.7140609791594006</v>
      </c>
      <c r="BP22" s="14">
        <f t="shared" si="60"/>
        <v>272.5978783447668</v>
      </c>
      <c r="BQ22" s="14">
        <f t="shared" si="61"/>
        <v>64.301932452644337</v>
      </c>
      <c r="BR22" s="14">
        <f t="shared" si="62"/>
        <v>48.050212882568793</v>
      </c>
      <c r="BS22" s="14">
        <f t="shared" si="63"/>
        <v>160.24573300955367</v>
      </c>
      <c r="BT22" s="14">
        <f t="shared" si="64"/>
        <v>305.10131748491784</v>
      </c>
      <c r="BU22" s="18">
        <f t="shared" si="18"/>
        <v>306.43484347282492</v>
      </c>
      <c r="BV22" s="18">
        <f t="shared" si="19"/>
        <v>48.572517144410618</v>
      </c>
      <c r="BW22" s="18">
        <f t="shared" si="20"/>
        <v>160.25043572899426</v>
      </c>
      <c r="BX22" s="11">
        <f t="shared" si="65"/>
        <v>1.3335259879070804</v>
      </c>
      <c r="BY22" s="11">
        <f t="shared" si="66"/>
        <v>0.52230426184182477</v>
      </c>
      <c r="BZ22" s="11">
        <f t="shared" si="67"/>
        <v>4.7027194405870887E-3</v>
      </c>
      <c r="CA22" s="11">
        <f t="shared" si="21"/>
        <v>208.97857164360448</v>
      </c>
      <c r="CB22" s="11">
        <f t="shared" si="22"/>
        <v>6.8539513251900166</v>
      </c>
      <c r="CC22" s="11">
        <f t="shared" si="23"/>
        <v>2.7287719877480572</v>
      </c>
      <c r="CD22" s="11">
        <f t="shared" si="24"/>
        <v>6.4780248271739884</v>
      </c>
      <c r="CE22" s="11">
        <f t="shared" si="25"/>
        <v>3.1546981669386276</v>
      </c>
      <c r="CF22" s="11">
        <f t="shared" si="26"/>
        <v>58.380391835412503</v>
      </c>
      <c r="CG22" s="11">
        <f t="shared" si="27"/>
        <v>56.100339083030448</v>
      </c>
      <c r="CH22" s="11">
        <f t="shared" si="28"/>
        <v>57.240365459221479</v>
      </c>
      <c r="CI22" s="14"/>
      <c r="CJ22" s="14">
        <f t="shared" si="29"/>
        <v>1.4711008588656593E-2</v>
      </c>
      <c r="CK22" s="14">
        <f t="shared" si="30"/>
        <v>1.3551040698910555E-2</v>
      </c>
      <c r="CL22" s="14">
        <f t="shared" si="31"/>
        <v>1.5028512311557218E-2</v>
      </c>
      <c r="CM22" s="19"/>
      <c r="CN22" s="12"/>
      <c r="CO22" s="12"/>
      <c r="CR22" s="12"/>
      <c r="CS22" s="14"/>
      <c r="CT22" s="11"/>
      <c r="CU22" s="12"/>
    </row>
    <row r="23" spans="1:114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8"/>
        <v>0.21256349294839896</v>
      </c>
      <c r="I23" s="12">
        <f t="shared" si="69"/>
        <v>0.43788451653512361</v>
      </c>
      <c r="J23" s="12">
        <f t="shared" si="0"/>
        <v>5.9026242943168272E-2</v>
      </c>
      <c r="K23" s="13">
        <f t="shared" si="32"/>
        <v>1.0181180413157921E-2</v>
      </c>
      <c r="L23" s="13">
        <f>SUM(K$3:$K23)</f>
        <v>0.83525485872208793</v>
      </c>
      <c r="M23" s="72">
        <f t="shared" si="70"/>
        <v>0.68786793116786382</v>
      </c>
      <c r="N23" s="12">
        <f t="shared" si="33"/>
        <v>1.2750677771652236E-4</v>
      </c>
      <c r="O23" s="21">
        <f t="shared" si="34"/>
        <v>1.2049190933788425E-10</v>
      </c>
      <c r="P23" s="11">
        <f>SUM(O$2:$O23)</f>
        <v>1.0272514817263136E-7</v>
      </c>
      <c r="Q23" s="12">
        <f t="shared" si="35"/>
        <v>1.0231749814907439E-3</v>
      </c>
      <c r="R23" s="3">
        <f t="shared" si="1"/>
        <v>0.32547316603051257</v>
      </c>
      <c r="S23" s="1">
        <f t="shared" si="36"/>
        <v>1.4523834541767698E-3</v>
      </c>
      <c r="T23" s="1">
        <f t="shared" si="37"/>
        <v>0.9328186299706297</v>
      </c>
      <c r="U23" s="12">
        <f t="shared" si="38"/>
        <v>4.1646046116920491E-3</v>
      </c>
      <c r="V23" s="11">
        <f t="shared" si="39"/>
        <v>6.5286003134304327</v>
      </c>
      <c r="W23" s="12">
        <f t="shared" si="40"/>
        <v>4.5633536161135038E-2</v>
      </c>
      <c r="X23" s="13">
        <f t="shared" si="2"/>
        <v>-2.3727281131313616E-2</v>
      </c>
      <c r="Y23" s="12" t="e">
        <f>(SQRT((Q23/M23)^2 + (0.0002/F23)^2))*#REF!</f>
        <v>#REF!</v>
      </c>
      <c r="Z23" s="12">
        <f t="shared" si="3"/>
        <v>4.1771795090154449E-3</v>
      </c>
      <c r="AA23" s="12">
        <f t="shared" si="41"/>
        <v>1.1391324983349136E-2</v>
      </c>
      <c r="AB23" s="12">
        <f t="shared" si="42"/>
        <v>4.8886158180107215E-3</v>
      </c>
      <c r="AC23" s="14">
        <f t="shared" si="43"/>
        <v>6.4721173107072323</v>
      </c>
      <c r="AD23" s="1">
        <f t="shared" si="44"/>
        <v>3.1417778212885885</v>
      </c>
      <c r="AE23" s="14">
        <f t="shared" si="45"/>
        <v>2.7143735850086865</v>
      </c>
      <c r="AF23" s="14">
        <f t="shared" si="4"/>
        <v>64.44229826433525</v>
      </c>
      <c r="AG23" s="14">
        <f t="shared" si="5"/>
        <v>273.47198472321389</v>
      </c>
      <c r="AH23" s="14">
        <f t="shared" si="6"/>
        <v>273.47198472321389</v>
      </c>
      <c r="AI23" s="14">
        <f t="shared" si="7"/>
        <v>64.44229826433525</v>
      </c>
      <c r="AJ23" s="14">
        <f t="shared" si="8"/>
        <v>48.101577807981357</v>
      </c>
      <c r="AK23" s="14">
        <f t="shared" si="46"/>
        <v>160.92810865089729</v>
      </c>
      <c r="AL23" s="14">
        <f t="shared" si="47"/>
        <v>306.15342563592168</v>
      </c>
      <c r="AM23" s="7"/>
      <c r="AN23" s="12">
        <f t="shared" si="48"/>
        <v>0.68786793116786382</v>
      </c>
      <c r="AO23" s="14">
        <f t="shared" si="9"/>
        <v>0.32547316603051257</v>
      </c>
      <c r="AP23" s="14">
        <f t="shared" si="49"/>
        <v>1.0720197558999069</v>
      </c>
      <c r="AQ23" s="11">
        <f t="shared" si="71"/>
        <v>6.5286003134304327</v>
      </c>
      <c r="AR23" s="14">
        <f t="shared" si="10"/>
        <v>12.809591844201965</v>
      </c>
      <c r="AS23" s="14">
        <f t="shared" si="11"/>
        <v>-2.3727281022046576E-2</v>
      </c>
      <c r="AT23" s="89">
        <f t="shared" si="50"/>
        <v>305.9240806401034</v>
      </c>
      <c r="AU23" s="89">
        <f t="shared" si="51"/>
        <v>48.569990878921047</v>
      </c>
      <c r="AV23" s="89">
        <f t="shared" si="52"/>
        <v>159.92584601454379</v>
      </c>
      <c r="AW23" s="14">
        <f t="shared" si="53"/>
        <v>-0.22934499581828049</v>
      </c>
      <c r="AX23" s="14">
        <f t="shared" si="54"/>
        <v>0.46841307093968965</v>
      </c>
      <c r="AY23" s="14">
        <f t="shared" si="55"/>
        <v>-1.0022626363534926</v>
      </c>
      <c r="AZ23" s="11">
        <f t="shared" si="56"/>
        <v>0.32674405933731521</v>
      </c>
      <c r="BA23" s="2"/>
      <c r="BB23" s="12">
        <v>0.19974572005565328</v>
      </c>
      <c r="BC23" s="12">
        <v>0.50683364660407459</v>
      </c>
      <c r="BD23" s="12">
        <f t="shared" si="57"/>
        <v>0.21256349294839896</v>
      </c>
      <c r="BE23" s="12">
        <f t="shared" si="58"/>
        <v>0.43788451653512361</v>
      </c>
      <c r="BF23" s="12">
        <v>0.68786793116786382</v>
      </c>
      <c r="BG23" s="14">
        <f t="shared" si="12"/>
        <v>0.32547316603051257</v>
      </c>
      <c r="BH23" s="14">
        <f t="shared" si="13"/>
        <v>1.0720197558999069</v>
      </c>
      <c r="BI23" s="11">
        <f t="shared" si="59"/>
        <v>6.5286003134304327</v>
      </c>
      <c r="BJ23" s="11">
        <f t="shared" si="14"/>
        <v>12.831620365266515</v>
      </c>
      <c r="BK23" s="12">
        <f t="shared" si="15"/>
        <v>-2.3727281022046576E-2</v>
      </c>
      <c r="BL23" s="11">
        <f t="shared" si="16"/>
        <v>0.34877258040186554</v>
      </c>
      <c r="BM23" s="14">
        <f t="shared" si="72"/>
        <v>6.4721173107072323</v>
      </c>
      <c r="BN23" s="14">
        <f t="shared" si="73"/>
        <v>3.1417778212885885</v>
      </c>
      <c r="BO23" s="14">
        <f t="shared" si="74"/>
        <v>2.7143735850086865</v>
      </c>
      <c r="BP23" s="14">
        <f t="shared" si="60"/>
        <v>273.47198472321389</v>
      </c>
      <c r="BQ23" s="14">
        <f t="shared" si="61"/>
        <v>64.44229826433525</v>
      </c>
      <c r="BR23" s="14">
        <f t="shared" si="62"/>
        <v>48.101577807981357</v>
      </c>
      <c r="BS23" s="14">
        <f t="shared" si="63"/>
        <v>160.92810865089729</v>
      </c>
      <c r="BT23" s="14">
        <f t="shared" si="64"/>
        <v>306.15342563592168</v>
      </c>
      <c r="BU23" s="18">
        <f t="shared" si="18"/>
        <v>307.32784384709271</v>
      </c>
      <c r="BV23" s="18">
        <f t="shared" si="19"/>
        <v>48.588500961849604</v>
      </c>
      <c r="BW23" s="18">
        <f t="shared" si="20"/>
        <v>160.77259972404855</v>
      </c>
      <c r="BX23" s="11">
        <f t="shared" si="65"/>
        <v>1.1744182111710302</v>
      </c>
      <c r="BY23" s="11">
        <f t="shared" si="66"/>
        <v>0.48692315386824703</v>
      </c>
      <c r="BZ23" s="11">
        <f t="shared" si="67"/>
        <v>-0.15550892684873929</v>
      </c>
      <c r="CA23" s="11">
        <f t="shared" si="21"/>
        <v>209.62434776506325</v>
      </c>
      <c r="CB23" s="11">
        <f t="shared" si="22"/>
        <v>6.8610552053061218</v>
      </c>
      <c r="CC23" s="11">
        <f t="shared" si="23"/>
        <v>2.728077536336273</v>
      </c>
      <c r="CD23" s="11">
        <f t="shared" si="24"/>
        <v>6.48319600290493</v>
      </c>
      <c r="CE23" s="11">
        <f t="shared" si="25"/>
        <v>3.1565065367230072</v>
      </c>
      <c r="CF23" s="11">
        <f t="shared" si="26"/>
        <v>58.464149401718601</v>
      </c>
      <c r="CG23" s="11">
        <f t="shared" si="27"/>
        <v>56.156766211491409</v>
      </c>
      <c r="CH23" s="11">
        <f t="shared" si="28"/>
        <v>57.310457806605001</v>
      </c>
      <c r="CI23" s="14"/>
      <c r="CJ23" s="14">
        <f t="shared" si="29"/>
        <v>1.3703951327586505E-2</v>
      </c>
      <c r="CK23" s="14">
        <f t="shared" si="30"/>
        <v>1.1078692197697748E-2</v>
      </c>
      <c r="CL23" s="14">
        <f t="shared" si="31"/>
        <v>1.4728715434418671E-2</v>
      </c>
      <c r="CM23" s="12"/>
      <c r="CN23" s="12"/>
      <c r="CO23" s="12"/>
      <c r="CR23" s="12"/>
      <c r="CS23" s="14"/>
      <c r="CT23" s="11"/>
      <c r="CU23" s="12"/>
    </row>
    <row r="25" spans="1:114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R25" s="48" t="s">
        <v>87</v>
      </c>
      <c r="AS25" s="11">
        <f>(AS26+2*AS27)/3</f>
        <v>161.32641123456287</v>
      </c>
      <c r="AT25" s="49" t="s">
        <v>88</v>
      </c>
      <c r="AU25" s="11">
        <f>(AS29+2*AS30)/3</f>
        <v>3.8144600364137027</v>
      </c>
      <c r="BG25" s="46" t="s">
        <v>62</v>
      </c>
      <c r="BH25" s="14">
        <f>'Global Min'!M12</f>
        <v>239.51038215113027</v>
      </c>
      <c r="BK25" s="46" t="s">
        <v>64</v>
      </c>
      <c r="BL25" s="1">
        <f>3*BH36*(BH28-3)-7*BH25</f>
        <v>-461.3072645719144</v>
      </c>
    </row>
    <row r="26" spans="1:114" ht="15.75" x14ac:dyDescent="0.25">
      <c r="AG26" s="1" t="s">
        <v>65</v>
      </c>
      <c r="AR26" s="46" t="s">
        <v>62</v>
      </c>
      <c r="AS26" s="14">
        <f>'Global Min'!L12</f>
        <v>239.89360432346049</v>
      </c>
      <c r="AV26" s="46" t="s">
        <v>64</v>
      </c>
      <c r="AW26" s="1">
        <f>3*AS25*(AS29-3)-7*AS26</f>
        <v>-525.39091143065957</v>
      </c>
      <c r="BG26" s="46" t="s">
        <v>66</v>
      </c>
      <c r="BH26" s="14">
        <f>'Global Min'!M13</f>
        <v>121.79137885339955</v>
      </c>
      <c r="BK26" s="46" t="s">
        <v>68</v>
      </c>
      <c r="BL26" s="1">
        <f>3*BH36*(BH29-1)-7*BH26</f>
        <v>168.14821444487245</v>
      </c>
    </row>
    <row r="27" spans="1:114" ht="15.75" x14ac:dyDescent="0.25">
      <c r="B27" s="5" t="s">
        <v>69</v>
      </c>
      <c r="AG27" s="1" t="s">
        <v>70</v>
      </c>
      <c r="AR27" s="46" t="s">
        <v>66</v>
      </c>
      <c r="AS27" s="14">
        <f>'Global Min'!L13</f>
        <v>122.04281469011407</v>
      </c>
      <c r="AV27" s="46" t="s">
        <v>68</v>
      </c>
      <c r="AW27" s="1">
        <f>3*AS25*(AS30-1)-7*AS27</f>
        <v>127.99922161847007</v>
      </c>
      <c r="BG27" s="46" t="s">
        <v>71</v>
      </c>
      <c r="BH27" s="14">
        <f>'Global Min'!M14</f>
        <v>46.243127025353878</v>
      </c>
      <c r="BK27" s="46" t="s">
        <v>73</v>
      </c>
      <c r="BL27" s="11">
        <f>3*BH36*(BH30-1)-7*BH27</f>
        <v>-667.67980537079279</v>
      </c>
      <c r="BM27" s="11"/>
      <c r="BN27" s="11"/>
      <c r="BO27" s="11"/>
      <c r="BP27" s="11"/>
      <c r="BQ27" s="11"/>
      <c r="BR27" s="11"/>
      <c r="BS27" s="11"/>
      <c r="BT27" s="11"/>
    </row>
    <row r="28" spans="1:114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K28" s="1">
        <f>235*3</f>
        <v>705</v>
      </c>
      <c r="AR28" s="46" t="s">
        <v>71</v>
      </c>
      <c r="AS28" s="14">
        <f>'Global Min'!L14</f>
        <v>46.221889892405528</v>
      </c>
      <c r="AV28" s="46" t="s">
        <v>73</v>
      </c>
      <c r="AW28" s="11">
        <f>3*AS25*(AS31-1)-7*AS28</f>
        <v>-666.65867916319553</v>
      </c>
      <c r="AX28" s="11"/>
      <c r="BG28" s="46" t="s">
        <v>63</v>
      </c>
      <c r="BH28" s="14">
        <f>'Global Min'!M15</f>
        <v>5.515592357290334</v>
      </c>
      <c r="BI28" s="46"/>
    </row>
    <row r="29" spans="1:114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5">36*$B$40*($B$38^2)*(4*$B$40*$B$38^2 + $K$29*M2)/K29^2</f>
        <v>1343.6534708520289</v>
      </c>
      <c r="O29" s="14">
        <f t="shared" ref="O29:O50" si="76">-(12*$B$40*$K$29*$D$38^3)/(J29^2)</f>
        <v>-1.9766903953326372E-2</v>
      </c>
      <c r="AK29" s="1">
        <f>165*2</f>
        <v>330</v>
      </c>
      <c r="AR29" s="46" t="s">
        <v>63</v>
      </c>
      <c r="AS29" s="14">
        <f>'Global Min'!L15</f>
        <v>5.3841194796800016</v>
      </c>
      <c r="AT29" s="46"/>
      <c r="BG29" s="46" t="s">
        <v>67</v>
      </c>
      <c r="BH29" s="14">
        <f>'Global Min'!M16</f>
        <v>3.1128179686402473</v>
      </c>
      <c r="BL29" s="47"/>
      <c r="BM29" s="47"/>
      <c r="BN29" s="47"/>
      <c r="BO29" s="47"/>
      <c r="BP29" s="47"/>
      <c r="BQ29" s="47"/>
      <c r="BR29" s="47"/>
      <c r="BS29" s="47"/>
      <c r="BT29" s="47"/>
      <c r="CN29" s="21"/>
      <c r="CR29" s="14"/>
      <c r="CS29" s="14"/>
    </row>
    <row r="30" spans="1:114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7">12*$B$31*$B$38^2+$K$29*L3</f>
        <v>36.230004961873007</v>
      </c>
      <c r="M30" s="1">
        <f t="shared" ref="M30:M50" si="78">36*$B$40*($B$38^2)*(4*$B$40*$B$38^2 + $K$29*L3)/J30^2</f>
        <v>1.0002865504787488</v>
      </c>
      <c r="N30" s="14">
        <f t="shared" ref="N30:N50" si="79">(12*$K$29*L3*$D$38^3)/(J30^2)</f>
        <v>3.3134550026316022E-5</v>
      </c>
      <c r="O30" s="14">
        <f t="shared" si="76"/>
        <v>-1.9755570646903569E-2</v>
      </c>
      <c r="AK30" s="1">
        <f>235*2+235</f>
        <v>705</v>
      </c>
      <c r="AR30" s="46" t="s">
        <v>67</v>
      </c>
      <c r="AS30" s="14">
        <f>'Global Min'!L16</f>
        <v>3.0296303147805537</v>
      </c>
      <c r="BG30" s="46" t="s">
        <v>72</v>
      </c>
      <c r="BH30" s="14">
        <f>'Global Min'!M17</f>
        <v>0.28796770681845224</v>
      </c>
      <c r="BN30" s="50"/>
      <c r="BO30" s="50"/>
      <c r="BP30" s="50"/>
      <c r="BQ30" s="50"/>
      <c r="BR30" s="50"/>
      <c r="BS30" s="50"/>
      <c r="BT30" s="50"/>
      <c r="CN30" s="21"/>
      <c r="CR30" s="14"/>
      <c r="CS30" s="14"/>
    </row>
    <row r="31" spans="1:114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7"/>
        <v>36.344840316824367</v>
      </c>
      <c r="M31" s="1">
        <f t="shared" si="78"/>
        <v>1.0034216726563492</v>
      </c>
      <c r="N31" s="14">
        <f t="shared" si="79"/>
        <v>3.9691537765960033E-4</v>
      </c>
      <c r="O31" s="14">
        <f t="shared" si="76"/>
        <v>-1.9630928252146327E-2</v>
      </c>
      <c r="AK31" s="1">
        <f>330+642</f>
        <v>972</v>
      </c>
      <c r="AR31" s="46" t="s">
        <v>72</v>
      </c>
      <c r="AS31" s="14">
        <f>'Global Min'!L17</f>
        <v>0.29107402544791877</v>
      </c>
      <c r="BG31" s="47" t="s">
        <v>82</v>
      </c>
      <c r="BH31" s="88">
        <f>BH35+BH33+BH34+BH32</f>
        <v>62.548406301898744</v>
      </c>
      <c r="BI31" s="49"/>
      <c r="CN31" s="21"/>
      <c r="CR31" s="14"/>
      <c r="CS31" s="14"/>
    </row>
    <row r="32" spans="1:114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7"/>
        <v>36.408431985393911</v>
      </c>
      <c r="M32" s="1">
        <f t="shared" si="78"/>
        <v>1.005132226330391</v>
      </c>
      <c r="N32" s="14">
        <f t="shared" si="79"/>
        <v>5.9639100951119049E-4</v>
      </c>
      <c r="O32" s="14">
        <f t="shared" si="76"/>
        <v>-1.956241262500967E-2</v>
      </c>
      <c r="AK32" s="1">
        <f>AK31-AK30</f>
        <v>267</v>
      </c>
      <c r="AR32" s="47" t="s">
        <v>82</v>
      </c>
      <c r="AS32" s="52">
        <f>AS36+AS34+AS35+AS33</f>
        <v>58.852348046758479</v>
      </c>
      <c r="AT32" s="49"/>
      <c r="BG32" s="1" t="s">
        <v>92</v>
      </c>
      <c r="BH32" s="51">
        <f>SUMSQ(BL6:BL16)</f>
        <v>0.18503201350051926</v>
      </c>
      <c r="BI32" s="49"/>
      <c r="BU32" s="47"/>
      <c r="CN32" s="21"/>
      <c r="CR32" s="14"/>
      <c r="CS32" s="14"/>
    </row>
    <row r="33" spans="1:97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7"/>
        <v>36.476877100438806</v>
      </c>
      <c r="M33" s="1">
        <f t="shared" si="78"/>
        <v>1.0069532015102993</v>
      </c>
      <c r="N33" s="14">
        <f t="shared" si="79"/>
        <v>8.0953547660503897E-4</v>
      </c>
      <c r="O33" s="14">
        <f t="shared" si="76"/>
        <v>-1.9489067783761378E-2</v>
      </c>
      <c r="AR33" s="1" t="s">
        <v>92</v>
      </c>
      <c r="AS33" s="51">
        <f>SUMSQ(AZ6:AZ16)</f>
        <v>0.52210006747166271</v>
      </c>
      <c r="AT33" s="49"/>
      <c r="BG33" s="1" t="s">
        <v>62</v>
      </c>
      <c r="BH33" s="14">
        <f>SUMSQ(BX6:BX16)</f>
        <v>53.201085088545852</v>
      </c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CN33" s="21"/>
      <c r="CR33" s="14"/>
      <c r="CS33" s="14"/>
    </row>
    <row r="34" spans="1:97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7"/>
        <v>36.546902534855903</v>
      </c>
      <c r="M34" s="1">
        <f t="shared" si="78"/>
        <v>1.0087948202165875</v>
      </c>
      <c r="N34" s="14">
        <f t="shared" si="79"/>
        <v>1.0259460245183164E-3</v>
      </c>
      <c r="O34" s="14">
        <f t="shared" si="76"/>
        <v>-1.9414455551133209E-2</v>
      </c>
      <c r="AR34" s="1" t="s">
        <v>62</v>
      </c>
      <c r="AS34" s="14">
        <f>SUMSQ(AW6:AW16)</f>
        <v>50.482596426568044</v>
      </c>
      <c r="BG34" s="1" t="s">
        <v>66</v>
      </c>
      <c r="BH34" s="12">
        <f>SUMSQ(BZ6:BZ16)</f>
        <v>8.1952346547219701</v>
      </c>
      <c r="CN34" s="21"/>
      <c r="CR34" s="14"/>
      <c r="CS34" s="14"/>
    </row>
    <row r="35" spans="1:97" x14ac:dyDescent="0.2">
      <c r="C35" s="1">
        <f>12*B31*(B29^2)</f>
        <v>28.364467319999999</v>
      </c>
      <c r="J35" s="21">
        <f t="shared" si="77"/>
        <v>36.594740156054016</v>
      </c>
      <c r="M35" s="1">
        <f t="shared" si="78"/>
        <v>1.0100405770420833</v>
      </c>
      <c r="N35" s="14">
        <f t="shared" si="79"/>
        <v>1.1728310021441432E-3</v>
      </c>
      <c r="O35" s="14">
        <f t="shared" si="76"/>
        <v>-1.9363730538264741E-2</v>
      </c>
      <c r="AR35" s="1" t="s">
        <v>66</v>
      </c>
      <c r="AS35" s="12">
        <f>SUMSQ(AY6:AY16)</f>
        <v>6.8497419789179546</v>
      </c>
      <c r="BG35" s="1" t="s">
        <v>71</v>
      </c>
      <c r="BH35" s="12">
        <f>SUMSQ(BY6:BY16)</f>
        <v>0.96705454513040412</v>
      </c>
      <c r="BI35" s="11"/>
      <c r="BZ35" s="21"/>
      <c r="CD35" s="14"/>
      <c r="CE35" s="14"/>
    </row>
    <row r="36" spans="1:97" ht="15.75" x14ac:dyDescent="0.25">
      <c r="B36" s="5" t="s">
        <v>96</v>
      </c>
      <c r="J36" s="21">
        <f t="shared" si="77"/>
        <v>36.639003272748873</v>
      </c>
      <c r="M36" s="1">
        <f t="shared" si="78"/>
        <v>1.0111843938589871</v>
      </c>
      <c r="N36" s="14">
        <f t="shared" si="79"/>
        <v>1.3080545127141447E-3</v>
      </c>
      <c r="O36" s="14">
        <f t="shared" si="76"/>
        <v>-1.9316972642979553E-2</v>
      </c>
      <c r="AR36" s="1" t="s">
        <v>71</v>
      </c>
      <c r="AS36" s="12">
        <f>SUMSQ(AX6:AX16)</f>
        <v>0.99790957380081757</v>
      </c>
      <c r="BG36" s="48" t="s">
        <v>87</v>
      </c>
      <c r="BH36" s="11">
        <f>(BH25+2*BH26)/3</f>
        <v>161.03104661930979</v>
      </c>
      <c r="BZ36" s="21"/>
      <c r="CD36" s="14"/>
      <c r="CE36" s="14"/>
    </row>
    <row r="37" spans="1:97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7"/>
        <v>36.694289776924059</v>
      </c>
      <c r="M37" s="1">
        <f t="shared" si="78"/>
        <v>1.012601194845324</v>
      </c>
      <c r="N37" s="14">
        <f t="shared" si="79"/>
        <v>1.476033858530353E-3</v>
      </c>
      <c r="O37" s="14">
        <f t="shared" si="76"/>
        <v>-1.9258807552283427E-2</v>
      </c>
      <c r="BG37" s="49" t="s">
        <v>88</v>
      </c>
      <c r="BH37" s="11">
        <f>(BH28+2*BH29)/3</f>
        <v>3.9137427648569427</v>
      </c>
      <c r="BZ37" s="21"/>
      <c r="CD37" s="14"/>
      <c r="CE37" s="14"/>
    </row>
    <row r="38" spans="1:97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7"/>
        <v>36.740149602528582</v>
      </c>
      <c r="M38" s="1">
        <f t="shared" si="78"/>
        <v>1.0137664811955698</v>
      </c>
      <c r="N38" s="14">
        <f t="shared" si="79"/>
        <v>1.6146005086871489E-3</v>
      </c>
      <c r="O38" s="14">
        <f t="shared" si="76"/>
        <v>-1.9210759063238346E-2</v>
      </c>
      <c r="BZ38" s="21"/>
      <c r="CD38" s="14"/>
      <c r="CE38" s="14"/>
    </row>
    <row r="39" spans="1:97" x14ac:dyDescent="0.2">
      <c r="A39" s="1" t="s">
        <v>83</v>
      </c>
      <c r="B39" s="1">
        <f>0.000046</f>
        <v>4.6E-5</v>
      </c>
      <c r="C39" s="1" t="s">
        <v>98</v>
      </c>
      <c r="J39" s="21">
        <f t="shared" si="77"/>
        <v>36.776977212677714</v>
      </c>
      <c r="M39" s="1">
        <f t="shared" si="78"/>
        <v>1.0146957756533277</v>
      </c>
      <c r="N39" s="14">
        <f t="shared" si="79"/>
        <v>1.7253726409698147E-3</v>
      </c>
      <c r="O39" s="14">
        <f t="shared" si="76"/>
        <v>-1.9172303911735834E-2</v>
      </c>
      <c r="BZ39" s="21"/>
      <c r="CD39" s="14"/>
      <c r="CE39" s="14"/>
    </row>
    <row r="40" spans="1:97" x14ac:dyDescent="0.2">
      <c r="A40" s="1" t="s">
        <v>89</v>
      </c>
      <c r="B40" s="1">
        <v>6.09</v>
      </c>
      <c r="C40" s="1" t="s">
        <v>99</v>
      </c>
      <c r="J40" s="21">
        <f t="shared" si="77"/>
        <v>36.821799274464901</v>
      </c>
      <c r="M40" s="1">
        <f t="shared" si="78"/>
        <v>1.0158190499439517</v>
      </c>
      <c r="N40" s="14">
        <f t="shared" si="79"/>
        <v>1.8595890353232756E-3</v>
      </c>
      <c r="O40" s="14">
        <f t="shared" si="76"/>
        <v>-1.9125656589669172E-2</v>
      </c>
      <c r="BZ40" s="21"/>
      <c r="CD40" s="14"/>
      <c r="CE40" s="14"/>
    </row>
    <row r="41" spans="1:97" x14ac:dyDescent="0.2">
      <c r="A41" s="1" t="s">
        <v>90</v>
      </c>
      <c r="B41" s="1">
        <v>1.23</v>
      </c>
      <c r="J41" s="21">
        <f t="shared" si="77"/>
        <v>36.860548652310861</v>
      </c>
      <c r="M41" s="1">
        <f t="shared" si="78"/>
        <v>1.0167833187575375</v>
      </c>
      <c r="N41" s="14">
        <f t="shared" si="79"/>
        <v>1.9750912409634801E-3</v>
      </c>
      <c r="O41" s="14">
        <f t="shared" si="76"/>
        <v>-1.9085466316921772E-2</v>
      </c>
      <c r="BZ41" s="21"/>
      <c r="CD41" s="14"/>
      <c r="CE41" s="14"/>
    </row>
    <row r="42" spans="1:97" x14ac:dyDescent="0.2">
      <c r="A42" s="1" t="s">
        <v>93</v>
      </c>
      <c r="B42" s="1">
        <v>300</v>
      </c>
      <c r="J42" s="21">
        <f t="shared" si="77"/>
        <v>36.887980745099838</v>
      </c>
      <c r="M42" s="1">
        <f t="shared" si="78"/>
        <v>1.0174621558044163</v>
      </c>
      <c r="N42" s="14">
        <f t="shared" si="79"/>
        <v>2.0565636738822867E-3</v>
      </c>
      <c r="O42" s="14">
        <f t="shared" si="76"/>
        <v>-1.9057090699751658E-2</v>
      </c>
      <c r="BZ42" s="21"/>
      <c r="CD42" s="14"/>
      <c r="CE42" s="14"/>
    </row>
    <row r="43" spans="1:97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7"/>
        <v>36.9233705767735</v>
      </c>
      <c r="M43" s="1">
        <f t="shared" si="78"/>
        <v>1.0183332790269639</v>
      </c>
      <c r="N43" s="14">
        <f t="shared" si="79"/>
        <v>2.1613096259587091E-3</v>
      </c>
      <c r="O43" s="14">
        <f t="shared" si="76"/>
        <v>-1.9020577022186149E-2</v>
      </c>
      <c r="BZ43" s="21"/>
      <c r="CD43" s="14"/>
      <c r="CE43" s="14"/>
    </row>
    <row r="44" spans="1:97" x14ac:dyDescent="0.2">
      <c r="C44" s="1">
        <f>12*B40*(B38^2)</f>
        <v>36.219617279999994</v>
      </c>
      <c r="J44" s="21">
        <f t="shared" si="77"/>
        <v>36.955731506658466</v>
      </c>
      <c r="M44" s="1">
        <f t="shared" si="78"/>
        <v>1.0191252928224006</v>
      </c>
      <c r="N44" s="14">
        <f t="shared" si="79"/>
        <v>2.25673637139102E-3</v>
      </c>
      <c r="O44" s="14">
        <f t="shared" si="76"/>
        <v>-1.8987280208006538E-2</v>
      </c>
      <c r="BZ44" s="21"/>
      <c r="CD44" s="14"/>
      <c r="CE44" s="14"/>
    </row>
    <row r="45" spans="1:97" x14ac:dyDescent="0.2">
      <c r="A45" s="1" t="s">
        <v>100</v>
      </c>
      <c r="B45" s="1">
        <v>3</v>
      </c>
      <c r="J45" s="21">
        <f t="shared" si="77"/>
        <v>36.97445545821823</v>
      </c>
      <c r="M45" s="1">
        <f t="shared" si="78"/>
        <v>1.019581571540408</v>
      </c>
      <c r="N45" s="14">
        <f t="shared" si="79"/>
        <v>2.3117960002289376E-3</v>
      </c>
      <c r="O45" s="14">
        <f t="shared" si="76"/>
        <v>-1.8968054670096161E-2</v>
      </c>
      <c r="BZ45" s="21"/>
      <c r="CD45" s="14"/>
      <c r="CE45" s="14"/>
    </row>
    <row r="46" spans="1:97" x14ac:dyDescent="0.2">
      <c r="A46" s="1" t="s">
        <v>101</v>
      </c>
      <c r="B46" s="1">
        <v>1</v>
      </c>
      <c r="J46" s="21">
        <f t="shared" si="77"/>
        <v>36.987761072821677</v>
      </c>
      <c r="M46" s="1">
        <f t="shared" si="78"/>
        <v>1.0199049334084935</v>
      </c>
      <c r="N46" s="14">
        <f t="shared" si="79"/>
        <v>2.3508540201281703E-3</v>
      </c>
      <c r="O46" s="14">
        <f t="shared" si="76"/>
        <v>-1.8954410360559573E-2</v>
      </c>
      <c r="BZ46" s="21"/>
      <c r="CD46" s="14"/>
      <c r="CE46" s="14"/>
    </row>
    <row r="47" spans="1:97" x14ac:dyDescent="0.2">
      <c r="J47" s="21">
        <f t="shared" si="77"/>
        <v>37.011585386657842</v>
      </c>
      <c r="M47" s="1">
        <f t="shared" si="78"/>
        <v>1.0204821079602897</v>
      </c>
      <c r="N47" s="14">
        <f t="shared" si="79"/>
        <v>2.42064743271047E-3</v>
      </c>
      <c r="O47" s="14">
        <f t="shared" si="76"/>
        <v>-1.8930016351122701E-2</v>
      </c>
      <c r="BR47" s="1" t="s">
        <v>113</v>
      </c>
      <c r="BS47" s="1">
        <v>1.016974</v>
      </c>
      <c r="BZ47" s="21"/>
      <c r="CD47" s="14"/>
      <c r="CE47" s="14"/>
    </row>
    <row r="48" spans="1:97" x14ac:dyDescent="0.2">
      <c r="A48" s="1" t="s">
        <v>50</v>
      </c>
      <c r="B48" s="1">
        <v>151.13999999999999</v>
      </c>
      <c r="J48" s="21">
        <f t="shared" si="77"/>
        <v>37.043083530488254</v>
      </c>
      <c r="M48" s="1">
        <f t="shared" si="78"/>
        <v>1.021241617395958</v>
      </c>
      <c r="N48" s="14">
        <f t="shared" si="79"/>
        <v>2.5126428742143232E-3</v>
      </c>
      <c r="O48" s="14">
        <f t="shared" si="76"/>
        <v>-1.8897837233320558E-2</v>
      </c>
      <c r="BR48" s="1" t="s">
        <v>40</v>
      </c>
      <c r="BS48" s="1">
        <v>6.07</v>
      </c>
      <c r="BZ48" s="21"/>
      <c r="CD48" s="14"/>
      <c r="CE48" s="14"/>
    </row>
    <row r="49" spans="1:83" x14ac:dyDescent="0.2">
      <c r="A49" s="1" t="s">
        <v>102</v>
      </c>
      <c r="B49" s="1">
        <v>3.47</v>
      </c>
      <c r="J49" s="21">
        <f t="shared" si="77"/>
        <v>37.058695758924543</v>
      </c>
      <c r="M49" s="1">
        <f t="shared" si="78"/>
        <v>1.0216165689841386</v>
      </c>
      <c r="N49" s="14">
        <f t="shared" si="79"/>
        <v>2.5581237175965259E-3</v>
      </c>
      <c r="O49" s="14">
        <f t="shared" si="76"/>
        <v>-1.8881917881677535E-2</v>
      </c>
      <c r="BR49" s="1" t="s">
        <v>114</v>
      </c>
      <c r="BS49" s="1">
        <v>1.02</v>
      </c>
      <c r="BZ49" s="21"/>
      <c r="CD49" s="14"/>
      <c r="CE49" s="14"/>
    </row>
    <row r="50" spans="1:83" x14ac:dyDescent="0.2">
      <c r="J50" s="21">
        <f t="shared" si="77"/>
        <v>37.069049754694028</v>
      </c>
      <c r="M50" s="1">
        <f t="shared" si="78"/>
        <v>1.0218646879201123</v>
      </c>
      <c r="N50" s="14">
        <f t="shared" si="79"/>
        <v>2.5882437707631352E-3</v>
      </c>
      <c r="O50" s="14">
        <f t="shared" si="76"/>
        <v>-1.8871371293862869E-2</v>
      </c>
      <c r="BZ50" s="21"/>
      <c r="CD50" s="14"/>
      <c r="CE50" s="14"/>
    </row>
    <row r="51" spans="1:83" x14ac:dyDescent="0.2">
      <c r="B51" s="1" t="s">
        <v>103</v>
      </c>
      <c r="J51" s="21"/>
      <c r="AU51" s="1" t="s">
        <v>62</v>
      </c>
      <c r="AV51" s="1">
        <v>246.36868691540607</v>
      </c>
      <c r="AW51" s="1" t="s">
        <v>63</v>
      </c>
      <c r="AX51" s="1">
        <v>5.434181546630243</v>
      </c>
    </row>
    <row r="52" spans="1:83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" t="s">
        <v>66</v>
      </c>
      <c r="AV52" s="1">
        <v>125.61714953553738</v>
      </c>
      <c r="AW52" s="1" t="s">
        <v>67</v>
      </c>
      <c r="AX52" s="1">
        <v>3.0905172635997236</v>
      </c>
    </row>
    <row r="53" spans="1:83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" t="s">
        <v>71</v>
      </c>
      <c r="AV53" s="1">
        <v>42.351506466222411</v>
      </c>
      <c r="AW53" s="1" t="s">
        <v>72</v>
      </c>
      <c r="AX53" s="1">
        <v>0.22637250016517993</v>
      </c>
    </row>
    <row r="54" spans="1:83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3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3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8"/>
  <sheetViews>
    <sheetView workbookViewId="0">
      <selection activeCell="B5" sqref="B5"/>
    </sheetView>
  </sheetViews>
  <sheetFormatPr defaultRowHeight="15" x14ac:dyDescent="0.25"/>
  <cols>
    <col min="1" max="1" width="42"/>
    <col min="2" max="9" width="12.5703125" bestFit="1" customWidth="1"/>
    <col min="10" max="10" width="6.7109375" bestFit="1" customWidth="1"/>
    <col min="11" max="15" width="12" bestFit="1" customWidth="1"/>
    <col min="19" max="19" width="70"/>
  </cols>
  <sheetData>
    <row r="1" spans="1:19" x14ac:dyDescent="0.25">
      <c r="A1" t="s">
        <v>155</v>
      </c>
    </row>
    <row r="2" spans="1:19" x14ac:dyDescent="0.25">
      <c r="A2" t="s">
        <v>156</v>
      </c>
    </row>
    <row r="3" spans="1:19" x14ac:dyDescent="0.25">
      <c r="A3" t="s">
        <v>157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S3" t="s">
        <v>174</v>
      </c>
    </row>
    <row r="4" spans="1:19" x14ac:dyDescent="0.25">
      <c r="A4" t="s">
        <v>62</v>
      </c>
      <c r="B4" s="103">
        <f>'FS No Vs 111'!BG25</f>
        <v>239.51038215113027</v>
      </c>
      <c r="C4" s="103">
        <f>'FS No Vp 111'!BC25</f>
        <v>239.51038215113027</v>
      </c>
      <c r="D4" s="103">
        <f>'FS No Vs 100'!BF25</f>
        <v>239.51038215113027</v>
      </c>
      <c r="E4" s="103">
        <f>'FS No Vp 100'!BH25</f>
        <v>239.51038215113027</v>
      </c>
      <c r="F4" s="103">
        <f>'FS No Vs 111'!AP26</f>
        <v>239.89360432346049</v>
      </c>
      <c r="G4" s="103">
        <f>'FS No Vp 111'!AQ28</f>
        <v>239.89360432346049</v>
      </c>
      <c r="H4" s="103">
        <f>'FS No Vs 100'!AQ26</f>
        <v>239.89360432346049</v>
      </c>
      <c r="I4" s="103">
        <f>'FS No Vp 100'!AS26</f>
        <v>239.89360432346049</v>
      </c>
      <c r="J4">
        <v>1</v>
      </c>
      <c r="K4">
        <f t="shared" ref="K4:K9" si="0">AVERAGE(B4:E4)</f>
        <v>239.51038215113027</v>
      </c>
      <c r="L4">
        <f t="shared" ref="L4:L9" si="1">AVERAGE(F4:I4)</f>
        <v>239.89360432346049</v>
      </c>
      <c r="M4">
        <f t="shared" ref="M4:M9" si="2">AVERAGE(B4:I4)</f>
        <v>239.7019932372954</v>
      </c>
      <c r="N4">
        <f t="shared" ref="N4:N9" si="3">J4*IF($D$11=1,DEVSQ(B4:E4)/K4^2,DEVSQ(B4:E4))</f>
        <v>0</v>
      </c>
      <c r="O4">
        <f t="shared" ref="O4:O9" si="4">J4*IF($D$11=1,DEVSQ(F4:I4)/L4^2,DEVSQ(F4:I4))</f>
        <v>0</v>
      </c>
      <c r="P4">
        <f t="shared" ref="P4:P9" si="5">J4*IF($D$11=1,(K4-L4)^2/M4^2,(K4-L4)^2)</f>
        <v>0.14685923336549372</v>
      </c>
      <c r="Q4">
        <f t="shared" ref="Q4:Q9" si="6">J4*IF($D$11=1,DEVSQ(B4:I4)/M4^2,DEVSQ(B4:I4))</f>
        <v>0.29371846673098745</v>
      </c>
      <c r="S4" t="s">
        <v>175</v>
      </c>
    </row>
    <row r="5" spans="1:19" x14ac:dyDescent="0.25">
      <c r="A5" t="s">
        <v>66</v>
      </c>
      <c r="B5" s="103">
        <f>'FS No Vs 111'!BG26</f>
        <v>121.79137885339955</v>
      </c>
      <c r="C5" s="103">
        <f>'FS No Vp 111'!BC26</f>
        <v>121.79137885339955</v>
      </c>
      <c r="D5" s="103">
        <f>'FS No Vs 100'!BF26</f>
        <v>121.79137885339955</v>
      </c>
      <c r="E5" s="103">
        <f>'FS No Vp 100'!BH26</f>
        <v>121.79137885339955</v>
      </c>
      <c r="F5" s="103">
        <f>'FS No Vs 111'!AP27</f>
        <v>122.04281469011407</v>
      </c>
      <c r="G5" s="103">
        <f>'FS No Vp 111'!AQ29</f>
        <v>122.04281469011407</v>
      </c>
      <c r="H5" s="103">
        <f>'FS No Vs 100'!AQ27</f>
        <v>122.04281469011407</v>
      </c>
      <c r="I5" s="103">
        <f>'FS No Vp 100'!AS27</f>
        <v>122.04281469011407</v>
      </c>
      <c r="J5">
        <v>1</v>
      </c>
      <c r="K5">
        <f t="shared" si="0"/>
        <v>121.79137885339955</v>
      </c>
      <c r="L5">
        <f t="shared" si="1"/>
        <v>122.04281469011407</v>
      </c>
      <c r="M5">
        <f t="shared" si="2"/>
        <v>121.91709677175679</v>
      </c>
      <c r="N5">
        <f t="shared" si="3"/>
        <v>0</v>
      </c>
      <c r="O5">
        <f t="shared" si="4"/>
        <v>0</v>
      </c>
      <c r="P5">
        <f t="shared" si="5"/>
        <v>6.3219979984331084E-2</v>
      </c>
      <c r="Q5">
        <f t="shared" si="6"/>
        <v>0.12643995996866217</v>
      </c>
      <c r="S5" t="s">
        <v>176</v>
      </c>
    </row>
    <row r="6" spans="1:19" x14ac:dyDescent="0.25">
      <c r="A6" t="s">
        <v>71</v>
      </c>
      <c r="B6" s="103">
        <f>'FS No Vs 111'!BG27</f>
        <v>46.243127025353878</v>
      </c>
      <c r="C6" s="103">
        <f>'FS No Vp 111'!BC27</f>
        <v>46.243127025353878</v>
      </c>
      <c r="D6" s="103">
        <f>'FS No Vs 100'!BF27</f>
        <v>46.243127025353878</v>
      </c>
      <c r="E6" s="103">
        <f>'FS No Vp 100'!BH27</f>
        <v>46.243127025353878</v>
      </c>
      <c r="F6" s="103">
        <f>'FS No Vs 111'!AP28</f>
        <v>46.221889892405528</v>
      </c>
      <c r="G6" s="103">
        <f>'FS No Vp 111'!AQ30</f>
        <v>46.221889892405528</v>
      </c>
      <c r="H6" s="103">
        <f>'FS No Vs 100'!AQ28</f>
        <v>46.221889892405528</v>
      </c>
      <c r="I6" s="103">
        <f>'FS No Vp 100'!AS28</f>
        <v>46.221889892405528</v>
      </c>
      <c r="J6">
        <v>1</v>
      </c>
      <c r="K6">
        <f t="shared" si="0"/>
        <v>46.243127025353878</v>
      </c>
      <c r="L6">
        <f t="shared" si="1"/>
        <v>46.221889892405528</v>
      </c>
      <c r="M6">
        <f t="shared" si="2"/>
        <v>46.232508458879707</v>
      </c>
      <c r="N6">
        <f t="shared" si="3"/>
        <v>0</v>
      </c>
      <c r="O6">
        <f t="shared" si="4"/>
        <v>0</v>
      </c>
      <c r="P6">
        <f t="shared" si="5"/>
        <v>4.5101581586590503E-4</v>
      </c>
      <c r="Q6">
        <f t="shared" si="6"/>
        <v>9.0203163173181017E-4</v>
      </c>
      <c r="S6" t="s">
        <v>177</v>
      </c>
    </row>
    <row r="7" spans="1:19" x14ac:dyDescent="0.25">
      <c r="A7" t="s">
        <v>63</v>
      </c>
      <c r="B7" s="103">
        <f>'FS No Vs 111'!BG28</f>
        <v>5.515592357290334</v>
      </c>
      <c r="C7" s="103">
        <f>'FS No Vp 111'!BC28</f>
        <v>5.515592357290334</v>
      </c>
      <c r="D7" s="103">
        <f>'FS No Vs 100'!BF28</f>
        <v>5.515592357290334</v>
      </c>
      <c r="E7" s="103">
        <f>'FS No Vp 100'!BH28</f>
        <v>5.515592357290334</v>
      </c>
      <c r="F7" s="103">
        <f>'FS No Vs 111'!AR26</f>
        <v>5.3841194796800016</v>
      </c>
      <c r="G7" s="103">
        <f>'FS No Vp 111'!AQ31</f>
        <v>5.3841194796800016</v>
      </c>
      <c r="H7" s="103">
        <f>'FS No Vs 100'!AQ29</f>
        <v>5.3841194796800016</v>
      </c>
      <c r="I7" s="103">
        <f>'FS No Vp 100'!AS29</f>
        <v>5.3841194796800016</v>
      </c>
      <c r="J7">
        <v>0</v>
      </c>
      <c r="K7">
        <f t="shared" si="0"/>
        <v>5.515592357290334</v>
      </c>
      <c r="L7">
        <f t="shared" si="1"/>
        <v>5.3841194796800016</v>
      </c>
      <c r="M7">
        <f t="shared" si="2"/>
        <v>5.4498559184851683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S7" t="s">
        <v>178</v>
      </c>
    </row>
    <row r="8" spans="1:19" x14ac:dyDescent="0.25">
      <c r="A8" t="s">
        <v>67</v>
      </c>
      <c r="B8" s="103">
        <f>'FS No Vs 111'!BG29</f>
        <v>3.1128179686402473</v>
      </c>
      <c r="C8" s="103">
        <f>'FS No Vp 111'!BC29</f>
        <v>3.1128179686402473</v>
      </c>
      <c r="D8" s="103">
        <f>'FS No Vs 100'!BF29</f>
        <v>3.1128179686402473</v>
      </c>
      <c r="E8" s="103">
        <f>'FS No Vp 100'!BH29</f>
        <v>3.1128179686402473</v>
      </c>
      <c r="F8" s="103">
        <f>'FS No Vs 111'!AR27</f>
        <v>3.0296303147805537</v>
      </c>
      <c r="G8" s="103">
        <f>'FS No Vp 111'!AQ32</f>
        <v>3.0296303147805537</v>
      </c>
      <c r="H8" s="103">
        <f>'FS No Vs 100'!AQ30</f>
        <v>3.0296303147805537</v>
      </c>
      <c r="I8" s="103">
        <f>'FS No Vp 100'!AS30</f>
        <v>3.0296303147805537</v>
      </c>
      <c r="J8">
        <v>0</v>
      </c>
      <c r="K8">
        <f t="shared" si="0"/>
        <v>3.1128179686402473</v>
      </c>
      <c r="L8">
        <f t="shared" si="1"/>
        <v>3.0296303147805537</v>
      </c>
      <c r="M8">
        <f t="shared" si="2"/>
        <v>3.0712241417104007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S8" t="s">
        <v>179</v>
      </c>
    </row>
    <row r="9" spans="1:19" x14ac:dyDescent="0.25">
      <c r="A9" t="s">
        <v>72</v>
      </c>
      <c r="B9" s="103">
        <f>'FS No Vs 111'!BG30</f>
        <v>0.28796770681845224</v>
      </c>
      <c r="C9" s="103">
        <f>'FS No Vp 111'!BC30</f>
        <v>0.28796770681845224</v>
      </c>
      <c r="D9" s="103">
        <f>'FS No Vs 100'!BF30</f>
        <v>0.28796770681845224</v>
      </c>
      <c r="E9" s="103">
        <f>'FS No Vp 100'!BH30</f>
        <v>0.28796770681845224</v>
      </c>
      <c r="F9" s="103">
        <f>'FS No Vs 111'!AR28</f>
        <v>0.29107402544791877</v>
      </c>
      <c r="G9" s="103">
        <f>'FS No Vp 111'!AQ33</f>
        <v>0.29107402544791877</v>
      </c>
      <c r="H9" s="103">
        <f>'FS No Vs 100'!AQ31</f>
        <v>0.29107402544791877</v>
      </c>
      <c r="I9" s="103">
        <f>'FS No Vp 100'!AS31</f>
        <v>0.29107402544791877</v>
      </c>
      <c r="J9">
        <v>0</v>
      </c>
      <c r="K9">
        <f t="shared" si="0"/>
        <v>0.28796770681845224</v>
      </c>
      <c r="L9">
        <f t="shared" si="1"/>
        <v>0.29107402544791877</v>
      </c>
      <c r="M9">
        <f t="shared" si="2"/>
        <v>0.28952086613318551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S9" t="s">
        <v>180</v>
      </c>
    </row>
    <row r="11" spans="1:19" x14ac:dyDescent="0.25">
      <c r="A11" t="s">
        <v>181</v>
      </c>
      <c r="D11">
        <v>0</v>
      </c>
      <c r="L11" t="s">
        <v>202</v>
      </c>
      <c r="M11" t="s">
        <v>201</v>
      </c>
      <c r="N11" t="s">
        <v>200</v>
      </c>
      <c r="S11" t="s">
        <v>182</v>
      </c>
    </row>
    <row r="12" spans="1:19" x14ac:dyDescent="0.25">
      <c r="K12" t="s">
        <v>62</v>
      </c>
      <c r="L12">
        <v>239.89360432346049</v>
      </c>
      <c r="M12">
        <v>239.51038215113027</v>
      </c>
      <c r="N12">
        <v>239.51038215113027</v>
      </c>
    </row>
    <row r="13" spans="1:19" x14ac:dyDescent="0.25">
      <c r="A13" t="s">
        <v>183</v>
      </c>
      <c r="E13">
        <f>SUM(N4:N9)</f>
        <v>0</v>
      </c>
      <c r="K13" t="s">
        <v>66</v>
      </c>
      <c r="L13">
        <v>122.04281469011407</v>
      </c>
      <c r="M13">
        <v>121.79137885339955</v>
      </c>
      <c r="N13">
        <v>121.79137885339955</v>
      </c>
    </row>
    <row r="14" spans="1:19" x14ac:dyDescent="0.25">
      <c r="A14" t="s">
        <v>184</v>
      </c>
      <c r="E14">
        <f>SUM(O4:O9)</f>
        <v>0</v>
      </c>
      <c r="K14" t="s">
        <v>71</v>
      </c>
      <c r="L14">
        <v>46.221889892405528</v>
      </c>
      <c r="M14">
        <v>46.243127025353878</v>
      </c>
      <c r="N14">
        <v>46.243127025353878</v>
      </c>
      <c r="S14" t="s">
        <v>185</v>
      </c>
    </row>
    <row r="15" spans="1:19" x14ac:dyDescent="0.25">
      <c r="A15" t="s">
        <v>186</v>
      </c>
      <c r="E15">
        <f>SUM(P4:P9)</f>
        <v>0.21053022916569072</v>
      </c>
      <c r="K15" t="s">
        <v>63</v>
      </c>
      <c r="L15">
        <v>5.3841194796800016</v>
      </c>
      <c r="M15">
        <v>5.515592357290334</v>
      </c>
      <c r="N15">
        <v>5.515592357290334</v>
      </c>
      <c r="S15" t="s">
        <v>187</v>
      </c>
    </row>
    <row r="16" spans="1:19" x14ac:dyDescent="0.25">
      <c r="A16" t="s">
        <v>188</v>
      </c>
      <c r="E16">
        <f>SUM(Q4:Q9)</f>
        <v>0.42106045833138145</v>
      </c>
      <c r="K16" t="s">
        <v>67</v>
      </c>
      <c r="L16">
        <v>3.0296303147805537</v>
      </c>
      <c r="M16">
        <v>3.1128179686402473</v>
      </c>
      <c r="N16">
        <v>3.1128179686402473</v>
      </c>
      <c r="S16" t="s">
        <v>189</v>
      </c>
    </row>
    <row r="17" spans="1:15" x14ac:dyDescent="0.25">
      <c r="K17" t="s">
        <v>72</v>
      </c>
      <c r="L17">
        <v>0.29107402544791877</v>
      </c>
      <c r="M17">
        <v>0.28796770681845224</v>
      </c>
      <c r="N17">
        <v>0.28796770681845224</v>
      </c>
    </row>
    <row r="18" spans="1:15" x14ac:dyDescent="0.25">
      <c r="A18" t="s">
        <v>190</v>
      </c>
    </row>
    <row r="19" spans="1:15" x14ac:dyDescent="0.25">
      <c r="A19" t="s">
        <v>191</v>
      </c>
      <c r="B19" t="s">
        <v>192</v>
      </c>
      <c r="C19" t="s">
        <v>193</v>
      </c>
    </row>
    <row r="20" spans="1:15" x14ac:dyDescent="0.25">
      <c r="A20" t="s">
        <v>194</v>
      </c>
      <c r="B20">
        <f>'FS No Vs 111'!BG31</f>
        <v>45.255064911946207</v>
      </c>
      <c r="C20">
        <f>'FS No Vs 111'!AV30</f>
        <v>48.496156028074815</v>
      </c>
    </row>
    <row r="21" spans="1:15" x14ac:dyDescent="0.25">
      <c r="A21" t="s">
        <v>195</v>
      </c>
      <c r="B21">
        <f>'FS No Vp 111'!BC31</f>
        <v>58.023771942403648</v>
      </c>
      <c r="C21">
        <f>'FS No Vp 111'!AQ34</f>
        <v>63.270721802577015</v>
      </c>
    </row>
    <row r="22" spans="1:15" x14ac:dyDescent="0.25">
      <c r="A22" t="s">
        <v>196</v>
      </c>
      <c r="B22">
        <f>'FS No Vs 100'!BF31</f>
        <v>21.638732924500939</v>
      </c>
      <c r="C22">
        <f>'FS No Vs 100'!AQ32</f>
        <v>24.258763104253035</v>
      </c>
      <c r="L22" t="s">
        <v>202</v>
      </c>
      <c r="M22" t="s">
        <v>201</v>
      </c>
      <c r="N22" t="s">
        <v>200</v>
      </c>
      <c r="O22" s="104" t="s">
        <v>203</v>
      </c>
    </row>
    <row r="23" spans="1:15" x14ac:dyDescent="0.25">
      <c r="A23" t="s">
        <v>197</v>
      </c>
      <c r="B23">
        <f>'FS No Vp 100'!BH31</f>
        <v>62.548406301898744</v>
      </c>
      <c r="C23">
        <f>'FS No Vp 100'!AS32</f>
        <v>58.852348046758479</v>
      </c>
      <c r="K23" t="s">
        <v>62</v>
      </c>
      <c r="L23">
        <v>239.89360432346049</v>
      </c>
      <c r="M23">
        <v>239.510382116199</v>
      </c>
      <c r="N23">
        <v>239.73960250702001</v>
      </c>
      <c r="O23" t="s">
        <v>204</v>
      </c>
    </row>
    <row r="24" spans="1:15" x14ac:dyDescent="0.25">
      <c r="A24" t="s">
        <v>198</v>
      </c>
      <c r="B24">
        <f>SUM(B20:B23)</f>
        <v>187.46597608074956</v>
      </c>
      <c r="C24">
        <f>SUM(C20:C23)</f>
        <v>194.87798898166335</v>
      </c>
      <c r="K24" t="s">
        <v>66</v>
      </c>
      <c r="L24">
        <v>122.04281469011407</v>
      </c>
      <c r="M24">
        <v>121.79137881717247</v>
      </c>
      <c r="N24">
        <v>121.94076993310495</v>
      </c>
    </row>
    <row r="25" spans="1:15" x14ac:dyDescent="0.25">
      <c r="A25" t="s">
        <v>199</v>
      </c>
      <c r="B25">
        <f>B24+C24</f>
        <v>382.34396506241291</v>
      </c>
      <c r="K25" t="s">
        <v>71</v>
      </c>
      <c r="L25">
        <v>46.221889892405528</v>
      </c>
      <c r="M25">
        <v>46.243127016089062</v>
      </c>
      <c r="N25">
        <v>46.232580870463721</v>
      </c>
    </row>
    <row r="26" spans="1:15" x14ac:dyDescent="0.25">
      <c r="K26" t="s">
        <v>63</v>
      </c>
      <c r="L26">
        <v>5.3841194796800016</v>
      </c>
      <c r="M26">
        <v>5.5155923611825912</v>
      </c>
      <c r="N26">
        <v>5.4435182768766763</v>
      </c>
    </row>
    <row r="27" spans="1:15" x14ac:dyDescent="0.25">
      <c r="K27" t="s">
        <v>67</v>
      </c>
      <c r="L27">
        <v>3.0296303147805537</v>
      </c>
      <c r="M27">
        <v>3.112817975691188</v>
      </c>
      <c r="N27">
        <v>3.0672134487654747</v>
      </c>
    </row>
    <row r="28" spans="1:15" x14ac:dyDescent="0.25">
      <c r="K28" t="s">
        <v>72</v>
      </c>
      <c r="L28">
        <v>0.29107402544791877</v>
      </c>
      <c r="M28">
        <v>0.28796770498141772</v>
      </c>
      <c r="N28">
        <v>0.28956720143051184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Cook updated</vt:lpstr>
      <vt:lpstr>FS No Vs 111</vt:lpstr>
      <vt:lpstr>FS No Vp 111</vt:lpstr>
      <vt:lpstr>FS No Vs 100</vt:lpstr>
      <vt:lpstr>FS No Vp 100</vt:lpstr>
      <vt:lpstr>Global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Gulick</dc:creator>
  <cp:lastModifiedBy>Gulick, Brian W.</cp:lastModifiedBy>
  <dcterms:created xsi:type="dcterms:W3CDTF">2026-06-26T22:08:00Z</dcterms:created>
  <dcterms:modified xsi:type="dcterms:W3CDTF">2026-07-30T16:38:15Z</dcterms:modified>
</cp:coreProperties>
</file>