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D3063143-5D50-40E3-A070-330003F08892}" xr6:coauthVersionLast="47" xr6:coauthVersionMax="47" xr10:uidLastSave="{00000000-0000-0000-0000-000000000000}"/>
  <bookViews>
    <workbookView xWindow="-108" yWindow="-108" windowWidth="23256" windowHeight="13896" activeTab="1"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 name="Plot Data" sheetId="15" r:id="rId13"/>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15" l="1"/>
  <c r="A24" i="15"/>
  <c r="D23" i="15"/>
  <c r="A23" i="15"/>
  <c r="D22" i="15"/>
  <c r="A22" i="15"/>
  <c r="D21" i="15"/>
  <c r="A21" i="15"/>
  <c r="D20" i="15"/>
  <c r="A20" i="15"/>
  <c r="D19" i="15"/>
  <c r="A19" i="15"/>
  <c r="D18" i="15"/>
  <c r="A18" i="15"/>
  <c r="D17" i="15"/>
  <c r="A17" i="15"/>
  <c r="D16" i="15"/>
  <c r="A16" i="15"/>
  <c r="D15" i="15"/>
  <c r="A15" i="15"/>
  <c r="D14" i="15"/>
  <c r="A14" i="15"/>
  <c r="D13" i="15"/>
  <c r="A13" i="15"/>
  <c r="D12" i="15"/>
  <c r="A12" i="15"/>
  <c r="D11" i="15"/>
  <c r="A11" i="15"/>
  <c r="D10" i="15"/>
  <c r="A10" i="15"/>
  <c r="D9" i="15"/>
  <c r="A9" i="15"/>
  <c r="D8" i="15"/>
  <c r="A8" i="15"/>
  <c r="D7" i="15"/>
  <c r="A7" i="15"/>
  <c r="D6" i="15"/>
  <c r="A6" i="15"/>
  <c r="D5" i="15"/>
  <c r="A5" i="15"/>
  <c r="D4" i="15"/>
  <c r="A4" i="15"/>
  <c r="D3" i="15"/>
  <c r="E3" i="15" s="1"/>
  <c r="C3" i="15"/>
  <c r="B3" i="15"/>
  <c r="A3" i="15"/>
  <c r="U13" i="12"/>
  <c r="U12" i="12"/>
  <c r="U11" i="12"/>
  <c r="U10" i="12"/>
  <c r="U9" i="12"/>
  <c r="U8" i="12"/>
  <c r="U7" i="12"/>
  <c r="U6" i="12"/>
  <c r="U5" i="12"/>
  <c r="U4" i="12"/>
  <c r="W14" i="7"/>
  <c r="W13" i="7"/>
  <c r="W12" i="7"/>
  <c r="W11" i="7"/>
  <c r="W10" i="7"/>
  <c r="W9" i="7"/>
  <c r="W8" i="7"/>
  <c r="W7" i="7"/>
  <c r="W6" i="7"/>
  <c r="W5" i="7"/>
  <c r="ET2" i="4"/>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I17" i="14"/>
  <c r="H17" i="14"/>
  <c r="J17" i="14" s="1"/>
  <c r="BP16" i="14"/>
  <c r="BJ16" i="14"/>
  <c r="BH16" i="14"/>
  <c r="N16" i="14"/>
  <c r="I16" i="14"/>
  <c r="H16" i="14"/>
  <c r="J16" i="14" s="1"/>
  <c r="BP15" i="14"/>
  <c r="BJ15" i="14"/>
  <c r="BH15" i="14"/>
  <c r="N15" i="14"/>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C37" i="11"/>
  <c r="C35" i="11"/>
  <c r="E7" i="12"/>
  <c r="I7" i="12"/>
  <c r="E6" i="12"/>
  <c r="I6" i="12"/>
  <c r="AK31" i="11"/>
  <c r="E5" i="12"/>
  <c r="AK30" i="11"/>
  <c r="B30" i="11"/>
  <c r="C34" i="11" s="1"/>
  <c r="E4" i="12"/>
  <c r="I4" i="12"/>
  <c r="AK29" i="11"/>
  <c r="E3" i="12"/>
  <c r="I3" i="12"/>
  <c r="AK28" i="11"/>
  <c r="X28" i="11"/>
  <c r="I2" i="12"/>
  <c r="AI7" i="12" s="1"/>
  <c r="V25" i="11"/>
  <c r="M25" i="11"/>
  <c r="F25" i="11"/>
  <c r="E25" i="11"/>
  <c r="BP23" i="11"/>
  <c r="BJ23" i="11"/>
  <c r="BH23" i="11"/>
  <c r="BF23" i="11"/>
  <c r="BO23" i="11" s="1"/>
  <c r="BE23" i="11"/>
  <c r="BN23" i="11" s="1"/>
  <c r="N23" i="11"/>
  <c r="O23" i="11" s="1"/>
  <c r="I23" i="11"/>
  <c r="H23" i="11"/>
  <c r="J23" i="11" s="1"/>
  <c r="BP22" i="11"/>
  <c r="BJ22" i="11"/>
  <c r="BH22" i="11"/>
  <c r="BF22" i="11"/>
  <c r="BO22" i="11" s="1"/>
  <c r="BE22" i="11"/>
  <c r="BN22" i="11" s="1"/>
  <c r="N22" i="11"/>
  <c r="I22" i="11"/>
  <c r="H22" i="11"/>
  <c r="J22" i="11" s="1"/>
  <c r="BP21" i="11"/>
  <c r="BJ21" i="11"/>
  <c r="BH21" i="11"/>
  <c r="BF21" i="11"/>
  <c r="BO21" i="11" s="1"/>
  <c r="BE21" i="11"/>
  <c r="BN21" i="11" s="1"/>
  <c r="N21" i="11"/>
  <c r="I21" i="11"/>
  <c r="H21" i="11"/>
  <c r="J21" i="11" s="1"/>
  <c r="BP20" i="11"/>
  <c r="BJ20" i="11"/>
  <c r="BH20" i="11"/>
  <c r="BF20" i="11"/>
  <c r="BO20" i="11" s="1"/>
  <c r="BE20" i="11"/>
  <c r="BN20" i="11" s="1"/>
  <c r="N20" i="11"/>
  <c r="I20" i="11"/>
  <c r="H20" i="11"/>
  <c r="J20" i="11" s="1"/>
  <c r="BP19" i="11"/>
  <c r="BJ19" i="11"/>
  <c r="BH19" i="11"/>
  <c r="BF19" i="11"/>
  <c r="BO19" i="11" s="1"/>
  <c r="BE19" i="11"/>
  <c r="BN19" i="11" s="1"/>
  <c r="N19" i="11"/>
  <c r="I19" i="11"/>
  <c r="H19" i="11"/>
  <c r="J19" i="11" s="1"/>
  <c r="BP18" i="11"/>
  <c r="BJ18" i="11"/>
  <c r="BH18" i="11"/>
  <c r="BF18" i="11"/>
  <c r="BO18" i="11" s="1"/>
  <c r="BE18" i="11"/>
  <c r="BN18" i="11" s="1"/>
  <c r="N18" i="11"/>
  <c r="I18" i="11"/>
  <c r="H18" i="11"/>
  <c r="J18" i="11" s="1"/>
  <c r="BP17" i="11"/>
  <c r="BJ17" i="11"/>
  <c r="BH17" i="11"/>
  <c r="BF17" i="11"/>
  <c r="BO17" i="11" s="1"/>
  <c r="BE17" i="11"/>
  <c r="BN17" i="11" s="1"/>
  <c r="N17" i="11"/>
  <c r="I17" i="11"/>
  <c r="H17" i="11"/>
  <c r="J17" i="11" s="1"/>
  <c r="BP16" i="11"/>
  <c r="BJ16" i="11"/>
  <c r="BH16" i="11"/>
  <c r="BF16" i="11"/>
  <c r="BO16" i="11" s="1"/>
  <c r="BE16" i="11"/>
  <c r="BN16" i="11" s="1"/>
  <c r="BQ16" i="11" s="1"/>
  <c r="N16" i="11"/>
  <c r="I16" i="11"/>
  <c r="H16" i="11"/>
  <c r="J16" i="11" s="1"/>
  <c r="BP15" i="11"/>
  <c r="BJ15" i="11"/>
  <c r="BH15" i="11"/>
  <c r="BF15" i="11"/>
  <c r="BO15" i="11" s="1"/>
  <c r="BE15" i="11"/>
  <c r="BN15" i="11" s="1"/>
  <c r="N15" i="11"/>
  <c r="I15" i="11"/>
  <c r="H15" i="11"/>
  <c r="J15" i="11" s="1"/>
  <c r="BP14" i="11"/>
  <c r="BJ14" i="11"/>
  <c r="BH14" i="11"/>
  <c r="BF14" i="11"/>
  <c r="BO14" i="11" s="1"/>
  <c r="BE14" i="11"/>
  <c r="BN14" i="11" s="1"/>
  <c r="N14" i="11"/>
  <c r="I14" i="11"/>
  <c r="H14" i="11"/>
  <c r="J14" i="11" s="1"/>
  <c r="BP13" i="11"/>
  <c r="BJ13" i="11"/>
  <c r="BH13" i="11"/>
  <c r="BF13" i="11"/>
  <c r="BO13" i="11" s="1"/>
  <c r="BE13" i="11"/>
  <c r="BN13" i="11" s="1"/>
  <c r="N13" i="11"/>
  <c r="I13" i="11"/>
  <c r="H13" i="11"/>
  <c r="J13" i="11" s="1"/>
  <c r="BP12" i="11"/>
  <c r="BJ12" i="11"/>
  <c r="BH12" i="11"/>
  <c r="BF12" i="11"/>
  <c r="BO12" i="11" s="1"/>
  <c r="BE12" i="11"/>
  <c r="BN12" i="11" s="1"/>
  <c r="N12" i="11"/>
  <c r="I12" i="11"/>
  <c r="H12" i="11"/>
  <c r="J12" i="11" s="1"/>
  <c r="BP11" i="11"/>
  <c r="BJ11" i="11"/>
  <c r="BH11" i="11"/>
  <c r="BF11" i="11"/>
  <c r="BO11" i="11" s="1"/>
  <c r="BE11" i="11"/>
  <c r="BN11" i="11" s="1"/>
  <c r="N11" i="11"/>
  <c r="I11" i="11"/>
  <c r="H11" i="11"/>
  <c r="J11" i="11" s="1"/>
  <c r="BP10" i="11"/>
  <c r="BJ10" i="11"/>
  <c r="BH10" i="11"/>
  <c r="BF10" i="11"/>
  <c r="BO10" i="11" s="1"/>
  <c r="BE10" i="11"/>
  <c r="BN10" i="11" s="1"/>
  <c r="N10" i="11"/>
  <c r="I10" i="11"/>
  <c r="H10" i="11"/>
  <c r="J10" i="11" s="1"/>
  <c r="BP9" i="11"/>
  <c r="BJ9" i="11"/>
  <c r="BH9" i="11"/>
  <c r="BF9" i="11"/>
  <c r="BO9" i="11" s="1"/>
  <c r="BE9" i="11"/>
  <c r="BN9" i="11" s="1"/>
  <c r="N9" i="11"/>
  <c r="I9" i="11"/>
  <c r="H9" i="11"/>
  <c r="J9" i="11" s="1"/>
  <c r="BP8" i="11"/>
  <c r="BJ8" i="11"/>
  <c r="BH8" i="11"/>
  <c r="BF8" i="11"/>
  <c r="BO8" i="11" s="1"/>
  <c r="BE8" i="11"/>
  <c r="BN8" i="11" s="1"/>
  <c r="N8" i="11"/>
  <c r="I8" i="11"/>
  <c r="H8" i="11"/>
  <c r="J8" i="11" s="1"/>
  <c r="BP7" i="11"/>
  <c r="BJ7" i="11"/>
  <c r="BH7" i="11"/>
  <c r="BF7" i="11"/>
  <c r="BO7" i="11" s="1"/>
  <c r="BE7" i="11"/>
  <c r="BN7" i="11" s="1"/>
  <c r="N7" i="11"/>
  <c r="I7" i="11"/>
  <c r="H7" i="11"/>
  <c r="J7" i="11" s="1"/>
  <c r="BP6" i="11"/>
  <c r="BJ6" i="11"/>
  <c r="BH6" i="11"/>
  <c r="BF6" i="11"/>
  <c r="BO6" i="11" s="1"/>
  <c r="BE6" i="11"/>
  <c r="BN6" i="11" s="1"/>
  <c r="N6" i="11"/>
  <c r="I6" i="11"/>
  <c r="H6" i="11"/>
  <c r="J6" i="11" s="1"/>
  <c r="BP5" i="11"/>
  <c r="BJ5" i="11"/>
  <c r="BH5" i="11"/>
  <c r="BF5" i="11"/>
  <c r="BO5" i="11" s="1"/>
  <c r="BE5" i="11"/>
  <c r="BN5" i="11" s="1"/>
  <c r="N5" i="11"/>
  <c r="I5" i="11"/>
  <c r="H5" i="11"/>
  <c r="J5" i="11" s="1"/>
  <c r="BP4" i="11"/>
  <c r="BJ4" i="11"/>
  <c r="BH4" i="11"/>
  <c r="BF4" i="11"/>
  <c r="BO4" i="11" s="1"/>
  <c r="BE4" i="11"/>
  <c r="BN4" i="11" s="1"/>
  <c r="N4" i="11"/>
  <c r="I4" i="11"/>
  <c r="H4" i="11"/>
  <c r="J4" i="11" s="1"/>
  <c r="BP3" i="11"/>
  <c r="BJ3" i="11"/>
  <c r="BH3" i="11"/>
  <c r="BF3" i="11"/>
  <c r="BO3" i="11" s="1"/>
  <c r="BE3" i="11"/>
  <c r="BN3" i="11" s="1"/>
  <c r="N3" i="11"/>
  <c r="I3" i="11"/>
  <c r="H3" i="11"/>
  <c r="J3" i="11" s="1"/>
  <c r="BP2" i="11"/>
  <c r="BS2" i="11" s="1"/>
  <c r="BH2" i="11"/>
  <c r="BF2" i="11"/>
  <c r="BO2" i="11" s="1"/>
  <c r="BR2" i="11" s="1"/>
  <c r="BE2" i="11"/>
  <c r="BN2" i="11" s="1"/>
  <c r="BQ2" i="11" s="1"/>
  <c r="AN2" i="11"/>
  <c r="AO2" i="11" s="1"/>
  <c r="AE2" i="11"/>
  <c r="Z2" i="11" s="1"/>
  <c r="Y2" i="11"/>
  <c r="V2" i="11"/>
  <c r="X2" i="11" s="1"/>
  <c r="R2" i="11"/>
  <c r="N2" i="11"/>
  <c r="L2" i="11"/>
  <c r="I2" i="11"/>
  <c r="H2" i="11"/>
  <c r="AC2" i="11" s="1"/>
  <c r="B52" i="10"/>
  <c r="C44" i="10"/>
  <c r="B39" i="10"/>
  <c r="C43" i="10" s="1"/>
  <c r="C37" i="10"/>
  <c r="C35" i="10"/>
  <c r="D7" i="12"/>
  <c r="H7" i="12"/>
  <c r="AI31" i="10"/>
  <c r="D6" i="12"/>
  <c r="H6" i="12"/>
  <c r="AI30" i="10"/>
  <c r="B30" i="10"/>
  <c r="C34" i="10" s="1"/>
  <c r="K29" i="10" s="1"/>
  <c r="H5" i="12"/>
  <c r="AI29" i="10"/>
  <c r="D4" i="12"/>
  <c r="H4" i="12"/>
  <c r="AI28" i="10"/>
  <c r="X28" i="10"/>
  <c r="D3" i="12"/>
  <c r="H3" i="12"/>
  <c r="D2" i="12"/>
  <c r="H2" i="12"/>
  <c r="AH5" i="12" s="1"/>
  <c r="V25" i="10"/>
  <c r="M25" i="10"/>
  <c r="F25" i="10"/>
  <c r="E25" i="10"/>
  <c r="BN23" i="10"/>
  <c r="BH23" i="10"/>
  <c r="BF23" i="10"/>
  <c r="BD23" i="10"/>
  <c r="BM23" i="10" s="1"/>
  <c r="BC23" i="10"/>
  <c r="BL23" i="10" s="1"/>
  <c r="N23" i="10"/>
  <c r="O23" i="10" s="1"/>
  <c r="I23" i="10"/>
  <c r="H23" i="10"/>
  <c r="BN22" i="10"/>
  <c r="BH22" i="10"/>
  <c r="BF22" i="10"/>
  <c r="BD22" i="10"/>
  <c r="BM22" i="10" s="1"/>
  <c r="BC22" i="10"/>
  <c r="BL22" i="10" s="1"/>
  <c r="N22" i="10"/>
  <c r="I22" i="10"/>
  <c r="H22" i="10"/>
  <c r="BN21" i="10"/>
  <c r="BH21" i="10"/>
  <c r="BF21" i="10"/>
  <c r="BD21" i="10"/>
  <c r="BM21" i="10" s="1"/>
  <c r="BC21" i="10"/>
  <c r="BL21" i="10" s="1"/>
  <c r="N21" i="10"/>
  <c r="I21" i="10"/>
  <c r="H21" i="10"/>
  <c r="BN20" i="10"/>
  <c r="BH20" i="10"/>
  <c r="BF20" i="10"/>
  <c r="BD20" i="10"/>
  <c r="BM20" i="10" s="1"/>
  <c r="BC20" i="10"/>
  <c r="BL20" i="10" s="1"/>
  <c r="N20" i="10"/>
  <c r="I20" i="10"/>
  <c r="H20" i="10"/>
  <c r="BN19" i="10"/>
  <c r="BH19" i="10"/>
  <c r="BF19" i="10"/>
  <c r="BD19" i="10"/>
  <c r="BM19" i="10" s="1"/>
  <c r="BC19" i="10"/>
  <c r="BL19" i="10" s="1"/>
  <c r="N19" i="10"/>
  <c r="I19" i="10"/>
  <c r="H19" i="10"/>
  <c r="BN18" i="10"/>
  <c r="BH18" i="10"/>
  <c r="BF18" i="10"/>
  <c r="BD18" i="10"/>
  <c r="BM18" i="10" s="1"/>
  <c r="BC18" i="10"/>
  <c r="BL18" i="10" s="1"/>
  <c r="N18" i="10"/>
  <c r="I18" i="10"/>
  <c r="H18" i="10"/>
  <c r="BN17" i="10"/>
  <c r="BH17" i="10"/>
  <c r="BF17" i="10"/>
  <c r="BD17" i="10"/>
  <c r="BM17" i="10" s="1"/>
  <c r="BC17" i="10"/>
  <c r="BL17" i="10" s="1"/>
  <c r="N17" i="10"/>
  <c r="I17" i="10"/>
  <c r="H17" i="10"/>
  <c r="BN16" i="10"/>
  <c r="BH16" i="10"/>
  <c r="BF16" i="10"/>
  <c r="BD16" i="10"/>
  <c r="BM16" i="10" s="1"/>
  <c r="BC16" i="10"/>
  <c r="BL16" i="10" s="1"/>
  <c r="N16" i="10"/>
  <c r="I16" i="10"/>
  <c r="H16" i="10"/>
  <c r="BN15" i="10"/>
  <c r="BH15" i="10"/>
  <c r="BF15" i="10"/>
  <c r="BD15" i="10"/>
  <c r="BM15" i="10" s="1"/>
  <c r="BC15" i="10"/>
  <c r="BL15" i="10" s="1"/>
  <c r="N15" i="10"/>
  <c r="I15" i="10"/>
  <c r="H15" i="10"/>
  <c r="BN14" i="10"/>
  <c r="BH14" i="10"/>
  <c r="BF14" i="10"/>
  <c r="BD14" i="10"/>
  <c r="BM14" i="10" s="1"/>
  <c r="BC14" i="10"/>
  <c r="BL14" i="10" s="1"/>
  <c r="N14" i="10"/>
  <c r="I14" i="10"/>
  <c r="H14" i="10"/>
  <c r="BN13" i="10"/>
  <c r="BH13" i="10"/>
  <c r="BF13" i="10"/>
  <c r="BD13" i="10"/>
  <c r="BM13" i="10" s="1"/>
  <c r="BC13" i="10"/>
  <c r="BL13" i="10" s="1"/>
  <c r="N13" i="10"/>
  <c r="I13" i="10"/>
  <c r="H13" i="10"/>
  <c r="BN12" i="10"/>
  <c r="BH12" i="10"/>
  <c r="BF12" i="10"/>
  <c r="BD12" i="10"/>
  <c r="BM12" i="10" s="1"/>
  <c r="BC12" i="10"/>
  <c r="BL12" i="10" s="1"/>
  <c r="N12" i="10"/>
  <c r="I12" i="10"/>
  <c r="H12" i="10"/>
  <c r="BN11" i="10"/>
  <c r="BH11" i="10"/>
  <c r="BF11" i="10"/>
  <c r="BD11" i="10"/>
  <c r="BM11" i="10" s="1"/>
  <c r="BC11" i="10"/>
  <c r="BL11" i="10" s="1"/>
  <c r="N11" i="10"/>
  <c r="I11" i="10"/>
  <c r="H11" i="10"/>
  <c r="BN10" i="10"/>
  <c r="BH10" i="10"/>
  <c r="BF10" i="10"/>
  <c r="BD10" i="10"/>
  <c r="BM10" i="10" s="1"/>
  <c r="BC10" i="10"/>
  <c r="BL10" i="10" s="1"/>
  <c r="N10" i="10"/>
  <c r="I10" i="10"/>
  <c r="H10" i="10"/>
  <c r="BN9" i="10"/>
  <c r="BH9" i="10"/>
  <c r="BF9" i="10"/>
  <c r="BD9" i="10"/>
  <c r="BM9" i="10" s="1"/>
  <c r="BC9" i="10"/>
  <c r="BL9" i="10" s="1"/>
  <c r="N9" i="10"/>
  <c r="I9" i="10"/>
  <c r="H9" i="10"/>
  <c r="BN8" i="10"/>
  <c r="BH8" i="10"/>
  <c r="BF8" i="10"/>
  <c r="BD8" i="10"/>
  <c r="BM8" i="10" s="1"/>
  <c r="BC8" i="10"/>
  <c r="BL8" i="10" s="1"/>
  <c r="N8" i="10"/>
  <c r="I8" i="10"/>
  <c r="H8" i="10"/>
  <c r="BN7" i="10"/>
  <c r="BH7" i="10"/>
  <c r="BF7" i="10"/>
  <c r="BD7" i="10"/>
  <c r="BM7" i="10" s="1"/>
  <c r="BC7" i="10"/>
  <c r="BL7" i="10" s="1"/>
  <c r="N7" i="10"/>
  <c r="I7" i="10"/>
  <c r="H7" i="10"/>
  <c r="BN6" i="10"/>
  <c r="BH6" i="10"/>
  <c r="BF6" i="10"/>
  <c r="BD6" i="10"/>
  <c r="BM6" i="10" s="1"/>
  <c r="BC6" i="10"/>
  <c r="BL6" i="10" s="1"/>
  <c r="N6" i="10"/>
  <c r="I6" i="10"/>
  <c r="H6" i="10"/>
  <c r="BN5" i="10"/>
  <c r="BH5" i="10"/>
  <c r="BF5" i="10"/>
  <c r="BD5" i="10"/>
  <c r="BM5" i="10" s="1"/>
  <c r="BC5" i="10"/>
  <c r="BL5" i="10" s="1"/>
  <c r="N5" i="10"/>
  <c r="I5" i="10"/>
  <c r="H5" i="10"/>
  <c r="BN4" i="10"/>
  <c r="BH4" i="10"/>
  <c r="BF4" i="10"/>
  <c r="BD4" i="10"/>
  <c r="BM4" i="10" s="1"/>
  <c r="BC4" i="10"/>
  <c r="BL4" i="10" s="1"/>
  <c r="N4" i="10"/>
  <c r="I4" i="10"/>
  <c r="H4" i="10"/>
  <c r="BN3" i="10"/>
  <c r="BH3" i="10"/>
  <c r="BF3" i="10"/>
  <c r="BD3" i="10"/>
  <c r="BM3" i="10" s="1"/>
  <c r="BC3" i="10"/>
  <c r="BL3" i="10" s="1"/>
  <c r="N3" i="10"/>
  <c r="I3" i="10"/>
  <c r="H3" i="10"/>
  <c r="BN2" i="10"/>
  <c r="BQ2" i="10" s="1"/>
  <c r="BF2" i="10"/>
  <c r="BD2" i="10"/>
  <c r="BM2" i="10" s="1"/>
  <c r="BP2" i="10" s="1"/>
  <c r="BC2" i="10"/>
  <c r="BL2" i="10" s="1"/>
  <c r="BO2" i="10" s="1"/>
  <c r="AL2" i="10"/>
  <c r="AM2" i="10" s="1"/>
  <c r="AE2" i="10"/>
  <c r="Z2" i="10"/>
  <c r="V2" i="10"/>
  <c r="R2" i="10"/>
  <c r="S2" i="10" s="1"/>
  <c r="N2" i="10"/>
  <c r="L2" i="10"/>
  <c r="I2" i="10"/>
  <c r="AD2" i="10" s="1"/>
  <c r="H2" i="10"/>
  <c r="AC2" i="10" s="1"/>
  <c r="B52" i="9"/>
  <c r="C44" i="9"/>
  <c r="B39" i="9"/>
  <c r="C43" i="9" s="1"/>
  <c r="C37" i="9"/>
  <c r="C35" i="9"/>
  <c r="C7" i="12"/>
  <c r="G7" i="12"/>
  <c r="C6" i="12"/>
  <c r="G6" i="12"/>
  <c r="C5" i="12"/>
  <c r="G5" i="12"/>
  <c r="B30" i="9"/>
  <c r="C34" i="9" s="1"/>
  <c r="C4" i="12"/>
  <c r="G4" i="12"/>
  <c r="C3" i="12"/>
  <c r="G3" i="12"/>
  <c r="X28" i="9"/>
  <c r="C2" i="12"/>
  <c r="D27" i="9"/>
  <c r="V25" i="9"/>
  <c r="M25" i="9"/>
  <c r="F25" i="9"/>
  <c r="E25" i="9"/>
  <c r="BO23" i="9"/>
  <c r="BN23" i="9"/>
  <c r="BI23" i="9"/>
  <c r="BG23" i="9"/>
  <c r="BE23" i="9"/>
  <c r="BM23" i="9" s="1"/>
  <c r="BD23" i="9"/>
  <c r="N23" i="9"/>
  <c r="O23" i="9" s="1"/>
  <c r="I23" i="9"/>
  <c r="J23" i="9" s="1"/>
  <c r="H23" i="9"/>
  <c r="BO22" i="9"/>
  <c r="BN22" i="9"/>
  <c r="BI22" i="9"/>
  <c r="BG22" i="9"/>
  <c r="BE22" i="9"/>
  <c r="BM22" i="9" s="1"/>
  <c r="BP22" i="9" s="1"/>
  <c r="BD22" i="9"/>
  <c r="N22" i="9"/>
  <c r="I22" i="9"/>
  <c r="J22" i="9" s="1"/>
  <c r="H22" i="9"/>
  <c r="BO21" i="9"/>
  <c r="BN21" i="9"/>
  <c r="BI21" i="9"/>
  <c r="BG21" i="9"/>
  <c r="BE21" i="9"/>
  <c r="BM21" i="9" s="1"/>
  <c r="BD21" i="9"/>
  <c r="N21" i="9"/>
  <c r="I21" i="9"/>
  <c r="J21" i="9" s="1"/>
  <c r="H21" i="9"/>
  <c r="BO20" i="9"/>
  <c r="BN20" i="9"/>
  <c r="BI20" i="9"/>
  <c r="BG20" i="9"/>
  <c r="BE20" i="9"/>
  <c r="BM20" i="9" s="1"/>
  <c r="BD20" i="9"/>
  <c r="N20" i="9"/>
  <c r="I20" i="9"/>
  <c r="J20" i="9" s="1"/>
  <c r="H20" i="9"/>
  <c r="BO19" i="9"/>
  <c r="BN19" i="9"/>
  <c r="BI19" i="9"/>
  <c r="BG19" i="9"/>
  <c r="BE19" i="9"/>
  <c r="BM19" i="9" s="1"/>
  <c r="BD19" i="9"/>
  <c r="N19" i="9"/>
  <c r="I19" i="9"/>
  <c r="J19" i="9" s="1"/>
  <c r="H19" i="9"/>
  <c r="BO18" i="9"/>
  <c r="BN18" i="9"/>
  <c r="BI18" i="9"/>
  <c r="BG18" i="9"/>
  <c r="BE18" i="9"/>
  <c r="BM18" i="9" s="1"/>
  <c r="BD18" i="9"/>
  <c r="N18" i="9"/>
  <c r="I18" i="9"/>
  <c r="J18" i="9" s="1"/>
  <c r="H18" i="9"/>
  <c r="BO17" i="9"/>
  <c r="BN17" i="9"/>
  <c r="BI17" i="9"/>
  <c r="BG17" i="9"/>
  <c r="BE17" i="9"/>
  <c r="BM17" i="9" s="1"/>
  <c r="BD17" i="9"/>
  <c r="N17" i="9"/>
  <c r="I17" i="9"/>
  <c r="J17" i="9" s="1"/>
  <c r="H17" i="9"/>
  <c r="BO16" i="9"/>
  <c r="BN16" i="9"/>
  <c r="BI16" i="9"/>
  <c r="BG16" i="9"/>
  <c r="BE16" i="9"/>
  <c r="BM16" i="9" s="1"/>
  <c r="BD16" i="9"/>
  <c r="N16" i="9"/>
  <c r="I16" i="9"/>
  <c r="J16" i="9" s="1"/>
  <c r="H16" i="9"/>
  <c r="BO15" i="9"/>
  <c r="BN15" i="9"/>
  <c r="BI15" i="9"/>
  <c r="BG15" i="9"/>
  <c r="BE15" i="9"/>
  <c r="BM15" i="9" s="1"/>
  <c r="BD15" i="9"/>
  <c r="N15" i="9"/>
  <c r="I15" i="9"/>
  <c r="J15" i="9" s="1"/>
  <c r="H15" i="9"/>
  <c r="BO14" i="9"/>
  <c r="BN14" i="9"/>
  <c r="BI14" i="9"/>
  <c r="BG14" i="9"/>
  <c r="BE14" i="9"/>
  <c r="BM14" i="9" s="1"/>
  <c r="BD14" i="9"/>
  <c r="N14" i="9"/>
  <c r="I14" i="9"/>
  <c r="J14" i="9" s="1"/>
  <c r="H14" i="9"/>
  <c r="BO13" i="9"/>
  <c r="BN13" i="9"/>
  <c r="BI13" i="9"/>
  <c r="BG13" i="9"/>
  <c r="BE13" i="9"/>
  <c r="BM13" i="9" s="1"/>
  <c r="BD13" i="9"/>
  <c r="N13" i="9"/>
  <c r="O13" i="9" s="1"/>
  <c r="I13" i="9"/>
  <c r="J13" i="9" s="1"/>
  <c r="H13" i="9"/>
  <c r="BO12" i="9"/>
  <c r="BN12" i="9"/>
  <c r="BI12" i="9"/>
  <c r="BG12" i="9"/>
  <c r="BE12" i="9"/>
  <c r="BM12" i="9" s="1"/>
  <c r="BD12" i="9"/>
  <c r="N12" i="9"/>
  <c r="I12" i="9"/>
  <c r="J12" i="9" s="1"/>
  <c r="H12" i="9"/>
  <c r="BO11" i="9"/>
  <c r="BN11" i="9"/>
  <c r="BI11" i="9"/>
  <c r="BG11" i="9"/>
  <c r="BE11" i="9"/>
  <c r="BM11" i="9" s="1"/>
  <c r="BD11" i="9"/>
  <c r="N11" i="9"/>
  <c r="I11" i="9"/>
  <c r="J11" i="9" s="1"/>
  <c r="H11" i="9"/>
  <c r="BO10" i="9"/>
  <c r="BN10" i="9"/>
  <c r="BI10" i="9"/>
  <c r="BG10" i="9"/>
  <c r="BE10" i="9"/>
  <c r="BM10" i="9" s="1"/>
  <c r="BD10" i="9"/>
  <c r="N10" i="9"/>
  <c r="I10" i="9"/>
  <c r="J10" i="9" s="1"/>
  <c r="H10" i="9"/>
  <c r="BO9" i="9"/>
  <c r="BN9" i="9"/>
  <c r="BI9" i="9"/>
  <c r="BG9" i="9"/>
  <c r="BE9" i="9"/>
  <c r="BM9" i="9" s="1"/>
  <c r="BD9" i="9"/>
  <c r="N9" i="9"/>
  <c r="I9" i="9"/>
  <c r="J9" i="9" s="1"/>
  <c r="H9" i="9"/>
  <c r="BO8" i="9"/>
  <c r="BN8" i="9"/>
  <c r="BI8" i="9"/>
  <c r="BG8" i="9"/>
  <c r="BE8" i="9"/>
  <c r="BM8" i="9" s="1"/>
  <c r="BD8" i="9"/>
  <c r="N8" i="9"/>
  <c r="I8" i="9"/>
  <c r="J8" i="9" s="1"/>
  <c r="H8" i="9"/>
  <c r="BO7" i="9"/>
  <c r="BN7" i="9"/>
  <c r="BI7" i="9"/>
  <c r="BG7" i="9"/>
  <c r="BE7" i="9"/>
  <c r="BM7" i="9" s="1"/>
  <c r="BD7" i="9"/>
  <c r="N7" i="9"/>
  <c r="I7" i="9"/>
  <c r="J7" i="9" s="1"/>
  <c r="H7" i="9"/>
  <c r="BO6" i="9"/>
  <c r="BN6" i="9"/>
  <c r="BI6" i="9"/>
  <c r="BG6" i="9"/>
  <c r="BE6" i="9"/>
  <c r="BM6" i="9" s="1"/>
  <c r="BD6" i="9"/>
  <c r="N6" i="9"/>
  <c r="I6" i="9"/>
  <c r="J6" i="9" s="1"/>
  <c r="H6" i="9"/>
  <c r="BO5" i="9"/>
  <c r="BN5" i="9"/>
  <c r="BI5" i="9"/>
  <c r="BG5" i="9"/>
  <c r="BE5" i="9"/>
  <c r="BM5" i="9" s="1"/>
  <c r="BD5" i="9"/>
  <c r="N5" i="9"/>
  <c r="I5" i="9"/>
  <c r="J5" i="9" s="1"/>
  <c r="H5" i="9"/>
  <c r="BO4" i="9"/>
  <c r="BN4" i="9"/>
  <c r="BI4" i="9"/>
  <c r="BG4" i="9"/>
  <c r="BE4" i="9"/>
  <c r="BM4" i="9" s="1"/>
  <c r="BD4" i="9"/>
  <c r="N4" i="9"/>
  <c r="I4" i="9"/>
  <c r="J4" i="9" s="1"/>
  <c r="H4" i="9"/>
  <c r="BO3" i="9"/>
  <c r="BN3" i="9"/>
  <c r="BI3" i="9"/>
  <c r="BG3" i="9"/>
  <c r="BE3" i="9"/>
  <c r="BM3" i="9" s="1"/>
  <c r="BD3" i="9"/>
  <c r="N3" i="9"/>
  <c r="I3" i="9"/>
  <c r="J3" i="9" s="1"/>
  <c r="H3" i="9"/>
  <c r="BO2" i="9"/>
  <c r="BR2" i="9" s="1"/>
  <c r="BN2" i="9"/>
  <c r="BQ2" i="9" s="1"/>
  <c r="BG2" i="9"/>
  <c r="BE2" i="9"/>
  <c r="BM2" i="9" s="1"/>
  <c r="BP2" i="9" s="1"/>
  <c r="BD2" i="9"/>
  <c r="AL2" i="9"/>
  <c r="AM2" i="9" s="1"/>
  <c r="V2" i="9"/>
  <c r="X2" i="9" s="1"/>
  <c r="R2" i="9"/>
  <c r="L2" i="9"/>
  <c r="I2" i="9"/>
  <c r="AC2" i="9" s="1"/>
  <c r="H2" i="9"/>
  <c r="AA2" i="9" s="1"/>
  <c r="G2" i="9"/>
  <c r="AE2" i="9" s="1"/>
  <c r="Z2" i="9" s="1"/>
  <c r="F2" i="9"/>
  <c r="B52" i="8"/>
  <c r="C44" i="8"/>
  <c r="B39" i="8"/>
  <c r="C43" i="8" s="1"/>
  <c r="C37" i="8"/>
  <c r="C35" i="8"/>
  <c r="B7" i="12"/>
  <c r="F7" i="12"/>
  <c r="B6" i="12"/>
  <c r="V8" i="12" s="1"/>
  <c r="F6" i="12"/>
  <c r="B30" i="8"/>
  <c r="C34" i="8" s="1"/>
  <c r="B5" i="12"/>
  <c r="F5" i="12"/>
  <c r="B4" i="12"/>
  <c r="F4" i="12"/>
  <c r="X28" i="8"/>
  <c r="B3" i="12"/>
  <c r="F3" i="12"/>
  <c r="B2" i="12"/>
  <c r="F2" i="12"/>
  <c r="AF5" i="12" s="1"/>
  <c r="BM23" i="8"/>
  <c r="BL23" i="8"/>
  <c r="BG23" i="8"/>
  <c r="BE23" i="8"/>
  <c r="BC23" i="8"/>
  <c r="BB23" i="8"/>
  <c r="BK23" i="8" s="1"/>
  <c r="N23" i="8"/>
  <c r="O23" i="8" s="1"/>
  <c r="I23" i="8"/>
  <c r="H23" i="8"/>
  <c r="J23" i="8" s="1"/>
  <c r="BM22" i="8"/>
  <c r="BL22" i="8"/>
  <c r="BG22" i="8"/>
  <c r="BE22" i="8"/>
  <c r="BC22" i="8"/>
  <c r="BB22" i="8"/>
  <c r="BK22" i="8" s="1"/>
  <c r="N22" i="8"/>
  <c r="I22" i="8"/>
  <c r="H22" i="8"/>
  <c r="J22" i="8" s="1"/>
  <c r="BM21" i="8"/>
  <c r="BL21" i="8"/>
  <c r="BG21" i="8"/>
  <c r="BE21" i="8"/>
  <c r="BC21" i="8"/>
  <c r="BB21" i="8"/>
  <c r="BK21" i="8" s="1"/>
  <c r="N21" i="8"/>
  <c r="I21" i="8"/>
  <c r="H21" i="8"/>
  <c r="J21" i="8" s="1"/>
  <c r="BM20" i="8"/>
  <c r="BL20" i="8"/>
  <c r="BG20" i="8"/>
  <c r="BE20" i="8"/>
  <c r="BC20" i="8"/>
  <c r="BB20" i="8"/>
  <c r="BK20" i="8" s="1"/>
  <c r="N20" i="8"/>
  <c r="I20" i="8"/>
  <c r="H20" i="8"/>
  <c r="J20" i="8" s="1"/>
  <c r="BM19" i="8"/>
  <c r="BL19" i="8"/>
  <c r="BG19" i="8"/>
  <c r="BE19" i="8"/>
  <c r="BC19" i="8"/>
  <c r="BB19" i="8"/>
  <c r="BK19" i="8" s="1"/>
  <c r="N19" i="8"/>
  <c r="I19" i="8"/>
  <c r="H19" i="8"/>
  <c r="J19" i="8" s="1"/>
  <c r="BM18" i="8"/>
  <c r="BL18" i="8"/>
  <c r="BG18" i="8"/>
  <c r="BE18" i="8"/>
  <c r="BC18" i="8"/>
  <c r="BB18" i="8"/>
  <c r="BK18" i="8" s="1"/>
  <c r="N18" i="8"/>
  <c r="I18" i="8"/>
  <c r="H18" i="8"/>
  <c r="J18" i="8" s="1"/>
  <c r="BM17" i="8"/>
  <c r="BL17" i="8"/>
  <c r="BG17" i="8"/>
  <c r="BE17" i="8"/>
  <c r="BC17" i="8"/>
  <c r="BB17" i="8"/>
  <c r="BK17" i="8" s="1"/>
  <c r="N17" i="8"/>
  <c r="I17" i="8"/>
  <c r="H17" i="8"/>
  <c r="J17" i="8" s="1"/>
  <c r="BM16" i="8"/>
  <c r="BL16" i="8"/>
  <c r="BG16" i="8"/>
  <c r="BE16" i="8"/>
  <c r="BC16" i="8"/>
  <c r="BB16" i="8"/>
  <c r="BK16" i="8" s="1"/>
  <c r="N16" i="8"/>
  <c r="I16" i="8"/>
  <c r="H16" i="8"/>
  <c r="J16" i="8" s="1"/>
  <c r="BM15" i="8"/>
  <c r="BL15" i="8"/>
  <c r="BG15" i="8"/>
  <c r="BE15" i="8"/>
  <c r="BC15" i="8"/>
  <c r="BB15" i="8"/>
  <c r="BK15" i="8" s="1"/>
  <c r="N15" i="8"/>
  <c r="I15" i="8"/>
  <c r="H15" i="8"/>
  <c r="J15" i="8" s="1"/>
  <c r="BM14" i="8"/>
  <c r="BL14" i="8"/>
  <c r="BG14" i="8"/>
  <c r="BE14" i="8"/>
  <c r="BC14" i="8"/>
  <c r="BB14" i="8"/>
  <c r="BK14" i="8" s="1"/>
  <c r="N14" i="8"/>
  <c r="I14" i="8"/>
  <c r="H14" i="8"/>
  <c r="J14" i="8" s="1"/>
  <c r="BM13" i="8"/>
  <c r="BL13" i="8"/>
  <c r="BG13" i="8"/>
  <c r="BE13" i="8"/>
  <c r="BC13" i="8"/>
  <c r="BB13" i="8"/>
  <c r="BK13" i="8" s="1"/>
  <c r="N13" i="8"/>
  <c r="I13" i="8"/>
  <c r="H13" i="8"/>
  <c r="J13" i="8" s="1"/>
  <c r="BM12" i="8"/>
  <c r="BL12" i="8"/>
  <c r="BG12" i="8"/>
  <c r="BE12" i="8"/>
  <c r="BC12" i="8"/>
  <c r="BB12" i="8"/>
  <c r="BK12" i="8" s="1"/>
  <c r="N12" i="8"/>
  <c r="I12" i="8"/>
  <c r="H12" i="8"/>
  <c r="J12" i="8" s="1"/>
  <c r="BM11" i="8"/>
  <c r="BL11" i="8"/>
  <c r="BG11" i="8"/>
  <c r="BE11" i="8"/>
  <c r="BC11" i="8"/>
  <c r="BB11" i="8"/>
  <c r="BK11" i="8" s="1"/>
  <c r="N11" i="8"/>
  <c r="I11" i="8"/>
  <c r="H11" i="8"/>
  <c r="J11" i="8" s="1"/>
  <c r="BM10" i="8"/>
  <c r="BL10" i="8"/>
  <c r="BG10" i="8"/>
  <c r="BO10" i="8" s="1"/>
  <c r="BE10" i="8"/>
  <c r="BC10" i="8"/>
  <c r="BB10" i="8"/>
  <c r="BK10" i="8" s="1"/>
  <c r="N10" i="8"/>
  <c r="I10" i="8"/>
  <c r="H10" i="8"/>
  <c r="J10" i="8" s="1"/>
  <c r="BM9" i="8"/>
  <c r="BL9" i="8"/>
  <c r="BG9" i="8"/>
  <c r="BE9" i="8"/>
  <c r="BC9" i="8"/>
  <c r="BB9" i="8"/>
  <c r="BK9" i="8" s="1"/>
  <c r="N9" i="8"/>
  <c r="I9" i="8"/>
  <c r="H9" i="8"/>
  <c r="J9" i="8" s="1"/>
  <c r="BM8" i="8"/>
  <c r="BL8" i="8"/>
  <c r="BG8" i="8"/>
  <c r="BE8" i="8"/>
  <c r="BC8" i="8"/>
  <c r="BB8" i="8"/>
  <c r="BK8" i="8" s="1"/>
  <c r="N8" i="8"/>
  <c r="I8" i="8"/>
  <c r="H8" i="8"/>
  <c r="J8" i="8" s="1"/>
  <c r="BM7" i="8"/>
  <c r="BL7" i="8"/>
  <c r="BG7" i="8"/>
  <c r="BE7" i="8"/>
  <c r="BC7" i="8"/>
  <c r="BB7" i="8"/>
  <c r="BK7" i="8" s="1"/>
  <c r="N7" i="8"/>
  <c r="I7" i="8"/>
  <c r="H7" i="8"/>
  <c r="J7" i="8" s="1"/>
  <c r="BM6" i="8"/>
  <c r="BL6" i="8"/>
  <c r="BG6" i="8"/>
  <c r="BO6" i="8" s="1"/>
  <c r="BE6" i="8"/>
  <c r="BC6" i="8"/>
  <c r="BB6" i="8"/>
  <c r="BK6" i="8" s="1"/>
  <c r="N6" i="8"/>
  <c r="I6" i="8"/>
  <c r="H6" i="8"/>
  <c r="J6" i="8" s="1"/>
  <c r="BM5" i="8"/>
  <c r="BL5" i="8"/>
  <c r="BG5" i="8"/>
  <c r="BE5" i="8"/>
  <c r="BC5" i="8"/>
  <c r="BB5" i="8"/>
  <c r="BK5" i="8" s="1"/>
  <c r="N5" i="8"/>
  <c r="I5" i="8"/>
  <c r="H5" i="8"/>
  <c r="J5" i="8" s="1"/>
  <c r="BM4" i="8"/>
  <c r="BL4" i="8"/>
  <c r="BG4" i="8"/>
  <c r="BE4" i="8"/>
  <c r="BC4" i="8"/>
  <c r="BB4" i="8"/>
  <c r="BK4" i="8" s="1"/>
  <c r="N4" i="8"/>
  <c r="I4" i="8"/>
  <c r="H4" i="8"/>
  <c r="J4" i="8" s="1"/>
  <c r="BM3" i="8"/>
  <c r="BL3" i="8"/>
  <c r="BG3" i="8"/>
  <c r="BE3" i="8"/>
  <c r="BC3" i="8"/>
  <c r="BB3" i="8"/>
  <c r="BK3" i="8" s="1"/>
  <c r="N3" i="8"/>
  <c r="I3" i="8"/>
  <c r="H3" i="8"/>
  <c r="J3" i="8" s="1"/>
  <c r="BM2" i="8"/>
  <c r="BP2" i="8" s="1"/>
  <c r="BL2" i="8"/>
  <c r="BO2" i="8" s="1"/>
  <c r="BE2" i="8"/>
  <c r="BF2" i="8" s="1"/>
  <c r="BI2" i="8" s="1"/>
  <c r="BC2" i="8"/>
  <c r="BB2" i="8"/>
  <c r="BK2" i="8" s="1"/>
  <c r="BN2" i="8" s="1"/>
  <c r="AK2" i="8"/>
  <c r="AL2" i="8" s="1"/>
  <c r="V2" i="8"/>
  <c r="R2" i="8"/>
  <c r="S2" i="8" s="1"/>
  <c r="L2" i="8"/>
  <c r="I2" i="8"/>
  <c r="AB2" i="8" s="1"/>
  <c r="H2" i="8"/>
  <c r="AC2" i="8" s="1"/>
  <c r="G2" i="8"/>
  <c r="AE2" i="8" s="1"/>
  <c r="F2" i="8"/>
  <c r="AD2" i="8" s="1"/>
  <c r="Y2" i="8" s="1"/>
  <c r="AB5" i="12" l="1"/>
  <c r="V9" i="12"/>
  <c r="AC7" i="12"/>
  <c r="AF6" i="12"/>
  <c r="V5" i="12"/>
  <c r="W5" i="12" s="1"/>
  <c r="AB5" i="13" s="1"/>
  <c r="BR10" i="9"/>
  <c r="V6" i="12"/>
  <c r="BS23" i="11"/>
  <c r="BR22" i="11"/>
  <c r="AH7" i="12"/>
  <c r="AC6" i="12"/>
  <c r="AD5" i="12"/>
  <c r="BS13" i="11"/>
  <c r="W6" i="12"/>
  <c r="AB6" i="13" s="1"/>
  <c r="AB6" i="12"/>
  <c r="J11" i="10"/>
  <c r="J20" i="10"/>
  <c r="AB7" i="12"/>
  <c r="AF7" i="12"/>
  <c r="AF8" i="12" s="1"/>
  <c r="BR8" i="9"/>
  <c r="AC5" i="12"/>
  <c r="BO17" i="8"/>
  <c r="BR7" i="9"/>
  <c r="BR16" i="9"/>
  <c r="BR11" i="9"/>
  <c r="O4" i="10"/>
  <c r="O16" i="10"/>
  <c r="BS3" i="11"/>
  <c r="W8" i="12"/>
  <c r="AB8" i="13" s="1"/>
  <c r="AD6" i="12"/>
  <c r="AD8" i="12" s="1"/>
  <c r="AH6" i="12"/>
  <c r="K6" i="11"/>
  <c r="AD7" i="12"/>
  <c r="O22" i="8"/>
  <c r="O8" i="9"/>
  <c r="AI5" i="12"/>
  <c r="BQ11" i="9"/>
  <c r="BS11" i="9" s="1"/>
  <c r="BR5" i="9"/>
  <c r="W9" i="12"/>
  <c r="AB9" i="13" s="1"/>
  <c r="AI6" i="12"/>
  <c r="AI8" i="12" s="1"/>
  <c r="BP23" i="8"/>
  <c r="BQ7" i="10"/>
  <c r="BQ10" i="10"/>
  <c r="BI13" i="11"/>
  <c r="BL13" i="11" s="1"/>
  <c r="O9" i="9"/>
  <c r="T2" i="8"/>
  <c r="U2" i="8" s="1"/>
  <c r="BO3" i="10"/>
  <c r="BN23" i="8"/>
  <c r="BQ14" i="9"/>
  <c r="BR22" i="9"/>
  <c r="BQ5" i="10"/>
  <c r="O22" i="10"/>
  <c r="O11" i="11"/>
  <c r="O16" i="9"/>
  <c r="J15" i="10"/>
  <c r="J18" i="10"/>
  <c r="O9" i="10"/>
  <c r="BS21" i="11"/>
  <c r="O13" i="8"/>
  <c r="O7" i="11"/>
  <c r="O13" i="11"/>
  <c r="K23" i="9"/>
  <c r="BQ22" i="10"/>
  <c r="BP16" i="8"/>
  <c r="K6" i="9"/>
  <c r="BR13" i="11"/>
  <c r="O16" i="8"/>
  <c r="BP11" i="9"/>
  <c r="O11" i="10"/>
  <c r="BQ12" i="10"/>
  <c r="O20" i="10"/>
  <c r="J13" i="10"/>
  <c r="BS16" i="11"/>
  <c r="J22" i="10"/>
  <c r="K13" i="8"/>
  <c r="BP20" i="8"/>
  <c r="BH3" i="9"/>
  <c r="BK3" i="9" s="1"/>
  <c r="O2" i="10"/>
  <c r="BP11" i="10"/>
  <c r="BP19" i="9"/>
  <c r="T2" i="10"/>
  <c r="U2" i="10" s="1"/>
  <c r="O22" i="9"/>
  <c r="BO7" i="10"/>
  <c r="BG10" i="10"/>
  <c r="BJ10" i="10" s="1"/>
  <c r="BS14" i="11"/>
  <c r="K12" i="11"/>
  <c r="O17" i="8"/>
  <c r="K11" i="8"/>
  <c r="O12" i="8"/>
  <c r="BN18" i="8"/>
  <c r="O21" i="8"/>
  <c r="O3" i="9"/>
  <c r="BQ19" i="9"/>
  <c r="O5" i="10"/>
  <c r="BO6" i="10"/>
  <c r="O14" i="10"/>
  <c r="BQ16" i="10"/>
  <c r="B43" i="10"/>
  <c r="BR10" i="11"/>
  <c r="BS17" i="11"/>
  <c r="BP14" i="8"/>
  <c r="BF4" i="8"/>
  <c r="BI4" i="8" s="1"/>
  <c r="BN21" i="8"/>
  <c r="BR4" i="9"/>
  <c r="BR19" i="9"/>
  <c r="BP23" i="9"/>
  <c r="B43" i="9"/>
  <c r="BP12" i="10"/>
  <c r="BR6" i="11"/>
  <c r="K18" i="11"/>
  <c r="BT20" i="14"/>
  <c r="J17" i="10"/>
  <c r="K18" i="10" s="1"/>
  <c r="O5" i="11"/>
  <c r="O8" i="10"/>
  <c r="BO8" i="8"/>
  <c r="BP17" i="9"/>
  <c r="BQ22" i="9"/>
  <c r="O7" i="10"/>
  <c r="BO8" i="10"/>
  <c r="BQ18" i="10"/>
  <c r="BR9" i="11"/>
  <c r="O15" i="14"/>
  <c r="O17" i="14"/>
  <c r="O10" i="8"/>
  <c r="BO21" i="10"/>
  <c r="K20" i="11"/>
  <c r="K10" i="9"/>
  <c r="BP8" i="8"/>
  <c r="BQ2" i="8"/>
  <c r="BP7" i="8"/>
  <c r="K9" i="8"/>
  <c r="BP11" i="8"/>
  <c r="BP21" i="8"/>
  <c r="O5" i="9"/>
  <c r="J3" i="10"/>
  <c r="J6" i="10"/>
  <c r="O2" i="11"/>
  <c r="P2" i="11" s="1"/>
  <c r="BI5" i="11"/>
  <c r="BL5" i="11" s="1"/>
  <c r="BR8" i="11"/>
  <c r="BQ11" i="11"/>
  <c r="BP19" i="8"/>
  <c r="BO3" i="8"/>
  <c r="BQ8" i="9"/>
  <c r="BP14" i="9"/>
  <c r="O18" i="9"/>
  <c r="J7" i="10"/>
  <c r="BO12" i="10"/>
  <c r="BQ17" i="10"/>
  <c r="O19" i="10"/>
  <c r="BO23" i="10"/>
  <c r="BQ4" i="11"/>
  <c r="K23" i="11"/>
  <c r="BF6" i="8"/>
  <c r="BI6" i="8" s="1"/>
  <c r="O15" i="8"/>
  <c r="BQ9" i="10"/>
  <c r="BQ13" i="10"/>
  <c r="AG2" i="11"/>
  <c r="BS5" i="11"/>
  <c r="BF10" i="8"/>
  <c r="BI10" i="8" s="1"/>
  <c r="B34" i="8"/>
  <c r="BR20" i="9"/>
  <c r="BG19" i="10"/>
  <c r="BJ19" i="10" s="1"/>
  <c r="BR12" i="11"/>
  <c r="O14" i="8"/>
  <c r="BO23" i="8"/>
  <c r="BP6" i="9"/>
  <c r="O17" i="9"/>
  <c r="BP7" i="10"/>
  <c r="BR7" i="10" s="1"/>
  <c r="BS7" i="10" s="1"/>
  <c r="O18" i="10"/>
  <c r="BI8" i="11"/>
  <c r="BL8" i="11" s="1"/>
  <c r="O14" i="11"/>
  <c r="BR23" i="11"/>
  <c r="O4" i="8"/>
  <c r="O4" i="9"/>
  <c r="K16" i="9"/>
  <c r="K21" i="9"/>
  <c r="O6" i="10"/>
  <c r="BG7" i="10"/>
  <c r="BJ7" i="10" s="1"/>
  <c r="BO18" i="10"/>
  <c r="BS8" i="11"/>
  <c r="O10" i="11"/>
  <c r="K13" i="11"/>
  <c r="BQ19" i="11"/>
  <c r="BP3" i="8"/>
  <c r="BO5" i="8"/>
  <c r="BP15" i="8"/>
  <c r="AB2" i="10"/>
  <c r="O21" i="10"/>
  <c r="O21" i="11"/>
  <c r="BS22" i="11"/>
  <c r="BP4" i="9"/>
  <c r="J9" i="10"/>
  <c r="BP10" i="10"/>
  <c r="B43" i="11"/>
  <c r="AG2" i="8"/>
  <c r="BQ14" i="10"/>
  <c r="BN3" i="8"/>
  <c r="BN8" i="8"/>
  <c r="K10" i="8"/>
  <c r="AN2" i="9"/>
  <c r="AQ2" i="9" s="1"/>
  <c r="BQ4" i="9"/>
  <c r="K13" i="9"/>
  <c r="BO13" i="10"/>
  <c r="J2" i="11"/>
  <c r="BI6" i="11"/>
  <c r="BL6" i="11" s="1"/>
  <c r="K15" i="11"/>
  <c r="O20" i="11"/>
  <c r="BR17" i="9"/>
  <c r="BS17" i="9" s="1"/>
  <c r="J2" i="10"/>
  <c r="K3" i="10" s="1"/>
  <c r="BO5" i="10"/>
  <c r="BP13" i="10"/>
  <c r="O4" i="11"/>
  <c r="K20" i="8"/>
  <c r="K5" i="8"/>
  <c r="K4" i="8"/>
  <c r="BQ6" i="11"/>
  <c r="BQ8" i="11"/>
  <c r="BT8" i="11" s="1"/>
  <c r="BU8" i="11" s="1"/>
  <c r="K11" i="11"/>
  <c r="O8" i="8"/>
  <c r="K18" i="8"/>
  <c r="K4" i="9"/>
  <c r="K7" i="9"/>
  <c r="BG14" i="10"/>
  <c r="BJ14" i="10" s="1"/>
  <c r="J5" i="10"/>
  <c r="O10" i="10"/>
  <c r="O6" i="8"/>
  <c r="BN12" i="8"/>
  <c r="K5" i="9"/>
  <c r="O7" i="9"/>
  <c r="BP8" i="9"/>
  <c r="BQ17" i="9"/>
  <c r="BQ3" i="10"/>
  <c r="J8" i="10"/>
  <c r="K8" i="10" s="1"/>
  <c r="BO10" i="10"/>
  <c r="BG13" i="10"/>
  <c r="BJ13" i="10" s="1"/>
  <c r="J16" i="10"/>
  <c r="O17" i="10"/>
  <c r="BP22" i="10"/>
  <c r="O12" i="11"/>
  <c r="O17" i="11"/>
  <c r="BN14" i="8"/>
  <c r="BO14" i="8"/>
  <c r="O3" i="8"/>
  <c r="BP9" i="8"/>
  <c r="BP10" i="8"/>
  <c r="BN11" i="8"/>
  <c r="O19" i="8"/>
  <c r="BN20" i="8"/>
  <c r="J4" i="10"/>
  <c r="K5" i="10" s="1"/>
  <c r="BP21" i="10"/>
  <c r="BS4" i="11"/>
  <c r="BR5" i="11"/>
  <c r="BS6" i="11"/>
  <c r="N2" i="8"/>
  <c r="O2" i="8" s="1"/>
  <c r="P2" i="8" s="1"/>
  <c r="BO11" i="8"/>
  <c r="BP12" i="8"/>
  <c r="K15" i="8"/>
  <c r="BO21" i="8"/>
  <c r="BR14" i="9"/>
  <c r="K7" i="11"/>
  <c r="O9" i="11"/>
  <c r="BR11" i="11"/>
  <c r="BQ13" i="11"/>
  <c r="BR14" i="11"/>
  <c r="O15" i="11"/>
  <c r="O16" i="11"/>
  <c r="K11" i="9"/>
  <c r="BP9" i="9"/>
  <c r="BO11" i="10"/>
  <c r="O15" i="10"/>
  <c r="BF17" i="8"/>
  <c r="BI17" i="8" s="1"/>
  <c r="BF3" i="8"/>
  <c r="BI3" i="8" s="1"/>
  <c r="BF19" i="8"/>
  <c r="BI19" i="8" s="1"/>
  <c r="BO20" i="8"/>
  <c r="BQ9" i="9"/>
  <c r="K17" i="9"/>
  <c r="K18" i="9"/>
  <c r="BP20" i="9"/>
  <c r="BP21" i="9"/>
  <c r="BG6" i="10"/>
  <c r="BJ6" i="10" s="1"/>
  <c r="BQ11" i="10"/>
  <c r="J14" i="10"/>
  <c r="BQ21" i="10"/>
  <c r="J23" i="10"/>
  <c r="AA2" i="11"/>
  <c r="BS12" i="11"/>
  <c r="BR3" i="9"/>
  <c r="BR9" i="9"/>
  <c r="K15" i="9"/>
  <c r="O3" i="10"/>
  <c r="BP8" i="10"/>
  <c r="BS11" i="11"/>
  <c r="BR21" i="11"/>
  <c r="BO7" i="8"/>
  <c r="K12" i="8"/>
  <c r="BN10" i="8"/>
  <c r="AF2" i="10"/>
  <c r="BP17" i="10"/>
  <c r="BQ10" i="11"/>
  <c r="BP17" i="8"/>
  <c r="BQ7" i="9"/>
  <c r="O15" i="9"/>
  <c r="BP4" i="8"/>
  <c r="K8" i="8"/>
  <c r="BF14" i="8"/>
  <c r="BI14" i="8" s="1"/>
  <c r="K22" i="8"/>
  <c r="BS2" i="9"/>
  <c r="BQ20" i="9"/>
  <c r="BQ8" i="10"/>
  <c r="J10" i="10"/>
  <c r="J19" i="10"/>
  <c r="K19" i="10" s="1"/>
  <c r="J21" i="10"/>
  <c r="BR20" i="11"/>
  <c r="BS20" i="11"/>
  <c r="K21" i="11"/>
  <c r="BQ23" i="1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AZ34" i="11"/>
  <c r="AX33" i="10"/>
  <c r="K6" i="8"/>
  <c r="K7" i="8"/>
  <c r="AF2" i="8"/>
  <c r="AA2" i="8"/>
  <c r="AH2" i="8"/>
  <c r="BP18" i="8"/>
  <c r="BO18" i="8"/>
  <c r="O20" i="8"/>
  <c r="BP13" i="8"/>
  <c r="BN13" i="8"/>
  <c r="K17" i="8"/>
  <c r="K16" i="8"/>
  <c r="K21" i="8"/>
  <c r="X2" i="8"/>
  <c r="BF20" i="8"/>
  <c r="BI20" i="8" s="1"/>
  <c r="O7" i="8"/>
  <c r="Q3" i="12"/>
  <c r="N3" i="12"/>
  <c r="M3" i="12"/>
  <c r="T5" i="12" s="1"/>
  <c r="AA5" i="13" s="1"/>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BF7" i="8"/>
  <c r="BI7" i="8" s="1"/>
  <c r="BN9" i="8"/>
  <c r="K19" i="8"/>
  <c r="B43" i="8"/>
  <c r="AG2" i="9"/>
  <c r="AF2" i="9"/>
  <c r="AI2" i="9"/>
  <c r="O9" i="8"/>
  <c r="N2" i="9"/>
  <c r="O2" i="9" s="1"/>
  <c r="AD2" i="9"/>
  <c r="Y2" i="9" s="1"/>
  <c r="J2" i="9"/>
  <c r="K3" i="9" s="1"/>
  <c r="BO4" i="8"/>
  <c r="BN7" i="8"/>
  <c r="BO9" i="8"/>
  <c r="K14" i="8"/>
  <c r="K23" i="8"/>
  <c r="BN6" i="8"/>
  <c r="BO13" i="8"/>
  <c r="BO16" i="8"/>
  <c r="BN16" i="8"/>
  <c r="BF5" i="8"/>
  <c r="BI5" i="8" s="1"/>
  <c r="BP6" i="8"/>
  <c r="BF8" i="8"/>
  <c r="BI8" i="8" s="1"/>
  <c r="BF22" i="8"/>
  <c r="BI22" i="8" s="1"/>
  <c r="O6" i="9"/>
  <c r="O11" i="9"/>
  <c r="O10" i="9"/>
  <c r="BP5" i="8"/>
  <c r="BN5" i="8"/>
  <c r="O11" i="8"/>
  <c r="BO12" i="8"/>
  <c r="BP22" i="8"/>
  <c r="BO22" i="8"/>
  <c r="BN22" i="8"/>
  <c r="O18" i="8"/>
  <c r="BO19" i="8"/>
  <c r="BN19" i="8"/>
  <c r="O4" i="12"/>
  <c r="L4" i="12"/>
  <c r="O6" i="12"/>
  <c r="L6" i="12"/>
  <c r="BH11" i="9"/>
  <c r="BK11" i="9" s="1"/>
  <c r="N4" i="12"/>
  <c r="M4" i="12"/>
  <c r="T6" i="12" s="1"/>
  <c r="AA6" i="13" s="1"/>
  <c r="K4" i="12"/>
  <c r="Q4" i="12"/>
  <c r="Q6" i="12"/>
  <c r="N6" i="12"/>
  <c r="M6" i="12"/>
  <c r="T8" i="12" s="1"/>
  <c r="AA8" i="13" s="1"/>
  <c r="K6" i="12"/>
  <c r="BP3" i="9"/>
  <c r="BH7" i="9"/>
  <c r="BK7" i="9" s="1"/>
  <c r="K8" i="9"/>
  <c r="BN15" i="8"/>
  <c r="AW33" i="8"/>
  <c r="AB2" i="9"/>
  <c r="BQ3" i="9"/>
  <c r="BQ5" i="9"/>
  <c r="BH18" i="9"/>
  <c r="BK18" i="9" s="1"/>
  <c r="BO15" i="8"/>
  <c r="K29" i="8"/>
  <c r="BA33" i="8"/>
  <c r="K12" i="9"/>
  <c r="BN17" i="8"/>
  <c r="O7" i="12"/>
  <c r="L7" i="12"/>
  <c r="BH4" i="9"/>
  <c r="BK4" i="9" s="1"/>
  <c r="O14" i="9"/>
  <c r="BH15" i="9"/>
  <c r="BK15" i="9" s="1"/>
  <c r="BR2" i="10"/>
  <c r="BS2" i="10" s="1"/>
  <c r="Q7" i="12"/>
  <c r="N7" i="12"/>
  <c r="M7" i="12"/>
  <c r="T9" i="12" s="1"/>
  <c r="AA9" i="13" s="1"/>
  <c r="K7" i="12"/>
  <c r="BR12" i="9"/>
  <c r="BQ12" i="9"/>
  <c r="BP12" i="9"/>
  <c r="BR13" i="9"/>
  <c r="BP13" i="9"/>
  <c r="BR6" i="9"/>
  <c r="BQ6" i="9"/>
  <c r="BH16" i="9"/>
  <c r="BK16" i="9" s="1"/>
  <c r="BP5" i="9"/>
  <c r="K9"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O20" i="9"/>
  <c r="O19" i="9"/>
  <c r="BR15" i="9"/>
  <c r="O12" i="9"/>
  <c r="K14" i="9"/>
  <c r="AH2" i="10"/>
  <c r="Y2" i="10"/>
  <c r="BO4" i="10"/>
  <c r="BP4" i="10"/>
  <c r="B34" i="9"/>
  <c r="K29" i="9"/>
  <c r="BQ4" i="10"/>
  <c r="BQ10" i="9"/>
  <c r="BP10" i="9"/>
  <c r="K19" i="9"/>
  <c r="BR23" i="9"/>
  <c r="BQ23" i="9"/>
  <c r="AN2" i="10"/>
  <c r="AQ2" i="10" s="1"/>
  <c r="BP15" i="9"/>
  <c r="BQ16" i="9"/>
  <c r="BP16" i="9"/>
  <c r="G2" i="12"/>
  <c r="AY33" i="9"/>
  <c r="P2" i="10"/>
  <c r="BP7" i="9"/>
  <c r="BQ15" i="9"/>
  <c r="K20" i="9"/>
  <c r="K22" i="9"/>
  <c r="BQ21" i="9"/>
  <c r="BR21" i="9"/>
  <c r="BQ18" i="9"/>
  <c r="O21" i="9"/>
  <c r="K4" i="11"/>
  <c r="K3" i="11"/>
  <c r="BP3" i="10"/>
  <c r="AA2" i="10"/>
  <c r="BQ15" i="10"/>
  <c r="BP15" i="10"/>
  <c r="BO15" i="10"/>
  <c r="BP18" i="9"/>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O13" i="10"/>
  <c r="O12" i="10"/>
  <c r="AG2" i="10"/>
  <c r="J12" i="10"/>
  <c r="BP14" i="10"/>
  <c r="D5" i="12"/>
  <c r="BB33" i="10"/>
  <c r="T2" i="11"/>
  <c r="U2" i="11" s="1"/>
  <c r="S2" i="11"/>
  <c r="BQ20" i="10"/>
  <c r="BO20" i="10"/>
  <c r="BP20" i="10"/>
  <c r="N29" i="10"/>
  <c r="J29" i="10"/>
  <c r="O29" i="10" s="1"/>
  <c r="B34" i="10"/>
  <c r="X2" i="10"/>
  <c r="BP9" i="10"/>
  <c r="BO9" i="10"/>
  <c r="AY34" i="9"/>
  <c r="BP16" i="10"/>
  <c r="BO16" i="10"/>
  <c r="AP2" i="11"/>
  <c r="AS2" i="11" s="1"/>
  <c r="BO14" i="10"/>
  <c r="BS15" i="11"/>
  <c r="BR15" i="11"/>
  <c r="BQ15" i="11"/>
  <c r="BP18" i="10"/>
  <c r="BQ23" i="10"/>
  <c r="BP23" i="10"/>
  <c r="BO22" i="10"/>
  <c r="BO19" i="10"/>
  <c r="BQ19" i="10"/>
  <c r="BP19" i="10"/>
  <c r="BR4" i="11"/>
  <c r="BB32" i="10"/>
  <c r="BO17" i="10"/>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BQ3" i="11"/>
  <c r="BS9" i="11"/>
  <c r="BQ9" i="11"/>
  <c r="K19" i="11"/>
  <c r="AX32" i="10"/>
  <c r="AJ2" i="11"/>
  <c r="O3" i="11"/>
  <c r="K14" i="11"/>
  <c r="O18" i="11"/>
  <c r="O19" i="11"/>
  <c r="K29" i="11"/>
  <c r="B34" i="11"/>
  <c r="K5" i="11"/>
  <c r="K8" i="11"/>
  <c r="BR3" i="11"/>
  <c r="O6" i="11"/>
  <c r="O8" i="11"/>
  <c r="BR16" i="11"/>
  <c r="BR19" i="11"/>
  <c r="K22" i="11"/>
  <c r="E2" i="12"/>
  <c r="BD33" i="11"/>
  <c r="BQ5" i="11"/>
  <c r="BT5" i="11" s="1"/>
  <c r="BU5" i="11" s="1"/>
  <c r="BQ12" i="11"/>
  <c r="BQ14" i="11"/>
  <c r="K16" i="11"/>
  <c r="K17" i="11"/>
  <c r="BQ20" i="11"/>
  <c r="BQ21" i="11"/>
  <c r="BQ17" i="11"/>
  <c r="AZ33" i="11"/>
  <c r="O22" i="11"/>
  <c r="BQ22" i="11"/>
  <c r="BT22" i="11" s="1"/>
  <c r="BU22" i="11" s="1"/>
  <c r="BQ18" i="11"/>
  <c r="I5" i="12"/>
  <c r="L5" i="12" s="1"/>
  <c r="BR18" i="11"/>
  <c r="BQ7" i="8" l="1"/>
  <c r="K21" i="10"/>
  <c r="BT20" i="11"/>
  <c r="BU20" i="11" s="1"/>
  <c r="BT13" i="11"/>
  <c r="BU13" i="11" s="1"/>
  <c r="BS22" i="9"/>
  <c r="BS19" i="9"/>
  <c r="BR22" i="10"/>
  <c r="BS22" i="10" s="1"/>
  <c r="K16" i="10"/>
  <c r="AC8" i="12"/>
  <c r="AI2" i="11"/>
  <c r="AH8" i="12"/>
  <c r="AE7" i="12"/>
  <c r="V12" i="12" s="1"/>
  <c r="W12" i="12" s="1"/>
  <c r="AB12" i="13" s="1"/>
  <c r="AE6" i="12"/>
  <c r="AE5" i="12"/>
  <c r="V10" i="12" s="1"/>
  <c r="W10" i="12" s="1"/>
  <c r="AB10" i="13" s="1"/>
  <c r="L2" i="12"/>
  <c r="AG7" i="12"/>
  <c r="AG6" i="12"/>
  <c r="AG8" i="12" s="1"/>
  <c r="AG5" i="12"/>
  <c r="BT17" i="11"/>
  <c r="BU17" i="11" s="1"/>
  <c r="BQ21" i="8"/>
  <c r="BR10" i="10"/>
  <c r="BS10" i="10" s="1"/>
  <c r="BT4" i="11"/>
  <c r="AB8" i="12"/>
  <c r="V7" i="12"/>
  <c r="W7" i="12" s="1"/>
  <c r="AB7" i="13" s="1"/>
  <c r="V4" i="12"/>
  <c r="W4" i="12" s="1"/>
  <c r="AB4" i="13" s="1"/>
  <c r="P9" i="10"/>
  <c r="BR3" i="10"/>
  <c r="BS3" i="10" s="1"/>
  <c r="BS7" i="9"/>
  <c r="BR8" i="10"/>
  <c r="BS8" i="10" s="1"/>
  <c r="P11" i="10"/>
  <c r="K22" i="10"/>
  <c r="P4" i="10"/>
  <c r="BQ17" i="8"/>
  <c r="P4" i="8"/>
  <c r="BS20" i="9"/>
  <c r="K23" i="10"/>
  <c r="K4" i="10"/>
  <c r="BQ23" i="8"/>
  <c r="BC41" i="9"/>
  <c r="P5" i="10"/>
  <c r="P3" i="8"/>
  <c r="BQ20" i="8"/>
  <c r="K6" i="10"/>
  <c r="K14" i="10"/>
  <c r="BS14" i="9"/>
  <c r="P3" i="10"/>
  <c r="BR11" i="10"/>
  <c r="BS11" i="10" s="1"/>
  <c r="BQ11" i="8"/>
  <c r="P6" i="10"/>
  <c r="P17" i="8"/>
  <c r="P12" i="11"/>
  <c r="BQ18" i="8"/>
  <c r="BS9" i="9"/>
  <c r="BT6" i="11"/>
  <c r="BU6" i="11" s="1"/>
  <c r="P12" i="10"/>
  <c r="P10" i="10"/>
  <c r="K7" i="10"/>
  <c r="BT21" i="11"/>
  <c r="BU21" i="11" s="1"/>
  <c r="P8" i="11"/>
  <c r="BQ14" i="8"/>
  <c r="P7" i="11"/>
  <c r="K17" i="10"/>
  <c r="BT9" i="11"/>
  <c r="BU9" i="11" s="1"/>
  <c r="K10" i="10"/>
  <c r="BR17" i="10"/>
  <c r="BS17" i="10" s="1"/>
  <c r="BR13" i="10"/>
  <c r="BS13" i="10" s="1"/>
  <c r="BS8" i="9"/>
  <c r="BS4" i="9"/>
  <c r="P8" i="10"/>
  <c r="BQ8" i="8"/>
  <c r="K9" i="10"/>
  <c r="BR12" i="10"/>
  <c r="BS12" i="10" s="1"/>
  <c r="P21" i="8"/>
  <c r="BQ3" i="8"/>
  <c r="BS15" i="9"/>
  <c r="BT11" i="11"/>
  <c r="BU11" i="11" s="1"/>
  <c r="BR21" i="10"/>
  <c r="BS21" i="10" s="1"/>
  <c r="BT14" i="11"/>
  <c r="BU14" i="11" s="1"/>
  <c r="BT12" i="11"/>
  <c r="BU12" i="11" s="1"/>
  <c r="BQ10" i="8"/>
  <c r="AB2" i="14"/>
  <c r="BT23" i="11"/>
  <c r="BU23" i="11" s="1"/>
  <c r="BR18" i="10"/>
  <c r="BS18" i="10" s="1"/>
  <c r="BR9" i="10"/>
  <c r="BS9" i="10" s="1"/>
  <c r="M5" i="12"/>
  <c r="T7" i="12" s="1"/>
  <c r="AA7" i="13" s="1"/>
  <c r="P7" i="10"/>
  <c r="BQ12" i="8"/>
  <c r="BT15" i="11"/>
  <c r="BU15" i="11" s="1"/>
  <c r="BH2" i="8"/>
  <c r="BJ2" i="8" s="1"/>
  <c r="BR16" i="10"/>
  <c r="BS16" i="10" s="1"/>
  <c r="BS10" i="9"/>
  <c r="P16" i="11"/>
  <c r="BR23" i="10"/>
  <c r="BS23" i="10" s="1"/>
  <c r="K15" i="10"/>
  <c r="K20" i="10"/>
  <c r="P9" i="8"/>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J3" i="9"/>
  <c r="AW41" i="8"/>
  <c r="AW39" i="8"/>
  <c r="BA41" i="8"/>
  <c r="BA39" i="8"/>
  <c r="Q2" i="12"/>
  <c r="O5" i="12"/>
  <c r="BA40" i="8"/>
  <c r="BH16" i="8"/>
  <c r="BJ16" i="8" s="1"/>
  <c r="N5" i="12"/>
  <c r="BJ22" i="9"/>
  <c r="BL22" i="9" s="1"/>
  <c r="BH18" i="8"/>
  <c r="BJ18" i="8" s="1"/>
  <c r="BH20" i="8"/>
  <c r="BJ20" i="8" s="1"/>
  <c r="BJ21" i="9"/>
  <c r="BL21" i="9" s="1"/>
  <c r="BH21" i="8"/>
  <c r="BJ21" i="8" s="1"/>
  <c r="BH9" i="8"/>
  <c r="BJ9" i="8" s="1"/>
  <c r="BH13" i="8"/>
  <c r="BJ13" i="8" s="1"/>
  <c r="BH15" i="8"/>
  <c r="BJ15" i="8" s="1"/>
  <c r="BJ23" i="9"/>
  <c r="BL23" i="9" s="1"/>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N29" i="8"/>
  <c r="J29" i="8"/>
  <c r="M29" i="8" s="1"/>
  <c r="P20" i="8"/>
  <c r="P22" i="8"/>
  <c r="BS21" i="9"/>
  <c r="BJ8" i="9"/>
  <c r="BL8" i="9" s="1"/>
  <c r="M29" i="10"/>
  <c r="BR6" i="10"/>
  <c r="BS6" i="10" s="1"/>
  <c r="P6" i="11"/>
  <c r="P10" i="11"/>
  <c r="P18" i="10"/>
  <c r="BS16" i="9"/>
  <c r="BS23" i="9"/>
  <c r="J29" i="9"/>
  <c r="M29" i="9" s="1"/>
  <c r="N29" i="9"/>
  <c r="BJ12" i="9"/>
  <c r="BL12" i="9" s="1"/>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BS15" i="10" s="1"/>
  <c r="P16" i="10"/>
  <c r="BR4" i="10"/>
  <c r="BS4" i="10" s="1"/>
  <c r="BJ2" i="9"/>
  <c r="BL2" i="9" s="1"/>
  <c r="BJ6" i="9"/>
  <c r="BL6" i="9" s="1"/>
  <c r="BS12" i="9"/>
  <c r="BJ15" i="9"/>
  <c r="BL15" i="9" s="1"/>
  <c r="BS5" i="9"/>
  <c r="BH10" i="8"/>
  <c r="BJ10" i="8" s="1"/>
  <c r="P13" i="8"/>
  <c r="BK15" i="11"/>
  <c r="BM15" i="11" s="1"/>
  <c r="BK22" i="11"/>
  <c r="BM22" i="11" s="1"/>
  <c r="BD41" i="1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R14" i="10"/>
  <c r="BS14" i="10" s="1"/>
  <c r="P11" i="11"/>
  <c r="P22" i="11"/>
  <c r="P22" i="10"/>
  <c r="BS6" i="9"/>
  <c r="BS3" i="9"/>
  <c r="P4" i="12"/>
  <c r="BH8" i="8"/>
  <c r="BJ8" i="8" s="1"/>
  <c r="AI2" i="8"/>
  <c r="P5" i="8"/>
  <c r="P15" i="8"/>
  <c r="AO2" i="8"/>
  <c r="AW2" i="8" s="1"/>
  <c r="BT16" i="11"/>
  <c r="BU16" i="11" s="1"/>
  <c r="K12" i="10"/>
  <c r="K13" i="10"/>
  <c r="P14" i="11"/>
  <c r="P15" i="11"/>
  <c r="L4" i="10"/>
  <c r="L3"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N29" i="11"/>
  <c r="J29" i="11"/>
  <c r="O29" i="11" s="1"/>
  <c r="P5" i="11"/>
  <c r="P20" i="11"/>
  <c r="P17" i="10"/>
  <c r="BJ10" i="9"/>
  <c r="BL10" i="9" s="1"/>
  <c r="M2" i="12"/>
  <c r="BH5" i="8"/>
  <c r="BJ5" i="8" s="1"/>
  <c r="P8" i="8"/>
  <c r="P18" i="8"/>
  <c r="BJ5" i="9"/>
  <c r="BL5" i="9" s="1"/>
  <c r="AK2" i="11"/>
  <c r="AL2" i="11" s="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AI2" i="10"/>
  <c r="AJ2" i="10" s="1"/>
  <c r="P4" i="11"/>
  <c r="P18" i="11"/>
  <c r="P20" i="10"/>
  <c r="P21" i="10"/>
  <c r="BJ19" i="9"/>
  <c r="BL19" i="9" s="1"/>
  <c r="N2" i="12"/>
  <c r="Q5" i="12"/>
  <c r="BQ15" i="8"/>
  <c r="BJ11" i="9"/>
  <c r="BL11" i="9" s="1"/>
  <c r="BQ5" i="8"/>
  <c r="BH3" i="8"/>
  <c r="BJ3" i="8" s="1"/>
  <c r="BH14" i="8"/>
  <c r="BR14" i="8" s="1"/>
  <c r="P20" i="9"/>
  <c r="P23" i="9"/>
  <c r="P15" i="9"/>
  <c r="P19" i="9"/>
  <c r="P21" i="9"/>
  <c r="P22" i="9"/>
  <c r="P17" i="9"/>
  <c r="P5" i="9"/>
  <c r="P10" i="9"/>
  <c r="P18" i="9"/>
  <c r="P16" i="9"/>
  <c r="P12" i="9"/>
  <c r="P9" i="9"/>
  <c r="P3" i="9"/>
  <c r="P13" i="9"/>
  <c r="P8" i="9"/>
  <c r="P2" i="9"/>
  <c r="P14" i="9"/>
  <c r="P4" i="9"/>
  <c r="P7" i="9"/>
  <c r="P11" i="9"/>
  <c r="P6" i="9"/>
  <c r="BQ13" i="8"/>
  <c r="BH6" i="8"/>
  <c r="P23" i="8"/>
  <c r="BR20" i="10"/>
  <c r="BS20" i="10" s="1"/>
  <c r="P23" i="11"/>
  <c r="BS18" i="9"/>
  <c r="P19" i="10"/>
  <c r="BV21" i="9"/>
  <c r="BJ13" i="9"/>
  <c r="BL13" i="9" s="1"/>
  <c r="K5" i="12"/>
  <c r="P5" i="12" s="1"/>
  <c r="P7" i="12"/>
  <c r="BH7" i="8"/>
  <c r="BJ7" i="8" s="1"/>
  <c r="P14" i="8"/>
  <c r="BH17" i="8"/>
  <c r="BJ17" i="8" s="1"/>
  <c r="BU4" i="11"/>
  <c r="P13" i="11"/>
  <c r="BT18" i="11"/>
  <c r="BU18" i="11" s="1"/>
  <c r="BT3" i="11"/>
  <c r="BU3" i="11" s="1"/>
  <c r="P21" i="11"/>
  <c r="BS13" i="9"/>
  <c r="BJ7" i="9"/>
  <c r="BL7" i="9" s="1"/>
  <c r="BH19" i="8"/>
  <c r="BJ19" i="8" s="1"/>
  <c r="BH23" i="8"/>
  <c r="BJ23" i="8" s="1"/>
  <c r="P6" i="8"/>
  <c r="BR19" i="10"/>
  <c r="BS19" i="10" s="1"/>
  <c r="BJ20" i="9"/>
  <c r="BL20" i="9" s="1"/>
  <c r="AY40" i="9"/>
  <c r="AY41" i="9"/>
  <c r="AY42" i="9"/>
  <c r="AP2" i="9"/>
  <c r="AY2" i="9" s="1"/>
  <c r="BJ14" i="9"/>
  <c r="BL14" i="9" s="1"/>
  <c r="BQ22" i="8"/>
  <c r="BH22" i="8"/>
  <c r="BJ22" i="8" s="1"/>
  <c r="BQ9" i="8"/>
  <c r="P10" i="8"/>
  <c r="L7" i="10" l="1"/>
  <c r="L8" i="10"/>
  <c r="L10" i="10"/>
  <c r="AE8" i="12"/>
  <c r="V13" i="12"/>
  <c r="W13" i="12" s="1"/>
  <c r="AB13" i="13" s="1"/>
  <c r="V11" i="12"/>
  <c r="W11" i="12" s="1"/>
  <c r="AB11" i="13" s="1"/>
  <c r="T10" i="12"/>
  <c r="AA10" i="13" s="1"/>
  <c r="T4" i="12"/>
  <c r="AA4" i="13" s="1"/>
  <c r="T12" i="12"/>
  <c r="AA12" i="13" s="1"/>
  <c r="T11" i="12"/>
  <c r="L12" i="10"/>
  <c r="M12" i="10" s="1"/>
  <c r="BV3" i="9"/>
  <c r="L5" i="10"/>
  <c r="M5" i="10" s="1"/>
  <c r="O29" i="8"/>
  <c r="L9" i="10"/>
  <c r="J35" i="8"/>
  <c r="O35" i="8" s="1"/>
  <c r="J38" i="8"/>
  <c r="N38" i="8" s="1"/>
  <c r="J46" i="8"/>
  <c r="O46" i="8" s="1"/>
  <c r="J50" i="8"/>
  <c r="BX7" i="11"/>
  <c r="CA7" i="11" s="1"/>
  <c r="BX2" i="11"/>
  <c r="CA2" i="11" s="1"/>
  <c r="BT23" i="9"/>
  <c r="BW23" i="9" s="1"/>
  <c r="BT21" i="8"/>
  <c r="BV21" i="8" s="1"/>
  <c r="BS4" i="8"/>
  <c r="BZ4" i="8" s="1"/>
  <c r="BS6" i="8"/>
  <c r="BZ6" i="8" s="1"/>
  <c r="BS18" i="8"/>
  <c r="BZ18" i="8" s="1"/>
  <c r="M29" i="11"/>
  <c r="L11" i="10"/>
  <c r="BR2" i="8"/>
  <c r="BU2" i="8" s="1"/>
  <c r="BT21" i="9"/>
  <c r="BT21" i="10"/>
  <c r="BU12" i="9"/>
  <c r="CB12" i="9" s="1"/>
  <c r="BU21" i="9"/>
  <c r="CB21" i="9" s="1"/>
  <c r="J39" i="9"/>
  <c r="O39" i="9" s="1"/>
  <c r="BS15" i="8"/>
  <c r="BZ15" i="8" s="1"/>
  <c r="L13" i="10"/>
  <c r="M13" i="10" s="1"/>
  <c r="J37" i="9"/>
  <c r="O37" i="9" s="1"/>
  <c r="J30" i="8"/>
  <c r="N30" i="8" s="1"/>
  <c r="J31" i="11"/>
  <c r="O31" i="11" s="1"/>
  <c r="BT18" i="8"/>
  <c r="BV18" i="8" s="1"/>
  <c r="BR13" i="8"/>
  <c r="BY13" i="8" s="1"/>
  <c r="J40" i="11"/>
  <c r="O40" i="11" s="1"/>
  <c r="BU3" i="9"/>
  <c r="J33" i="11"/>
  <c r="O33" i="11" s="1"/>
  <c r="BT3" i="9"/>
  <c r="J42" i="8"/>
  <c r="N42" i="8" s="1"/>
  <c r="J48" i="8"/>
  <c r="O48" i="8" s="1"/>
  <c r="BL3" i="9"/>
  <c r="BT15" i="8"/>
  <c r="BV15" i="8" s="1"/>
  <c r="BU14" i="9"/>
  <c r="CB14" i="9" s="1"/>
  <c r="J37" i="11"/>
  <c r="O37" i="11" s="1"/>
  <c r="J45" i="8"/>
  <c r="BV15" i="11"/>
  <c r="CC15" i="11" s="1"/>
  <c r="J31" i="8"/>
  <c r="O31" i="8" s="1"/>
  <c r="J49" i="11"/>
  <c r="O49" i="11" s="1"/>
  <c r="BT16" i="8"/>
  <c r="BV16" i="8" s="1"/>
  <c r="BW21" i="11"/>
  <c r="BZ21" i="11" s="1"/>
  <c r="O29" i="9"/>
  <c r="L17" i="10"/>
  <c r="M17" i="10" s="1"/>
  <c r="BT22" i="9"/>
  <c r="BW22" i="9" s="1"/>
  <c r="L15" i="10"/>
  <c r="M15" i="10" s="1"/>
  <c r="BT2" i="8"/>
  <c r="BV2" i="8" s="1"/>
  <c r="J40" i="9"/>
  <c r="O40" i="9" s="1"/>
  <c r="J39" i="8"/>
  <c r="N39" i="8" s="1"/>
  <c r="J40" i="8"/>
  <c r="N40" i="8" s="1"/>
  <c r="J44" i="9"/>
  <c r="O44" i="9" s="1"/>
  <c r="BV22" i="9"/>
  <c r="J35" i="11"/>
  <c r="O35" i="11" s="1"/>
  <c r="J48" i="11"/>
  <c r="O48" i="11" s="1"/>
  <c r="J42" i="11"/>
  <c r="J32" i="8"/>
  <c r="BU22" i="9"/>
  <c r="CB22" i="9" s="1"/>
  <c r="J43" i="8"/>
  <c r="BT15" i="9"/>
  <c r="CA15" i="9" s="1"/>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AQ17" i="14" s="1"/>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J40" i="14"/>
  <c r="O40" i="14" s="1"/>
  <c r="BW19" i="14"/>
  <c r="CA19" i="14" s="1"/>
  <c r="AD5" i="14"/>
  <c r="CJ6" i="14"/>
  <c r="BX12" i="14"/>
  <c r="CB12" i="14" s="1"/>
  <c r="BX15" i="14"/>
  <c r="CB15" i="14" s="1"/>
  <c r="J33" i="14"/>
  <c r="N33" i="14" s="1"/>
  <c r="BW2" i="14"/>
  <c r="R3" i="14"/>
  <c r="T3" i="14" s="1"/>
  <c r="BW16" i="14"/>
  <c r="CA16" i="14" s="1"/>
  <c r="BZ12" i="14"/>
  <c r="CC12" i="14" s="1"/>
  <c r="V15" i="14"/>
  <c r="AF15" i="14" s="1"/>
  <c r="AN6" i="14"/>
  <c r="AO6" i="14" s="1"/>
  <c r="AP6" i="14" s="1"/>
  <c r="AS6" i="14" s="1"/>
  <c r="AW2" i="14"/>
  <c r="J50" i="14"/>
  <c r="O50" i="14" s="1"/>
  <c r="BZ21" i="14"/>
  <c r="CC21" i="14" s="1"/>
  <c r="J49" i="14"/>
  <c r="O49" i="14" s="1"/>
  <c r="M44" i="14"/>
  <c r="AC6" i="14"/>
  <c r="BZ10" i="14"/>
  <c r="CC10" i="14" s="1"/>
  <c r="V6" i="14"/>
  <c r="AF6" i="14" s="1"/>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J35" i="14"/>
  <c r="N35" i="14" s="1"/>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V7" i="14"/>
  <c r="AE7" i="14"/>
  <c r="AC7" i="14"/>
  <c r="R7" i="14"/>
  <c r="T7" i="14" s="1"/>
  <c r="AN7" i="14"/>
  <c r="AD7"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BX7" i="14"/>
  <c r="BZ17" i="14"/>
  <c r="CC17" i="14" s="1"/>
  <c r="BW8" i="14"/>
  <c r="CA8" i="14" s="1"/>
  <c r="BX19" i="14"/>
  <c r="AE16" i="14"/>
  <c r="AD16" i="14"/>
  <c r="R16" i="14"/>
  <c r="T16" i="14" s="1"/>
  <c r="V16" i="14"/>
  <c r="AC16" i="14"/>
  <c r="AN16" i="14"/>
  <c r="BX23" i="14"/>
  <c r="BZ7" i="14"/>
  <c r="CC7" i="14" s="1"/>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BV23" i="11"/>
  <c r="CC23" i="11" s="1"/>
  <c r="BX16" i="11"/>
  <c r="CA16" i="11" s="1"/>
  <c r="E14" i="12"/>
  <c r="BX11" i="11"/>
  <c r="CA11" i="11" s="1"/>
  <c r="BS21" i="8"/>
  <c r="BW21" i="8" s="1"/>
  <c r="E11" i="12"/>
  <c r="BV4" i="9"/>
  <c r="BR21" i="8"/>
  <c r="BY21" i="8" s="1"/>
  <c r="BX9" i="11"/>
  <c r="CA9" i="11" s="1"/>
  <c r="BT11" i="8"/>
  <c r="BV11" i="8" s="1"/>
  <c r="BR11" i="8"/>
  <c r="BY11" i="8" s="1"/>
  <c r="BS16" i="8"/>
  <c r="BZ16" i="8" s="1"/>
  <c r="BT20" i="8"/>
  <c r="BV20" i="8" s="1"/>
  <c r="BT11" i="10"/>
  <c r="CA11" i="10" s="1"/>
  <c r="BX12" i="11"/>
  <c r="CA12" i="11" s="1"/>
  <c r="BS2" i="8"/>
  <c r="BZ2" i="8" s="1"/>
  <c r="CG2" i="8" s="1"/>
  <c r="BT13" i="8"/>
  <c r="AT2" i="11"/>
  <c r="AW2" i="11" s="1"/>
  <c r="BR5" i="8"/>
  <c r="BY5" i="8" s="1"/>
  <c r="BX22" i="11"/>
  <c r="CA22" i="11" s="1"/>
  <c r="BS14" i="8"/>
  <c r="BZ14" i="8" s="1"/>
  <c r="BU3" i="10"/>
  <c r="BX3" i="10" s="1"/>
  <c r="BT11" i="9"/>
  <c r="BW11" i="9" s="1"/>
  <c r="BS10" i="8"/>
  <c r="BW10" i="8" s="1"/>
  <c r="BT13" i="9"/>
  <c r="BW13" i="9" s="1"/>
  <c r="BV9" i="11"/>
  <c r="BT12" i="9"/>
  <c r="BW12" i="9" s="1"/>
  <c r="BR15" i="8"/>
  <c r="BU15" i="8" s="1"/>
  <c r="BW9" i="11"/>
  <c r="CD9" i="11" s="1"/>
  <c r="BU15" i="10"/>
  <c r="BX15" i="10" s="1"/>
  <c r="BT5" i="9"/>
  <c r="CA5" i="9" s="1"/>
  <c r="BW7" i="11"/>
  <c r="CD7" i="11" s="1"/>
  <c r="AQ2" i="8"/>
  <c r="AT2" i="8" s="1"/>
  <c r="BV15" i="10"/>
  <c r="BY15" i="10" s="1"/>
  <c r="BV7" i="11"/>
  <c r="BV16" i="11"/>
  <c r="CC16" i="11" s="1"/>
  <c r="AR2" i="8"/>
  <c r="AU2" i="8" s="1"/>
  <c r="BW16" i="11"/>
  <c r="BZ16" i="11" s="1"/>
  <c r="BT6" i="8"/>
  <c r="BV6" i="8" s="1"/>
  <c r="BR18" i="8"/>
  <c r="BY18" i="8" s="1"/>
  <c r="BV2" i="10"/>
  <c r="BY2" i="10" s="1"/>
  <c r="BT7" i="9"/>
  <c r="CA7" i="9" s="1"/>
  <c r="BT17" i="8"/>
  <c r="BV17" i="8" s="1"/>
  <c r="BS13" i="8"/>
  <c r="BZ13" i="8" s="1"/>
  <c r="BW20" i="11"/>
  <c r="CD20" i="11" s="1"/>
  <c r="BR9" i="8"/>
  <c r="BY9" i="8" s="1"/>
  <c r="E12" i="12"/>
  <c r="BV7" i="9"/>
  <c r="BW12" i="11"/>
  <c r="CD12" i="11" s="1"/>
  <c r="BV14" i="9"/>
  <c r="BS17" i="8"/>
  <c r="BW17" i="8" s="1"/>
  <c r="BU23" i="9"/>
  <c r="CB23" i="9" s="1"/>
  <c r="BT5" i="8"/>
  <c r="BV5" i="8" s="1"/>
  <c r="BR10" i="8"/>
  <c r="BY10" i="8" s="1"/>
  <c r="BV12" i="9"/>
  <c r="BV23" i="9"/>
  <c r="BV2" i="11"/>
  <c r="BY2" i="11" s="1"/>
  <c r="BB35" i="10"/>
  <c r="BV20" i="11"/>
  <c r="CC20" i="11" s="1"/>
  <c r="BU4" i="9"/>
  <c r="CB4" i="9" s="1"/>
  <c r="BW15" i="11"/>
  <c r="CD15" i="11" s="1"/>
  <c r="BU23" i="10"/>
  <c r="CB23" i="10" s="1"/>
  <c r="CI23" i="10" s="1"/>
  <c r="BW4" i="11"/>
  <c r="BZ4" i="11" s="1"/>
  <c r="AU2" i="11"/>
  <c r="AX2" i="11" s="1"/>
  <c r="BR8" i="8"/>
  <c r="BY8" i="8" s="1"/>
  <c r="BU8" i="10"/>
  <c r="CB8" i="10" s="1"/>
  <c r="CI8" i="10" s="1"/>
  <c r="BU18" i="9"/>
  <c r="CB18" i="9" s="1"/>
  <c r="BS7" i="8"/>
  <c r="BZ7" i="8" s="1"/>
  <c r="BT8" i="8"/>
  <c r="BV8" i="8" s="1"/>
  <c r="BW22" i="11"/>
  <c r="BZ22" i="11" s="1"/>
  <c r="BV14" i="11"/>
  <c r="BY14" i="11" s="1"/>
  <c r="AT2" i="9"/>
  <c r="AX2" i="9" s="1"/>
  <c r="BT9" i="10"/>
  <c r="BW9" i="10" s="1"/>
  <c r="BW2" i="11"/>
  <c r="CD2" i="11" s="1"/>
  <c r="CK2" i="11" s="1"/>
  <c r="BU11" i="9"/>
  <c r="BT10" i="9"/>
  <c r="BW10" i="9" s="1"/>
  <c r="BW23" i="11"/>
  <c r="CD23" i="11" s="1"/>
  <c r="BT9" i="9"/>
  <c r="BW9" i="9" s="1"/>
  <c r="BS12" i="8"/>
  <c r="BZ12" i="8" s="1"/>
  <c r="AV2" i="11"/>
  <c r="AY2" i="11" s="1"/>
  <c r="BV10" i="11"/>
  <c r="BY10" i="11" s="1"/>
  <c r="BU9" i="10"/>
  <c r="BU10" i="9"/>
  <c r="BX23" i="11"/>
  <c r="CA23" i="11" s="1"/>
  <c r="BV4" i="11"/>
  <c r="BY4" i="11" s="1"/>
  <c r="BS9" i="8"/>
  <c r="BW9" i="8" s="1"/>
  <c r="BU8" i="9"/>
  <c r="CB8" i="9" s="1"/>
  <c r="BR3" i="8"/>
  <c r="BY3" i="8" s="1"/>
  <c r="BU5" i="10"/>
  <c r="BX5" i="10" s="1"/>
  <c r="BW10" i="11"/>
  <c r="CD10" i="11" s="1"/>
  <c r="BV10" i="9"/>
  <c r="BX10" i="11"/>
  <c r="CA10" i="11" s="1"/>
  <c r="BU7" i="9"/>
  <c r="BR20" i="8"/>
  <c r="BV17" i="10"/>
  <c r="BY17" i="10" s="1"/>
  <c r="BT20" i="10"/>
  <c r="CA20" i="10" s="1"/>
  <c r="BW18" i="11"/>
  <c r="CD18" i="11" s="1"/>
  <c r="BT9" i="8"/>
  <c r="BV9" i="8" s="1"/>
  <c r="BV8" i="9"/>
  <c r="BV3" i="10"/>
  <c r="BY3" i="10" s="1"/>
  <c r="BS20" i="8"/>
  <c r="BW20" i="8" s="1"/>
  <c r="BX19" i="11"/>
  <c r="CA19" i="11" s="1"/>
  <c r="BT18" i="9"/>
  <c r="CA18" i="9" s="1"/>
  <c r="AE11" i="11"/>
  <c r="AC11" i="11"/>
  <c r="V11" i="11"/>
  <c r="R11" i="11"/>
  <c r="T11" i="11" s="1"/>
  <c r="AD11" i="11"/>
  <c r="AN11" i="11"/>
  <c r="AE20" i="11"/>
  <c r="AD20" i="11"/>
  <c r="R20" i="11"/>
  <c r="T20" i="11" s="1"/>
  <c r="AC20" i="11"/>
  <c r="AN20" i="11"/>
  <c r="V20" i="11"/>
  <c r="V17" i="9"/>
  <c r="AL17" i="9"/>
  <c r="AE17" i="9"/>
  <c r="AD17" i="9"/>
  <c r="AC17" i="9"/>
  <c r="R17" i="9"/>
  <c r="T17" i="9" s="1"/>
  <c r="M6" i="10"/>
  <c r="J33" i="10"/>
  <c r="O33" i="10" s="1"/>
  <c r="M10" i="10"/>
  <c r="J37" i="10"/>
  <c r="O37" i="10" s="1"/>
  <c r="BX17" i="11"/>
  <c r="CA17" i="11" s="1"/>
  <c r="J35" i="9"/>
  <c r="O35" i="9" s="1"/>
  <c r="BV22" i="10"/>
  <c r="BY22" i="10" s="1"/>
  <c r="AE8" i="8"/>
  <c r="AC8" i="8"/>
  <c r="R8" i="8"/>
  <c r="T8" i="8" s="1"/>
  <c r="AK8" i="8"/>
  <c r="AD8" i="8"/>
  <c r="V8" i="8"/>
  <c r="AC17" i="8"/>
  <c r="AK17" i="8"/>
  <c r="V17" i="8"/>
  <c r="AE17" i="8"/>
  <c r="AD17" i="8"/>
  <c r="R17" i="8"/>
  <c r="T17" i="8" s="1"/>
  <c r="BT3" i="10"/>
  <c r="V4" i="11"/>
  <c r="AD4" i="11"/>
  <c r="AN4" i="11"/>
  <c r="AC4" i="11"/>
  <c r="AE4" i="11"/>
  <c r="R4" i="11"/>
  <c r="T4" i="11" s="1"/>
  <c r="AC23" i="11"/>
  <c r="AN23" i="11"/>
  <c r="V23" i="11"/>
  <c r="AE23" i="11"/>
  <c r="AD23" i="11"/>
  <c r="R23" i="11"/>
  <c r="T23" i="11" s="1"/>
  <c r="BT7" i="8"/>
  <c r="BV7" i="8" s="1"/>
  <c r="AL3" i="9"/>
  <c r="V3" i="9"/>
  <c r="R3" i="9"/>
  <c r="T3" i="9" s="1"/>
  <c r="AE3" i="9"/>
  <c r="AD3" i="9"/>
  <c r="AC3" i="9"/>
  <c r="V21" i="9"/>
  <c r="R21" i="9"/>
  <c r="T21" i="9" s="1"/>
  <c r="AD21" i="9"/>
  <c r="AC21" i="9"/>
  <c r="AL21" i="9"/>
  <c r="AE21" i="9"/>
  <c r="BT4" i="9"/>
  <c r="L14" i="10"/>
  <c r="BT4" i="10"/>
  <c r="BS11" i="8"/>
  <c r="BV15" i="9"/>
  <c r="BU2" i="9"/>
  <c r="BV18" i="11"/>
  <c r="BV16" i="9"/>
  <c r="BT19" i="8"/>
  <c r="BV19" i="8" s="1"/>
  <c r="J47" i="9"/>
  <c r="O47" i="9" s="1"/>
  <c r="J42" i="9"/>
  <c r="O42" i="9" s="1"/>
  <c r="BU22" i="10"/>
  <c r="N35" i="8"/>
  <c r="J41" i="8"/>
  <c r="O41" i="8" s="1"/>
  <c r="O40" i="8"/>
  <c r="AD11" i="8"/>
  <c r="R11" i="8"/>
  <c r="T11" i="8" s="1"/>
  <c r="AC11" i="8"/>
  <c r="AK11" i="8"/>
  <c r="V11" i="8"/>
  <c r="AE11" i="8"/>
  <c r="AC23" i="8"/>
  <c r="AK23" i="8"/>
  <c r="V23" i="8"/>
  <c r="R23" i="8"/>
  <c r="T23" i="8" s="1"/>
  <c r="AE23" i="8"/>
  <c r="AD23" i="8"/>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J45" i="11"/>
  <c r="O45" i="11" s="1"/>
  <c r="J36" i="11"/>
  <c r="O36" i="11" s="1"/>
  <c r="V12" i="9"/>
  <c r="AL12" i="9"/>
  <c r="R12" i="9"/>
  <c r="T12" i="9" s="1"/>
  <c r="AE12" i="9"/>
  <c r="AD12" i="9"/>
  <c r="AC12" i="9"/>
  <c r="AL7" i="9"/>
  <c r="V7" i="9"/>
  <c r="AE7" i="9"/>
  <c r="AD7" i="9"/>
  <c r="R7" i="9"/>
  <c r="T7" i="9" s="1"/>
  <c r="AC7" i="9"/>
  <c r="M11" i="10"/>
  <c r="J38" i="10"/>
  <c r="O38" i="10" s="1"/>
  <c r="L22" i="10"/>
  <c r="BV4" i="10"/>
  <c r="BY4" i="10" s="1"/>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J30" i="9"/>
  <c r="O30" i="9" s="1"/>
  <c r="J38" i="9"/>
  <c r="M38" i="9" s="1"/>
  <c r="M40" i="8"/>
  <c r="M50" i="8"/>
  <c r="O38" i="8"/>
  <c r="AE6" i="8"/>
  <c r="AK6" i="8"/>
  <c r="AD6" i="8"/>
  <c r="AC6" i="8"/>
  <c r="V6" i="8"/>
  <c r="R6" i="8"/>
  <c r="T6" i="8" s="1"/>
  <c r="AK20" i="8"/>
  <c r="AE20" i="8"/>
  <c r="AD20" i="8"/>
  <c r="R20" i="8"/>
  <c r="T20" i="8" s="1"/>
  <c r="AC20" i="8"/>
  <c r="V20" i="8"/>
  <c r="AC5" i="11"/>
  <c r="AN5" i="11"/>
  <c r="AD5" i="11"/>
  <c r="V5" i="11"/>
  <c r="R5" i="11"/>
  <c r="T5" i="11" s="1"/>
  <c r="AE5" i="11"/>
  <c r="V19" i="11"/>
  <c r="AE19" i="11"/>
  <c r="AD19" i="11"/>
  <c r="R19" i="11"/>
  <c r="T19" i="11" s="1"/>
  <c r="AC19" i="11"/>
  <c r="AN19" i="11"/>
  <c r="AE4" i="9"/>
  <c r="AD4" i="9"/>
  <c r="R4" i="9"/>
  <c r="T4" i="9" s="1"/>
  <c r="AL4" i="9"/>
  <c r="V4" i="9"/>
  <c r="AC4" i="9"/>
  <c r="BV13" i="9"/>
  <c r="BZ13" i="9" s="1"/>
  <c r="BJ14" i="8"/>
  <c r="BT14" i="8"/>
  <c r="BV14" i="8" s="1"/>
  <c r="BU21" i="10"/>
  <c r="BT5" i="10"/>
  <c r="AE10" i="11"/>
  <c r="V10" i="11"/>
  <c r="AN10" i="11"/>
  <c r="AD10" i="11"/>
  <c r="AC10" i="11"/>
  <c r="R10" i="11"/>
  <c r="T10" i="11" s="1"/>
  <c r="N37" i="11"/>
  <c r="J44" i="11"/>
  <c r="O44" i="11" s="1"/>
  <c r="AD9" i="9"/>
  <c r="R9" i="9"/>
  <c r="T9" i="9" s="1"/>
  <c r="AC9" i="9"/>
  <c r="AL9" i="9"/>
  <c r="AE9" i="9"/>
  <c r="V9" i="9"/>
  <c r="AE13" i="9"/>
  <c r="AL13" i="9"/>
  <c r="V13" i="9"/>
  <c r="R13" i="9"/>
  <c r="T13" i="9" s="1"/>
  <c r="AD13" i="9"/>
  <c r="AC13" i="9"/>
  <c r="E13" i="12"/>
  <c r="L16" i="10"/>
  <c r="L18" i="10"/>
  <c r="BV23" i="10"/>
  <c r="BY23" i="10" s="1"/>
  <c r="BR22" i="8"/>
  <c r="J34" i="9"/>
  <c r="N34" i="9" s="1"/>
  <c r="J32" i="9"/>
  <c r="O32" i="9" s="1"/>
  <c r="M40" i="9"/>
  <c r="BV21" i="11"/>
  <c r="BT20" i="9"/>
  <c r="V9" i="8"/>
  <c r="AD9" i="8"/>
  <c r="R9" i="8"/>
  <c r="T9" i="8" s="1"/>
  <c r="AE9" i="8"/>
  <c r="AK9" i="8"/>
  <c r="AC9" i="8"/>
  <c r="AK21" i="8"/>
  <c r="V21" i="8"/>
  <c r="AE21" i="8"/>
  <c r="AD21" i="8"/>
  <c r="R21" i="8"/>
  <c r="T21" i="8" s="1"/>
  <c r="AC21" i="8"/>
  <c r="BU4" i="10"/>
  <c r="AE15" i="9"/>
  <c r="AD15" i="9"/>
  <c r="V15" i="9"/>
  <c r="AC15" i="9"/>
  <c r="R15" i="9"/>
  <c r="T15" i="9" s="1"/>
  <c r="AL15" i="9"/>
  <c r="M9" i="10"/>
  <c r="J36" i="10"/>
  <c r="O36" i="10" s="1"/>
  <c r="BT14" i="9"/>
  <c r="BU17" i="10"/>
  <c r="BV5" i="10"/>
  <c r="BY5" i="10" s="1"/>
  <c r="BU10" i="10"/>
  <c r="BU6" i="10"/>
  <c r="BU13" i="10"/>
  <c r="BU14" i="10"/>
  <c r="BU19" i="10"/>
  <c r="BU7" i="10"/>
  <c r="AC8" i="11"/>
  <c r="V8" i="11"/>
  <c r="R8" i="11"/>
  <c r="T8" i="11" s="1"/>
  <c r="AN8" i="11"/>
  <c r="AE8" i="11"/>
  <c r="AD8" i="11"/>
  <c r="BU5" i="9"/>
  <c r="BS5" i="8"/>
  <c r="J30" i="11"/>
  <c r="J32" i="11"/>
  <c r="O32" i="11" s="1"/>
  <c r="M49" i="11"/>
  <c r="J47" i="11"/>
  <c r="O47" i="11" s="1"/>
  <c r="BJ4" i="8"/>
  <c r="BR4" i="8"/>
  <c r="AE10" i="9"/>
  <c r="R10" i="9"/>
  <c r="T10" i="9" s="1"/>
  <c r="AC10" i="9"/>
  <c r="AL10" i="9"/>
  <c r="V10" i="9"/>
  <c r="AD10" i="9"/>
  <c r="V20" i="9"/>
  <c r="AD20" i="9"/>
  <c r="AL20" i="9"/>
  <c r="AE20" i="9"/>
  <c r="AC20" i="9"/>
  <c r="R20" i="9"/>
  <c r="T20" i="9" s="1"/>
  <c r="L23" i="10"/>
  <c r="L20" i="10"/>
  <c r="AS2" i="8"/>
  <c r="AV2" i="8" s="1"/>
  <c r="BU12" i="10"/>
  <c r="BS3" i="8"/>
  <c r="BU6" i="9"/>
  <c r="BT15" i="10"/>
  <c r="BT17" i="9"/>
  <c r="M39" i="9"/>
  <c r="J31" i="9"/>
  <c r="O31" i="9" s="1"/>
  <c r="J44" i="8"/>
  <c r="O44" i="8" s="1"/>
  <c r="M35" i="8"/>
  <c r="BV20" i="9"/>
  <c r="V18" i="8"/>
  <c r="AE18" i="8"/>
  <c r="R18" i="8"/>
  <c r="T18" i="8" s="1"/>
  <c r="AK18" i="8"/>
  <c r="AD18" i="8"/>
  <c r="AC18" i="8"/>
  <c r="AK22" i="8"/>
  <c r="V22" i="8"/>
  <c r="AE22" i="8"/>
  <c r="R22" i="8"/>
  <c r="T22" i="8" s="1"/>
  <c r="AD22" i="8"/>
  <c r="AC22" i="8"/>
  <c r="J43" i="11"/>
  <c r="O43" i="11" s="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N46" i="8"/>
  <c r="BU20" i="9"/>
  <c r="V10" i="8"/>
  <c r="AE10" i="8"/>
  <c r="AC10" i="8"/>
  <c r="AD10" i="8"/>
  <c r="R10" i="8"/>
  <c r="T10" i="8" s="1"/>
  <c r="AK10" i="8"/>
  <c r="BS19" i="8"/>
  <c r="CA9" i="10"/>
  <c r="BV10" i="10"/>
  <c r="BY10" i="10" s="1"/>
  <c r="BV6" i="10"/>
  <c r="BY6" i="10" s="1"/>
  <c r="BV14" i="10"/>
  <c r="BY14" i="10" s="1"/>
  <c r="BV19" i="10"/>
  <c r="BY19" i="10" s="1"/>
  <c r="BV7" i="10"/>
  <c r="BY7" i="10" s="1"/>
  <c r="BV13" i="10"/>
  <c r="BY13" i="10" s="1"/>
  <c r="AR2" i="9"/>
  <c r="AV2" i="9" s="1"/>
  <c r="BR23" i="8"/>
  <c r="BT19" i="9"/>
  <c r="BT17" i="10"/>
  <c r="V7" i="11"/>
  <c r="AE7" i="11"/>
  <c r="AC7" i="11"/>
  <c r="AN7" i="11"/>
  <c r="AD7" i="11"/>
  <c r="R7" i="11"/>
  <c r="T7" i="11" s="1"/>
  <c r="AN6" i="11"/>
  <c r="V6" i="11"/>
  <c r="AD6" i="11"/>
  <c r="R6" i="11"/>
  <c r="T6" i="11" s="1"/>
  <c r="AE6" i="11"/>
  <c r="AC6" i="11"/>
  <c r="BV18" i="10"/>
  <c r="BY18" i="10" s="1"/>
  <c r="M37" i="11"/>
  <c r="BU11" i="10"/>
  <c r="V23" i="9"/>
  <c r="AE23" i="9"/>
  <c r="AC23" i="9"/>
  <c r="AL23" i="9"/>
  <c r="AD23" i="9"/>
  <c r="R23" i="9"/>
  <c r="T23" i="9" s="1"/>
  <c r="AD19" i="9"/>
  <c r="R19" i="9"/>
  <c r="T19" i="9" s="1"/>
  <c r="AE19" i="9"/>
  <c r="AL19" i="9"/>
  <c r="AC19" i="9"/>
  <c r="V19" i="9"/>
  <c r="BZ15" i="11"/>
  <c r="BT12" i="10"/>
  <c r="BV5" i="11"/>
  <c r="BV13" i="11"/>
  <c r="BV6" i="11"/>
  <c r="BV8" i="11"/>
  <c r="BC36" i="9"/>
  <c r="BU16" i="10"/>
  <c r="BW2" i="8"/>
  <c r="N33" i="9"/>
  <c r="N47" i="9"/>
  <c r="J45" i="9"/>
  <c r="O45" i="9" s="1"/>
  <c r="BV3" i="11"/>
  <c r="J34" i="8"/>
  <c r="O34" i="8" s="1"/>
  <c r="BT4" i="8"/>
  <c r="BV4" i="8" s="1"/>
  <c r="AK4" i="8"/>
  <c r="V4" i="8"/>
  <c r="R4" i="8"/>
  <c r="T4" i="8" s="1"/>
  <c r="AE4" i="8"/>
  <c r="AD4" i="8"/>
  <c r="AC4" i="8"/>
  <c r="AC6" i="9"/>
  <c r="V6" i="9"/>
  <c r="AE6" i="9"/>
  <c r="AD6" i="9"/>
  <c r="R6" i="9"/>
  <c r="T6" i="9" s="1"/>
  <c r="AL6" i="9"/>
  <c r="BY14" i="8"/>
  <c r="BU14" i="8"/>
  <c r="BV19" i="9"/>
  <c r="AD18" i="11"/>
  <c r="R18" i="11"/>
  <c r="T18" i="11" s="1"/>
  <c r="AC18" i="11"/>
  <c r="AN18" i="11"/>
  <c r="V18" i="11"/>
  <c r="AE18" i="11"/>
  <c r="AE9" i="11"/>
  <c r="AD9" i="11"/>
  <c r="R9" i="11"/>
  <c r="T9" i="11" s="1"/>
  <c r="AC9" i="11"/>
  <c r="AN9" i="11"/>
  <c r="V9" i="11"/>
  <c r="BV5" i="9"/>
  <c r="BT18" i="10"/>
  <c r="J39" i="11"/>
  <c r="N48" i="11"/>
  <c r="AE18" i="9"/>
  <c r="AC18" i="9"/>
  <c r="R18" i="9"/>
  <c r="T18" i="9" s="1"/>
  <c r="AL18" i="9"/>
  <c r="AD18" i="9"/>
  <c r="V18" i="9"/>
  <c r="AD22" i="9"/>
  <c r="R22" i="9"/>
  <c r="T22" i="9" s="1"/>
  <c r="AC22" i="9"/>
  <c r="AL22" i="9"/>
  <c r="AE22" i="9"/>
  <c r="V22" i="9"/>
  <c r="BU9" i="9"/>
  <c r="L21" i="10"/>
  <c r="BW5" i="11"/>
  <c r="BW6" i="11"/>
  <c r="BW8" i="11"/>
  <c r="BW13" i="11"/>
  <c r="BT6" i="9"/>
  <c r="BV16" i="10"/>
  <c r="BY16" i="10" s="1"/>
  <c r="BV18" i="9"/>
  <c r="N31" i="9"/>
  <c r="BX3" i="11"/>
  <c r="CA3" i="11" s="1"/>
  <c r="J37" i="8"/>
  <c r="N45" i="8"/>
  <c r="J36" i="8"/>
  <c r="AE13" i="8"/>
  <c r="AD13" i="8"/>
  <c r="R13" i="8"/>
  <c r="T13" i="8" s="1"/>
  <c r="AK13" i="8"/>
  <c r="V13" i="8"/>
  <c r="AC13" i="8"/>
  <c r="AN16" i="11"/>
  <c r="AE16" i="11"/>
  <c r="V16" i="11"/>
  <c r="AD16" i="11"/>
  <c r="AC16" i="11"/>
  <c r="R16" i="11"/>
  <c r="T16" i="11" s="1"/>
  <c r="AL8" i="9"/>
  <c r="V8" i="9"/>
  <c r="AE8" i="9"/>
  <c r="AD8" i="9"/>
  <c r="R8" i="9"/>
  <c r="T8" i="9" s="1"/>
  <c r="AC8" i="9"/>
  <c r="AN12" i="11"/>
  <c r="V12" i="11"/>
  <c r="AD12" i="11"/>
  <c r="AC12" i="11"/>
  <c r="AE12" i="11"/>
  <c r="R12" i="11"/>
  <c r="T12" i="11" s="1"/>
  <c r="AD14" i="11"/>
  <c r="R14" i="11"/>
  <c r="T14" i="11" s="1"/>
  <c r="AC14" i="11"/>
  <c r="V14" i="11"/>
  <c r="AN14" i="11"/>
  <c r="AE14" i="11"/>
  <c r="BT23" i="8"/>
  <c r="BV23" i="8" s="1"/>
  <c r="BU19" i="9"/>
  <c r="AN3" i="11"/>
  <c r="AE3" i="11"/>
  <c r="AD3" i="11"/>
  <c r="AC3" i="11"/>
  <c r="V3" i="11"/>
  <c r="R3" i="11"/>
  <c r="T3" i="11" s="1"/>
  <c r="V22" i="11"/>
  <c r="AE22" i="11"/>
  <c r="AD22" i="11"/>
  <c r="R22" i="11"/>
  <c r="T22" i="11" s="1"/>
  <c r="AC22" i="11"/>
  <c r="AN22" i="11"/>
  <c r="BR17" i="8"/>
  <c r="M33" i="11"/>
  <c r="J41" i="11"/>
  <c r="O41" i="11" s="1"/>
  <c r="M36" i="11"/>
  <c r="BV11" i="10"/>
  <c r="BY11" i="10" s="1"/>
  <c r="BT12" i="8"/>
  <c r="BV12" i="8" s="1"/>
  <c r="AE5" i="9"/>
  <c r="AC5" i="9"/>
  <c r="V5" i="9"/>
  <c r="R5" i="9"/>
  <c r="T5" i="9" s="1"/>
  <c r="AL5" i="9"/>
  <c r="AD5" i="9"/>
  <c r="M4" i="10"/>
  <c r="J31" i="10"/>
  <c r="O31" i="10" s="1"/>
  <c r="BV20" i="10"/>
  <c r="BY20" i="10" s="1"/>
  <c r="BV11" i="11"/>
  <c r="BV19" i="11"/>
  <c r="BT2" i="9"/>
  <c r="BV17" i="11"/>
  <c r="BT16" i="9"/>
  <c r="BW3" i="11"/>
  <c r="J49" i="8"/>
  <c r="M38" i="8"/>
  <c r="AE3" i="8"/>
  <c r="AD3" i="8"/>
  <c r="R3" i="8"/>
  <c r="T3" i="8" s="1"/>
  <c r="AC3" i="8"/>
  <c r="V3" i="8"/>
  <c r="AK3" i="8"/>
  <c r="AC15" i="8"/>
  <c r="AK15" i="8"/>
  <c r="V15" i="8"/>
  <c r="R15" i="8"/>
  <c r="T15" i="8" s="1"/>
  <c r="AE15" i="8"/>
  <c r="AD15" i="8"/>
  <c r="CA13" i="9"/>
  <c r="CC12" i="11"/>
  <c r="BY12" i="11"/>
  <c r="M8" i="10"/>
  <c r="J35" i="10"/>
  <c r="O35" i="10" s="1"/>
  <c r="BT13" i="10"/>
  <c r="BT10" i="10"/>
  <c r="BT6" i="10"/>
  <c r="BT7" i="10"/>
  <c r="BT19" i="10"/>
  <c r="BT14" i="10"/>
  <c r="BS23" i="8"/>
  <c r="BT2" i="10"/>
  <c r="CB11" i="9"/>
  <c r="BU2" i="10"/>
  <c r="BJ6" i="8"/>
  <c r="BR6" i="8"/>
  <c r="V13" i="11"/>
  <c r="AN13" i="11"/>
  <c r="R13" i="11"/>
  <c r="T13" i="11" s="1"/>
  <c r="AE13" i="11"/>
  <c r="AD13" i="11"/>
  <c r="AC13" i="11"/>
  <c r="AE15" i="11"/>
  <c r="AC15" i="11"/>
  <c r="V15" i="11"/>
  <c r="AN15" i="11"/>
  <c r="AD15" i="11"/>
  <c r="R15" i="11"/>
  <c r="T15" i="11" s="1"/>
  <c r="BX20" i="11"/>
  <c r="CA20" i="11" s="1"/>
  <c r="M47" i="11"/>
  <c r="M45" i="11"/>
  <c r="J46" i="11"/>
  <c r="O46" i="11" s="1"/>
  <c r="J38" i="11"/>
  <c r="O38" i="11" s="1"/>
  <c r="N31" i="1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BT8" i="9"/>
  <c r="J33" i="8"/>
  <c r="J47" i="8"/>
  <c r="N47" i="8" s="1"/>
  <c r="N31" i="8"/>
  <c r="AK5" i="8"/>
  <c r="V5" i="8"/>
  <c r="R5" i="8"/>
  <c r="T5" i="8" s="1"/>
  <c r="AE5" i="8"/>
  <c r="AD5" i="8"/>
  <c r="AC5" i="8"/>
  <c r="AD16" i="8"/>
  <c r="R16" i="8"/>
  <c r="T16" i="8" s="1"/>
  <c r="AK16" i="8"/>
  <c r="V16" i="8"/>
  <c r="AE16" i="8"/>
  <c r="AC16" i="8"/>
  <c r="N36" i="11" l="1"/>
  <c r="J32" i="10"/>
  <c r="O32" i="10" s="1"/>
  <c r="BZ3" i="9"/>
  <c r="M37" i="9"/>
  <c r="Q11" i="8"/>
  <c r="M41" i="8"/>
  <c r="N48" i="8"/>
  <c r="J42" i="10"/>
  <c r="O42" i="10" s="1"/>
  <c r="T13" i="12"/>
  <c r="AA13" i="13" s="1"/>
  <c r="AA11" i="13"/>
  <c r="M36" i="9"/>
  <c r="N36" i="9"/>
  <c r="BZ10" i="11"/>
  <c r="J39" i="10"/>
  <c r="O39" i="10" s="1"/>
  <c r="N39" i="9"/>
  <c r="N37" i="9"/>
  <c r="BZ23" i="9"/>
  <c r="J44" i="10"/>
  <c r="O44" i="10" s="1"/>
  <c r="J40" i="10"/>
  <c r="O40" i="10" s="1"/>
  <c r="CK20" i="11"/>
  <c r="N32" i="14"/>
  <c r="M31" i="11"/>
  <c r="Q4" i="11" s="1"/>
  <c r="M39" i="14"/>
  <c r="Q12" i="14" s="1"/>
  <c r="AA12" i="14" s="1"/>
  <c r="BZ22" i="9"/>
  <c r="CB3" i="10"/>
  <c r="CI3" i="10" s="1"/>
  <c r="BZ21" i="10"/>
  <c r="O50" i="8"/>
  <c r="N50" i="8"/>
  <c r="M35" i="9"/>
  <c r="CA22" i="9"/>
  <c r="CF18" i="8"/>
  <c r="AO17" i="14"/>
  <c r="AP17" i="14" s="1"/>
  <c r="AS17" i="14" s="1"/>
  <c r="AR17" i="14" s="1"/>
  <c r="AZ17" i="14" s="1"/>
  <c r="N30" i="9"/>
  <c r="Q3" i="9" s="1"/>
  <c r="N40" i="9"/>
  <c r="Q13" i="9" s="1"/>
  <c r="M40" i="11"/>
  <c r="M46" i="8"/>
  <c r="Q19" i="8" s="1"/>
  <c r="CK10" i="11"/>
  <c r="M43" i="11"/>
  <c r="BW4" i="8"/>
  <c r="CD21" i="11"/>
  <c r="BZ20" i="11"/>
  <c r="CG7" i="11"/>
  <c r="BY23" i="11"/>
  <c r="CC7" i="11"/>
  <c r="CG23" i="11"/>
  <c r="CE23" i="11"/>
  <c r="CL23" i="11" s="1"/>
  <c r="BY15" i="11"/>
  <c r="CB7" i="11"/>
  <c r="CH12" i="11"/>
  <c r="CH7" i="11"/>
  <c r="CD4" i="11"/>
  <c r="CK4" i="11" s="1"/>
  <c r="CH23" i="11"/>
  <c r="CC2" i="11"/>
  <c r="CC14" i="11"/>
  <c r="BZ9" i="11"/>
  <c r="CB2" i="11"/>
  <c r="CA21" i="10"/>
  <c r="BW21" i="10"/>
  <c r="CF21" i="10"/>
  <c r="CA3" i="9"/>
  <c r="CH3" i="9" s="1"/>
  <c r="CF3" i="9"/>
  <c r="BW3" i="9"/>
  <c r="CC21" i="9"/>
  <c r="CA23" i="9"/>
  <c r="CC3" i="9"/>
  <c r="CF23" i="9"/>
  <c r="CA21" i="9"/>
  <c r="CH21" i="9" s="1"/>
  <c r="BW18" i="9"/>
  <c r="CD13" i="9"/>
  <c r="CK13" i="9" s="1"/>
  <c r="CD21" i="9"/>
  <c r="CK21" i="9" s="1"/>
  <c r="CE3" i="9"/>
  <c r="BW15" i="9"/>
  <c r="CF21" i="9"/>
  <c r="CD11" i="9"/>
  <c r="CK11" i="9" s="1"/>
  <c r="CE11" i="9"/>
  <c r="CE13" i="9"/>
  <c r="CC11" i="9"/>
  <c r="CB3" i="9"/>
  <c r="CI3" i="9" s="1"/>
  <c r="CE22" i="9"/>
  <c r="CF11" i="9"/>
  <c r="BZ11" i="9"/>
  <c r="CA11" i="9"/>
  <c r="CH11" i="9" s="1"/>
  <c r="CE21" i="9"/>
  <c r="CA9" i="9"/>
  <c r="CH9" i="9" s="1"/>
  <c r="BZ21" i="9"/>
  <c r="CD3" i="9"/>
  <c r="CK3" i="9" s="1"/>
  <c r="BW21" i="9"/>
  <c r="CF22" i="9"/>
  <c r="CD22" i="9"/>
  <c r="CK22" i="9" s="1"/>
  <c r="CC23" i="9"/>
  <c r="BZ17" i="8"/>
  <c r="CG17" i="8" s="1"/>
  <c r="BU3" i="8"/>
  <c r="BU18" i="8"/>
  <c r="BX15" i="8"/>
  <c r="CD15" i="8"/>
  <c r="BW15" i="8"/>
  <c r="BW14" i="8"/>
  <c r="BU21" i="8"/>
  <c r="BW6" i="8"/>
  <c r="CB2" i="8"/>
  <c r="CA15" i="8"/>
  <c r="CH15" i="8" s="1"/>
  <c r="CA16" i="8"/>
  <c r="CH16" i="8" s="1"/>
  <c r="BX18" i="8"/>
  <c r="BW18" i="8"/>
  <c r="CC21" i="8"/>
  <c r="BZ20" i="8"/>
  <c r="CG20" i="8" s="1"/>
  <c r="BZ10" i="8"/>
  <c r="CG10" i="8" s="1"/>
  <c r="CC15" i="8"/>
  <c r="BW16" i="8"/>
  <c r="CD2" i="8"/>
  <c r="BX2" i="8"/>
  <c r="BX16" i="8"/>
  <c r="BX21" i="8"/>
  <c r="BW13" i="8"/>
  <c r="CB18" i="8"/>
  <c r="CD18" i="8"/>
  <c r="BX14" i="8"/>
  <c r="M44" i="11"/>
  <c r="CC14" i="8"/>
  <c r="M47" i="9"/>
  <c r="Q20" i="9" s="1"/>
  <c r="U20" i="9" s="1"/>
  <c r="CB16" i="8"/>
  <c r="CH7" i="9"/>
  <c r="N41" i="9"/>
  <c r="CH15" i="9"/>
  <c r="N45" i="11"/>
  <c r="BU5" i="8"/>
  <c r="Q9" i="11"/>
  <c r="U9" i="11" s="1"/>
  <c r="N32" i="10"/>
  <c r="BY2" i="8"/>
  <c r="CF2" i="8" s="1"/>
  <c r="CB9" i="11"/>
  <c r="N40" i="11"/>
  <c r="Q13" i="11" s="1"/>
  <c r="U13" i="11" s="1"/>
  <c r="M48" i="8"/>
  <c r="M33" i="10"/>
  <c r="CC22" i="9"/>
  <c r="N45" i="9"/>
  <c r="CI12" i="9"/>
  <c r="CI21" i="9"/>
  <c r="CB5" i="8"/>
  <c r="BW7" i="9"/>
  <c r="BX8" i="10"/>
  <c r="M35" i="11"/>
  <c r="O39" i="14"/>
  <c r="CB14" i="8"/>
  <c r="BU16" i="8"/>
  <c r="CA13" i="8"/>
  <c r="CH13" i="8" s="1"/>
  <c r="BU10" i="8"/>
  <c r="CD16" i="8"/>
  <c r="AQ3" i="14"/>
  <c r="CF14" i="8"/>
  <c r="CF21" i="8"/>
  <c r="Q10" i="11"/>
  <c r="Y10" i="11" s="1"/>
  <c r="AF5" i="14"/>
  <c r="BW5" i="9"/>
  <c r="CF8" i="8"/>
  <c r="CI23" i="9"/>
  <c r="CK9" i="11"/>
  <c r="CB13" i="8"/>
  <c r="CB21" i="8"/>
  <c r="N42" i="14"/>
  <c r="N49" i="11"/>
  <c r="Q22" i="11" s="1"/>
  <c r="CB15" i="8"/>
  <c r="CA2" i="8"/>
  <c r="CH2" i="8" s="1"/>
  <c r="AO4" i="14"/>
  <c r="AP4" i="14" s="1"/>
  <c r="AS4" i="14" s="1"/>
  <c r="N43" i="11"/>
  <c r="CC5" i="9"/>
  <c r="CC21" i="10"/>
  <c r="N44" i="8"/>
  <c r="Q8" i="8"/>
  <c r="U8" i="8" s="1"/>
  <c r="BZ7" i="9"/>
  <c r="N44" i="11"/>
  <c r="O30" i="8"/>
  <c r="M30" i="8"/>
  <c r="BA35" i="8"/>
  <c r="CG16" i="8"/>
  <c r="N42" i="10"/>
  <c r="BY16" i="8"/>
  <c r="CF16" i="8" s="1"/>
  <c r="CC16" i="8"/>
  <c r="N33" i="11"/>
  <c r="Q6" i="11" s="1"/>
  <c r="CE7" i="11"/>
  <c r="CL7" i="11" s="1"/>
  <c r="N41" i="8"/>
  <c r="Q14" i="8" s="1"/>
  <c r="CC4" i="11"/>
  <c r="CD20" i="8"/>
  <c r="M42" i="8"/>
  <c r="O42" i="8"/>
  <c r="BZ21" i="8"/>
  <c r="CG21" i="8" s="1"/>
  <c r="CA18" i="8"/>
  <c r="CH18" i="8" s="1"/>
  <c r="CD21" i="8"/>
  <c r="CG9" i="11"/>
  <c r="CI11" i="9"/>
  <c r="M31" i="10"/>
  <c r="BZ12" i="11"/>
  <c r="BZ18" i="11"/>
  <c r="CA10" i="9"/>
  <c r="CH10" i="9" s="1"/>
  <c r="CE5" i="9"/>
  <c r="CE23" i="9"/>
  <c r="CG23" i="9" s="1"/>
  <c r="BV13" i="8"/>
  <c r="BA37" i="8" s="1"/>
  <c r="CD9" i="10"/>
  <c r="BX11" i="8"/>
  <c r="N48" i="9"/>
  <c r="M34" i="10"/>
  <c r="CH13" i="9"/>
  <c r="CG4" i="8"/>
  <c r="CA21" i="8"/>
  <c r="CH21" i="8" s="1"/>
  <c r="CF9" i="10"/>
  <c r="M31" i="9"/>
  <c r="M33" i="9"/>
  <c r="Q6" i="9" s="1"/>
  <c r="U6" i="9" s="1"/>
  <c r="BX13" i="8"/>
  <c r="BY9" i="11"/>
  <c r="M31" i="8"/>
  <c r="Q4" i="8" s="1"/>
  <c r="M42" i="10"/>
  <c r="CF9" i="11"/>
  <c r="CM9" i="11" s="1"/>
  <c r="BW11" i="10"/>
  <c r="CD13" i="8"/>
  <c r="O43" i="8"/>
  <c r="M43" i="8"/>
  <c r="N43" i="8"/>
  <c r="M43" i="9"/>
  <c r="CI22" i="9"/>
  <c r="CH18" i="9"/>
  <c r="BZ10" i="9"/>
  <c r="N39" i="10"/>
  <c r="CC18" i="8"/>
  <c r="CK23" i="11"/>
  <c r="M48" i="11"/>
  <c r="Q21" i="11" s="1"/>
  <c r="M39" i="8"/>
  <c r="O39" i="8"/>
  <c r="N34" i="10"/>
  <c r="N36" i="10"/>
  <c r="CE15" i="9"/>
  <c r="M36" i="10"/>
  <c r="N32" i="8"/>
  <c r="O32" i="8"/>
  <c r="M32" i="8"/>
  <c r="M42" i="11"/>
  <c r="O42" i="11"/>
  <c r="N42" i="11"/>
  <c r="M45" i="8"/>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AF3" i="14"/>
  <c r="AI17" i="14"/>
  <c r="CF12" i="14"/>
  <c r="CO12" i="14" s="1"/>
  <c r="X4" i="14"/>
  <c r="AJ4" i="14"/>
  <c r="M40" i="14"/>
  <c r="N49" i="14"/>
  <c r="CK3" i="14"/>
  <c r="AG3" i="14"/>
  <c r="AG17" i="14"/>
  <c r="CG3" i="14"/>
  <c r="CP3" i="14" s="1"/>
  <c r="CB4" i="14"/>
  <c r="O32" i="14"/>
  <c r="M41" i="14"/>
  <c r="CH14" i="14"/>
  <c r="CQ14" i="14" s="1"/>
  <c r="CE3" i="14"/>
  <c r="CN3" i="14" s="1"/>
  <c r="CG15" i="14"/>
  <c r="CP15" i="14" s="1"/>
  <c r="CJ15" i="14"/>
  <c r="O41" i="14"/>
  <c r="CD15" i="14"/>
  <c r="AF4" i="14"/>
  <c r="CF15" i="14"/>
  <c r="CO15" i="14" s="1"/>
  <c r="AH4" i="14"/>
  <c r="CD10" i="14"/>
  <c r="X17" i="14"/>
  <c r="CD3" i="14"/>
  <c r="CE10" i="14"/>
  <c r="CN10" i="14" s="1"/>
  <c r="AH3" i="14"/>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BX5" i="8"/>
  <c r="CC13" i="8"/>
  <c r="BU11" i="8"/>
  <c r="BW12" i="8"/>
  <c r="CF23" i="11"/>
  <c r="CM23" i="11" s="1"/>
  <c r="CE2" i="11"/>
  <c r="CL2" i="11" s="1"/>
  <c r="CC9" i="11"/>
  <c r="CC10" i="8"/>
  <c r="CC12" i="9"/>
  <c r="CF5" i="9"/>
  <c r="CF7" i="11"/>
  <c r="CM7" i="11" s="1"/>
  <c r="CE12" i="11"/>
  <c r="CL12" i="11" s="1"/>
  <c r="CE12" i="9"/>
  <c r="CD23" i="9"/>
  <c r="CK23" i="9" s="1"/>
  <c r="BU8" i="8"/>
  <c r="CD10" i="8"/>
  <c r="CA11" i="8"/>
  <c r="CH11" i="8" s="1"/>
  <c r="CG12" i="11"/>
  <c r="CF12" i="9"/>
  <c r="CD16" i="11"/>
  <c r="CK16" i="11" s="1"/>
  <c r="BZ12" i="9"/>
  <c r="CA12" i="9"/>
  <c r="CH12" i="9" s="1"/>
  <c r="CD21" i="10"/>
  <c r="CC13" i="9"/>
  <c r="BX9" i="10"/>
  <c r="CF13" i="9"/>
  <c r="CE18" i="9"/>
  <c r="CD14" i="8"/>
  <c r="CC2" i="8"/>
  <c r="BY15" i="8"/>
  <c r="CF15" i="8" s="1"/>
  <c r="CA10" i="8"/>
  <c r="CH10" i="8" s="1"/>
  <c r="BU20" i="8"/>
  <c r="CB20" i="8"/>
  <c r="CB9" i="10"/>
  <c r="CI9" i="10" s="1"/>
  <c r="CE20" i="10"/>
  <c r="CA14" i="8"/>
  <c r="CH14" i="8" s="1"/>
  <c r="BY7" i="11"/>
  <c r="CH9" i="11"/>
  <c r="CD10" i="9"/>
  <c r="CK10" i="9" s="1"/>
  <c r="CC10" i="11"/>
  <c r="BU9" i="8"/>
  <c r="CH2" i="11"/>
  <c r="CF15" i="9"/>
  <c r="BY16" i="11"/>
  <c r="CD22" i="11"/>
  <c r="CK22" i="11" s="1"/>
  <c r="CE9" i="11"/>
  <c r="CL9" i="11" s="1"/>
  <c r="CH4" i="11"/>
  <c r="BZ15" i="9"/>
  <c r="CE9" i="10"/>
  <c r="BX20" i="8"/>
  <c r="CE14" i="11"/>
  <c r="CL14" i="11" s="1"/>
  <c r="CC20" i="8"/>
  <c r="CE20" i="8" s="1"/>
  <c r="CE10" i="9"/>
  <c r="BZ7" i="11"/>
  <c r="BY20" i="8"/>
  <c r="CF20" i="8" s="1"/>
  <c r="CA20" i="8"/>
  <c r="CH20" i="8" s="1"/>
  <c r="CB15" i="10"/>
  <c r="CI15" i="10" s="1"/>
  <c r="CE21" i="10"/>
  <c r="CB23" i="11"/>
  <c r="CG2" i="11"/>
  <c r="CE16" i="11"/>
  <c r="CL16" i="11" s="1"/>
  <c r="BX10" i="8"/>
  <c r="BW20" i="10"/>
  <c r="CF16" i="11"/>
  <c r="CM16" i="11" s="1"/>
  <c r="BX23" i="10"/>
  <c r="CB9" i="8"/>
  <c r="CG16" i="11"/>
  <c r="CB5" i="10"/>
  <c r="CI5" i="10" s="1"/>
  <c r="CF15" i="11"/>
  <c r="CM15" i="11" s="1"/>
  <c r="CH16" i="11"/>
  <c r="CD9" i="8"/>
  <c r="CF10" i="9"/>
  <c r="CF9" i="9"/>
  <c r="CD7" i="9"/>
  <c r="CK7" i="9" s="1"/>
  <c r="CE15" i="11"/>
  <c r="CL15" i="11" s="1"/>
  <c r="CB16" i="11"/>
  <c r="BZ23" i="11"/>
  <c r="CB10" i="9"/>
  <c r="CI10" i="9" s="1"/>
  <c r="CB10" i="8"/>
  <c r="CD15" i="9"/>
  <c r="CK15" i="9" s="1"/>
  <c r="BZ2" i="11"/>
  <c r="CF2" i="11"/>
  <c r="CM2" i="11" s="1"/>
  <c r="CE7" i="9"/>
  <c r="CE10" i="11"/>
  <c r="CL10" i="11" s="1"/>
  <c r="CC10" i="9"/>
  <c r="CF7" i="9"/>
  <c r="CC3" i="8"/>
  <c r="CF10" i="11"/>
  <c r="CM10" i="11" s="1"/>
  <c r="BZ9" i="8"/>
  <c r="CG9" i="8" s="1"/>
  <c r="BW7" i="8"/>
  <c r="CH10" i="11"/>
  <c r="CC7" i="9"/>
  <c r="CB10" i="11"/>
  <c r="BY20" i="11"/>
  <c r="CC9" i="9"/>
  <c r="CB8" i="8"/>
  <c r="CD18" i="9"/>
  <c r="CK18" i="9" s="1"/>
  <c r="CB7" i="9"/>
  <c r="CI7" i="9" s="1"/>
  <c r="CG10" i="11"/>
  <c r="CA9" i="8"/>
  <c r="CH9" i="8" s="1"/>
  <c r="CD9" i="9"/>
  <c r="CK9" i="9" s="1"/>
  <c r="CE20" i="11"/>
  <c r="CL20" i="11" s="1"/>
  <c r="CC15" i="9"/>
  <c r="BZ18" i="9"/>
  <c r="BX8" i="8"/>
  <c r="CC9" i="8"/>
  <c r="CE9" i="9"/>
  <c r="BB37" i="10"/>
  <c r="CF18" i="9"/>
  <c r="BX9"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F15" i="11"/>
  <c r="CC10" i="10"/>
  <c r="BZ10" i="10"/>
  <c r="BW10" i="10"/>
  <c r="CF10" i="10"/>
  <c r="CE10" i="10"/>
  <c r="CD10" i="10"/>
  <c r="CA10" i="10"/>
  <c r="N49" i="8"/>
  <c r="M49" i="8"/>
  <c r="O49" i="8"/>
  <c r="AO5" i="9"/>
  <c r="AM5" i="9"/>
  <c r="AN5" i="9" s="1"/>
  <c r="AQ5" i="9" s="1"/>
  <c r="AO8" i="9"/>
  <c r="AM8" i="9"/>
  <c r="AN8" i="9" s="1"/>
  <c r="AQ8" i="9" s="1"/>
  <c r="N37" i="8"/>
  <c r="O37" i="8"/>
  <c r="M37" i="8"/>
  <c r="CB9" i="9"/>
  <c r="CI9" i="9" s="1"/>
  <c r="CC3" i="11"/>
  <c r="CF3" i="11"/>
  <c r="CM3" i="11" s="1"/>
  <c r="CB3" i="11"/>
  <c r="BY3" i="11"/>
  <c r="CH3" i="11"/>
  <c r="CE3" i="11"/>
  <c r="CL3" i="11" s="1"/>
  <c r="CG3" i="11"/>
  <c r="BZ12" i="10"/>
  <c r="BW12" i="10"/>
  <c r="CE12" i="10"/>
  <c r="CD12" i="10"/>
  <c r="CA12" i="10"/>
  <c r="CF12" i="10"/>
  <c r="CC12" i="10"/>
  <c r="AO19" i="9"/>
  <c r="AM19" i="9"/>
  <c r="AN19" i="9" s="1"/>
  <c r="AQ19" i="9" s="1"/>
  <c r="S10" i="11"/>
  <c r="AB10" i="11"/>
  <c r="Z10" i="11"/>
  <c r="X11" i="9"/>
  <c r="AI11" i="9"/>
  <c r="BY11" i="9" s="1"/>
  <c r="AH11" i="9"/>
  <c r="AG11" i="9"/>
  <c r="AF11" i="9"/>
  <c r="BX18" i="10"/>
  <c r="CB18" i="10"/>
  <c r="CI18" i="10" s="1"/>
  <c r="CG13" i="8"/>
  <c r="Q12" i="9"/>
  <c r="BW3" i="8"/>
  <c r="BZ3" i="8"/>
  <c r="CG3" i="8" s="1"/>
  <c r="CC4" i="8"/>
  <c r="BY4" i="8"/>
  <c r="CF4" i="8" s="1"/>
  <c r="BU4" i="8"/>
  <c r="CD4" i="8"/>
  <c r="CB4" i="8"/>
  <c r="CA4" i="8"/>
  <c r="CH4" i="8" s="1"/>
  <c r="BX4" i="8"/>
  <c r="AQ8" i="11"/>
  <c r="AO8" i="11"/>
  <c r="AP8" i="11" s="1"/>
  <c r="AS8" i="11" s="1"/>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CG6" i="8"/>
  <c r="AL18" i="8"/>
  <c r="AM18" i="8" s="1"/>
  <c r="AP18" i="8" s="1"/>
  <c r="AN18" i="8"/>
  <c r="M23" i="10"/>
  <c r="J50" i="10"/>
  <c r="O50" i="10" s="1"/>
  <c r="BX17" i="10"/>
  <c r="CB17" i="10"/>
  <c r="CI17" i="10" s="1"/>
  <c r="AD15" i="10"/>
  <c r="AE15" i="10"/>
  <c r="R15" i="10"/>
  <c r="T15" i="10" s="1"/>
  <c r="V15" i="10"/>
  <c r="AL15" i="10"/>
  <c r="AC15" i="10"/>
  <c r="M22" i="10"/>
  <c r="J49" i="10"/>
  <c r="O49" i="10" s="1"/>
  <c r="U11" i="8"/>
  <c r="CD11" i="11"/>
  <c r="CK11" i="11" s="1"/>
  <c r="BZ11" i="11"/>
  <c r="CB2" i="10"/>
  <c r="CI2" i="10" s="1"/>
  <c r="BX2" i="10"/>
  <c r="CD13" i="10"/>
  <c r="CF13" i="10"/>
  <c r="CC13" i="10"/>
  <c r="CA13" i="10"/>
  <c r="BW13" i="10"/>
  <c r="CE13" i="10"/>
  <c r="BZ13" i="10"/>
  <c r="X22" i="9"/>
  <c r="AI22" i="9"/>
  <c r="BY22" i="9" s="1"/>
  <c r="AG22" i="9"/>
  <c r="AF22" i="9"/>
  <c r="AH22" i="9"/>
  <c r="X6" i="9"/>
  <c r="AH6" i="9"/>
  <c r="AF6" i="9"/>
  <c r="AI6" i="9"/>
  <c r="AG6" i="9"/>
  <c r="AH7" i="11"/>
  <c r="AJ7" i="11"/>
  <c r="AG7" i="11"/>
  <c r="AF7" i="11"/>
  <c r="AI7" i="11"/>
  <c r="X7" i="11"/>
  <c r="AN9" i="8"/>
  <c r="AL9" i="8"/>
  <c r="AM9" i="8" s="1"/>
  <c r="AP9" i="8" s="1"/>
  <c r="M34" i="9"/>
  <c r="O34" i="9"/>
  <c r="AO13" i="9"/>
  <c r="AM13" i="9"/>
  <c r="AN13" i="9" s="1"/>
  <c r="AQ13" i="9" s="1"/>
  <c r="X4" i="9"/>
  <c r="AI4" i="9"/>
  <c r="BY4" i="9" s="1"/>
  <c r="AH4" i="9"/>
  <c r="AG4" i="9"/>
  <c r="AF4" i="9"/>
  <c r="X20" i="8"/>
  <c r="AG20" i="8"/>
  <c r="AF20" i="8"/>
  <c r="AH20" i="8"/>
  <c r="CB17" i="9"/>
  <c r="CI17" i="9" s="1"/>
  <c r="AN19" i="8"/>
  <c r="AL19" i="8"/>
  <c r="AM19" i="8" s="1"/>
  <c r="AP19" i="8" s="1"/>
  <c r="N49" i="9"/>
  <c r="O49" i="9"/>
  <c r="BZ14" i="11"/>
  <c r="CD14" i="11"/>
  <c r="CK14" i="11" s="1"/>
  <c r="CK12" i="11"/>
  <c r="AJ21" i="11"/>
  <c r="X21" i="11"/>
  <c r="AI21" i="11"/>
  <c r="AH21" i="1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BW11" i="8"/>
  <c r="BZ11" i="8"/>
  <c r="CG11" i="8" s="1"/>
  <c r="AO4" i="11"/>
  <c r="AP4" i="11" s="1"/>
  <c r="AS4" i="11" s="1"/>
  <c r="AQ4" i="11"/>
  <c r="BU12" i="8"/>
  <c r="CD12" i="8"/>
  <c r="CC12" i="8"/>
  <c r="CA12" i="8"/>
  <c r="CH12" i="8" s="1"/>
  <c r="CB12" i="8"/>
  <c r="BY12" i="8"/>
  <c r="CF12" i="8" s="1"/>
  <c r="BX12" i="8"/>
  <c r="CA16" i="9"/>
  <c r="CH16" i="9" s="1"/>
  <c r="CD16" i="9"/>
  <c r="CK16" i="9" s="1"/>
  <c r="CC16" i="9"/>
  <c r="CE16" i="9"/>
  <c r="BW16" i="9"/>
  <c r="CF16" i="9"/>
  <c r="BZ16" i="9"/>
  <c r="CB12" i="10"/>
  <c r="CI12" i="10" s="1"/>
  <c r="BX12" i="10"/>
  <c r="CC8" i="8"/>
  <c r="CG14" i="11"/>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M48" i="9"/>
  <c r="CK15" i="11"/>
  <c r="CF17" i="10"/>
  <c r="CD17" i="10"/>
  <c r="CC17" i="10"/>
  <c r="CA17" i="10"/>
  <c r="BZ17" i="10"/>
  <c r="CE17" i="10"/>
  <c r="BW17" i="10"/>
  <c r="CI14" i="9"/>
  <c r="BZ19" i="8"/>
  <c r="CG19" i="8" s="1"/>
  <c r="BW19" i="8"/>
  <c r="Q17" i="9"/>
  <c r="U17" i="9" s="1"/>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AM4" i="9"/>
  <c r="AN4" i="9" s="1"/>
  <c r="AQ4" i="9" s="1"/>
  <c r="AO4" i="9"/>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O22" i="9"/>
  <c r="AM22" i="9"/>
  <c r="AN22" i="9" s="1"/>
  <c r="AQ22" i="9" s="1"/>
  <c r="O39" i="11"/>
  <c r="N39" i="11"/>
  <c r="M32" i="9"/>
  <c r="CA19" i="9"/>
  <c r="CH19" i="9" s="1"/>
  <c r="CD19" i="9"/>
  <c r="CK19" i="9" s="1"/>
  <c r="BZ19" i="9"/>
  <c r="CF19" i="9"/>
  <c r="CE19" i="9"/>
  <c r="CC19" i="9"/>
  <c r="BW19" i="9"/>
  <c r="AN10" i="8"/>
  <c r="AL10" i="8"/>
  <c r="AM10" i="8" s="1"/>
  <c r="AP10" i="8" s="1"/>
  <c r="M30" i="10"/>
  <c r="BZ15" i="10"/>
  <c r="CA15" i="10"/>
  <c r="BW15" i="10"/>
  <c r="CE15" i="10"/>
  <c r="CD15" i="10"/>
  <c r="CC15" i="10"/>
  <c r="CF15" i="10"/>
  <c r="AO20" i="9"/>
  <c r="AM20" i="9"/>
  <c r="AN20" i="9" s="1"/>
  <c r="AQ20" i="9" s="1"/>
  <c r="M38" i="11"/>
  <c r="CG15" i="8"/>
  <c r="CD8" i="8"/>
  <c r="AL9" i="10"/>
  <c r="V9" i="10"/>
  <c r="R9" i="10"/>
  <c r="T9" i="10" s="1"/>
  <c r="AE9" i="10"/>
  <c r="CH9" i="10" s="1"/>
  <c r="AD9" i="10"/>
  <c r="AC9" i="10"/>
  <c r="CB4" i="10"/>
  <c r="CI4" i="10" s="1"/>
  <c r="BX4" i="10"/>
  <c r="AI9" i="9"/>
  <c r="BY9" i="9" s="1"/>
  <c r="AG9" i="9"/>
  <c r="AF9" i="9"/>
  <c r="AH9" i="9"/>
  <c r="X9" i="9"/>
  <c r="CD3" i="8"/>
  <c r="U10" i="11"/>
  <c r="Q13" i="8"/>
  <c r="CB15" i="9"/>
  <c r="CI15" i="9" s="1"/>
  <c r="AF12" i="8"/>
  <c r="AH12" i="8"/>
  <c r="AG12" i="8"/>
  <c r="X12" i="8"/>
  <c r="M45" i="9"/>
  <c r="Q18" i="9" s="1"/>
  <c r="AD11" i="10"/>
  <c r="R11" i="10"/>
  <c r="T11" i="10" s="1"/>
  <c r="AC11" i="10"/>
  <c r="AE11" i="10"/>
  <c r="CH11" i="10" s="1"/>
  <c r="V11" i="10"/>
  <c r="AL11" i="10"/>
  <c r="AH12" i="9"/>
  <c r="AG12" i="9"/>
  <c r="AI12" i="9"/>
  <c r="BY12" i="9" s="1"/>
  <c r="AF12" i="9"/>
  <c r="X12" i="9"/>
  <c r="AN7" i="8"/>
  <c r="AL7" i="8"/>
  <c r="AM7" i="8" s="1"/>
  <c r="AP7" i="8" s="1"/>
  <c r="CK18" i="11"/>
  <c r="X17" i="8"/>
  <c r="AH17" i="8"/>
  <c r="AG17" i="8"/>
  <c r="AF17" i="8"/>
  <c r="M37" i="10"/>
  <c r="CK21" i="11"/>
  <c r="CD11" i="10"/>
  <c r="BX7" i="10"/>
  <c r="CB7" i="10"/>
  <c r="CI7" i="10" s="1"/>
  <c r="CA8" i="8"/>
  <c r="CH8" i="8" s="1"/>
  <c r="AQ17" i="11"/>
  <c r="AO17" i="11"/>
  <c r="AP17" i="11" s="1"/>
  <c r="AS17" i="11" s="1"/>
  <c r="AH14" i="8"/>
  <c r="AG14" i="8"/>
  <c r="AF14" i="8"/>
  <c r="X14" i="8"/>
  <c r="AF23" i="8"/>
  <c r="X23" i="8"/>
  <c r="AH23" i="8"/>
  <c r="AG23" i="8"/>
  <c r="CB22" i="10"/>
  <c r="CI22" i="10" s="1"/>
  <c r="BX22" i="10"/>
  <c r="AN17" i="8"/>
  <c r="AL17" i="8"/>
  <c r="AM17" i="8" s="1"/>
  <c r="AP17" i="8" s="1"/>
  <c r="CB11" i="8"/>
  <c r="V10" i="10"/>
  <c r="AE10" i="10"/>
  <c r="AD10" i="10"/>
  <c r="R10" i="10"/>
  <c r="T10" i="10" s="1"/>
  <c r="AC10" i="10"/>
  <c r="AL10" i="10"/>
  <c r="CG12" i="8"/>
  <c r="AQ11" i="11"/>
  <c r="AO11" i="11"/>
  <c r="AP11" i="11" s="1"/>
  <c r="AS11" i="11" s="1"/>
  <c r="AH9" i="8"/>
  <c r="AF9" i="8"/>
  <c r="AG9" i="8"/>
  <c r="X9" i="8"/>
  <c r="AN12" i="8"/>
  <c r="AL12" i="8"/>
  <c r="AM12" i="8" s="1"/>
  <c r="AP12" i="8" s="1"/>
  <c r="CF10" i="8"/>
  <c r="AN23" i="8"/>
  <c r="AL23" i="8"/>
  <c r="AM23" i="8" s="1"/>
  <c r="AP23" i="8" s="1"/>
  <c r="AD5" i="10"/>
  <c r="AC5" i="10"/>
  <c r="AE5" i="10"/>
  <c r="V5" i="10"/>
  <c r="R5" i="10"/>
  <c r="T5" i="10" s="1"/>
  <c r="AL5" i="10"/>
  <c r="AG3" i="9"/>
  <c r="AF3" i="9"/>
  <c r="X3" i="9"/>
  <c r="AI3" i="9"/>
  <c r="BY3" i="9" s="1"/>
  <c r="AH3" i="9"/>
  <c r="AJ23" i="11"/>
  <c r="X23" i="11"/>
  <c r="AI23" i="11"/>
  <c r="AH23" i="1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E3" i="10"/>
  <c r="R3" i="10"/>
  <c r="T3" i="10" s="1"/>
  <c r="AC3" i="10"/>
  <c r="AL3" i="10"/>
  <c r="V3" i="10"/>
  <c r="AD3" i="10"/>
  <c r="AG16" i="9"/>
  <c r="X16" i="9"/>
  <c r="AI16" i="9"/>
  <c r="BY16" i="9" s="1"/>
  <c r="AH16" i="9"/>
  <c r="AF16" i="9"/>
  <c r="AH20" i="9"/>
  <c r="X20" i="9"/>
  <c r="AI20" i="9"/>
  <c r="BY20" i="9" s="1"/>
  <c r="AG20" i="9"/>
  <c r="AF20" i="9"/>
  <c r="M39" i="11"/>
  <c r="CB19" i="10"/>
  <c r="CI19" i="10" s="1"/>
  <c r="BX19" i="10"/>
  <c r="AO15" i="9"/>
  <c r="AM15" i="9"/>
  <c r="AN15" i="9" s="1"/>
  <c r="AQ15" i="9" s="1"/>
  <c r="AO9" i="9"/>
  <c r="AM9" i="9"/>
  <c r="AN9" i="9" s="1"/>
  <c r="AQ9" i="9" s="1"/>
  <c r="AH5" i="8"/>
  <c r="AF5" i="8"/>
  <c r="AG5" i="8"/>
  <c r="X5" i="8"/>
  <c r="AD7" i="10"/>
  <c r="R7" i="10"/>
  <c r="T7" i="10" s="1"/>
  <c r="AL7" i="10"/>
  <c r="V7" i="10"/>
  <c r="AE7" i="10"/>
  <c r="AC7" i="10"/>
  <c r="Q18" i="11"/>
  <c r="U18" i="11" s="1"/>
  <c r="M35" i="10"/>
  <c r="AF3" i="8"/>
  <c r="X3" i="8"/>
  <c r="AG3" i="8"/>
  <c r="AH3" i="8"/>
  <c r="CG18" i="8"/>
  <c r="AO16" i="11"/>
  <c r="AP16" i="11" s="1"/>
  <c r="AS16" i="11" s="1"/>
  <c r="AQ16" i="11"/>
  <c r="N44" i="10"/>
  <c r="AO23" i="9"/>
  <c r="AM23" i="9"/>
  <c r="AN23" i="9" s="1"/>
  <c r="AQ23" i="9" s="1"/>
  <c r="AJ6" i="11"/>
  <c r="X6" i="11"/>
  <c r="AH6" i="11"/>
  <c r="AG6" i="11"/>
  <c r="AF6" i="11"/>
  <c r="AI6" i="11"/>
  <c r="BU23" i="8"/>
  <c r="CD23" i="8"/>
  <c r="CC23" i="8"/>
  <c r="CB23" i="8"/>
  <c r="CA23" i="8"/>
  <c r="CH23" i="8" s="1"/>
  <c r="BX23" i="8"/>
  <c r="BY23" i="8"/>
  <c r="CF23" i="8" s="1"/>
  <c r="CG14" i="8"/>
  <c r="CI4" i="9"/>
  <c r="N30" i="10"/>
  <c r="W8" i="8"/>
  <c r="CB15" i="11"/>
  <c r="BX14" i="10"/>
  <c r="CB14" i="10"/>
  <c r="CI14" i="10" s="1"/>
  <c r="CE20" i="9"/>
  <c r="CA20" i="9"/>
  <c r="CH20" i="9" s="1"/>
  <c r="BW20" i="9"/>
  <c r="CF20" i="9"/>
  <c r="CD20" i="9"/>
  <c r="CK20" i="9" s="1"/>
  <c r="CC20" i="9"/>
  <c r="BZ20" i="9"/>
  <c r="M18" i="10"/>
  <c r="J45" i="10"/>
  <c r="O45" i="10" s="1"/>
  <c r="M46" i="11"/>
  <c r="AO10" i="11"/>
  <c r="AP10" i="11" s="1"/>
  <c r="AS10" i="11" s="1"/>
  <c r="AQ10" i="11"/>
  <c r="AQ19" i="11"/>
  <c r="AO19" i="11"/>
  <c r="AP19" i="11" s="1"/>
  <c r="AS19" i="11" s="1"/>
  <c r="CH22" i="9"/>
  <c r="AN20" i="8"/>
  <c r="AL20" i="8"/>
  <c r="AM20" i="8" s="1"/>
  <c r="AP20" i="8" s="1"/>
  <c r="S13" i="11"/>
  <c r="AN14" i="8"/>
  <c r="AL14" i="8"/>
  <c r="AM14" i="8" s="1"/>
  <c r="AP14" i="8" s="1"/>
  <c r="CC4" i="9"/>
  <c r="CA4" i="9"/>
  <c r="CH4" i="9" s="1"/>
  <c r="CE4" i="9"/>
  <c r="CD4" i="9"/>
  <c r="CK4" i="9" s="1"/>
  <c r="BZ4" i="9"/>
  <c r="BW4" i="9"/>
  <c r="CF4" i="9"/>
  <c r="AO3" i="9"/>
  <c r="AM3" i="9"/>
  <c r="AN3" i="9" s="1"/>
  <c r="AQ3" i="9" s="1"/>
  <c r="AO23" i="11"/>
  <c r="AP23" i="11" s="1"/>
  <c r="AS23" i="11" s="1"/>
  <c r="AQ23" i="11"/>
  <c r="AG8" i="8"/>
  <c r="AH8" i="8"/>
  <c r="AF8" i="8"/>
  <c r="X8" i="8"/>
  <c r="CC20" i="10"/>
  <c r="CG7" i="8"/>
  <c r="CB4" i="11"/>
  <c r="CC11" i="10"/>
  <c r="BY19" i="11"/>
  <c r="CH19" i="11"/>
  <c r="CG19" i="11"/>
  <c r="CF19" i="11"/>
  <c r="CM19" i="11" s="1"/>
  <c r="CE19" i="11"/>
  <c r="CL19" i="11" s="1"/>
  <c r="CC19" i="11"/>
  <c r="CB19" i="11"/>
  <c r="AQ12" i="11"/>
  <c r="AO12" i="11"/>
  <c r="AP12" i="11" s="1"/>
  <c r="AS12" i="11" s="1"/>
  <c r="BZ13" i="11"/>
  <c r="CD13" i="11"/>
  <c r="CK13" i="11" s="1"/>
  <c r="AF18" i="9"/>
  <c r="AI18" i="9"/>
  <c r="BY18" i="9" s="1"/>
  <c r="AH18" i="9"/>
  <c r="X18" i="9"/>
  <c r="AG18" i="9"/>
  <c r="M44" i="10"/>
  <c r="AQ6" i="11"/>
  <c r="AO6" i="11"/>
  <c r="AP6" i="11" s="1"/>
  <c r="AS6" i="11" s="1"/>
  <c r="AM16" i="9"/>
  <c r="AN16" i="9" s="1"/>
  <c r="AQ16" i="9" s="1"/>
  <c r="AO16" i="9"/>
  <c r="CB13" i="10"/>
  <c r="CI13" i="10" s="1"/>
  <c r="BX13" i="10"/>
  <c r="AJ10" i="11"/>
  <c r="X10" i="11"/>
  <c r="AH10" i="11"/>
  <c r="AI10" i="11"/>
  <c r="AG10" i="11"/>
  <c r="AF10" i="11"/>
  <c r="O38" i="9"/>
  <c r="N38" i="9"/>
  <c r="M41" i="9"/>
  <c r="Q14" i="9" s="1"/>
  <c r="U14" i="9" s="1"/>
  <c r="CF9" i="8"/>
  <c r="CF20" i="10"/>
  <c r="N33" i="10"/>
  <c r="Q6" i="10" s="1"/>
  <c r="AI11" i="11"/>
  <c r="AG11" i="11"/>
  <c r="AF11" i="11"/>
  <c r="X11" i="11"/>
  <c r="AJ11" i="11"/>
  <c r="AH11" i="11"/>
  <c r="CE4" i="11"/>
  <c r="CL4" i="11" s="1"/>
  <c r="CE11" i="10"/>
  <c r="AO15" i="11"/>
  <c r="AP15" i="11" s="1"/>
  <c r="AS15" i="11" s="1"/>
  <c r="AQ15" i="11"/>
  <c r="BZ3" i="11"/>
  <c r="CD3" i="11"/>
  <c r="CK3" i="11" s="1"/>
  <c r="AN3" i="8"/>
  <c r="AL3" i="8"/>
  <c r="AM3" i="8" s="1"/>
  <c r="AP3" i="8" s="1"/>
  <c r="AG22" i="8"/>
  <c r="X22" i="8"/>
  <c r="AH22" i="8"/>
  <c r="AF22" i="8"/>
  <c r="AH10" i="9"/>
  <c r="AF10" i="9"/>
  <c r="X10" i="9"/>
  <c r="AI10" i="9"/>
  <c r="BY10" i="9" s="1"/>
  <c r="AG10" i="9"/>
  <c r="O30" i="11"/>
  <c r="N30" i="11"/>
  <c r="M30" i="11"/>
  <c r="AI14" i="9"/>
  <c r="BY14" i="9" s="1"/>
  <c r="AG14" i="9"/>
  <c r="AF14" i="9"/>
  <c r="AH14" i="9"/>
  <c r="X14" i="9"/>
  <c r="AH13" i="11"/>
  <c r="X13" i="11"/>
  <c r="AI13" i="11"/>
  <c r="AF13" i="11"/>
  <c r="AJ13" i="11"/>
  <c r="AG13" i="11"/>
  <c r="AD8" i="10"/>
  <c r="R8" i="10"/>
  <c r="T8" i="10" s="1"/>
  <c r="AC8" i="10"/>
  <c r="AE8" i="10"/>
  <c r="V8" i="10"/>
  <c r="AL8" i="10"/>
  <c r="N43" i="9"/>
  <c r="Q16" i="9" s="1"/>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M16" i="10"/>
  <c r="J43" i="10"/>
  <c r="O43" i="10" s="1"/>
  <c r="CD17" i="11"/>
  <c r="CK17" i="11" s="1"/>
  <c r="BZ17" i="11"/>
  <c r="CD14" i="10"/>
  <c r="BZ14" i="10"/>
  <c r="CC14" i="10"/>
  <c r="CA14" i="10"/>
  <c r="BW14" i="10"/>
  <c r="CE14" i="10"/>
  <c r="CF14" i="10"/>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G15" i="11"/>
  <c r="AM10" i="9"/>
  <c r="AN10" i="9" s="1"/>
  <c r="AQ10" i="9" s="1"/>
  <c r="AO10" i="9"/>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BZ9" i="10"/>
  <c r="CB20" i="9"/>
  <c r="CI20" i="9" s="1"/>
  <c r="M34" i="11"/>
  <c r="O34" i="11"/>
  <c r="N38" i="11"/>
  <c r="CC18" i="9"/>
  <c r="CH15" i="11"/>
  <c r="CB5" i="9"/>
  <c r="CI5" i="9" s="1"/>
  <c r="BX10" i="10"/>
  <c r="CB10" i="10"/>
  <c r="CI10" i="10" s="1"/>
  <c r="CH14" i="11"/>
  <c r="CC21" i="11"/>
  <c r="CB21" i="11"/>
  <c r="BY21" i="11"/>
  <c r="CH21" i="11"/>
  <c r="CG21" i="11"/>
  <c r="CF21" i="11"/>
  <c r="CM21" i="11" s="1"/>
  <c r="CE21" i="11"/>
  <c r="CL21" i="11" s="1"/>
  <c r="CA3" i="8"/>
  <c r="CH3" i="8" s="1"/>
  <c r="CA5" i="8"/>
  <c r="CH5" i="8" s="1"/>
  <c r="CC5" i="10"/>
  <c r="CJ5" i="10" s="1"/>
  <c r="BZ5" i="10"/>
  <c r="BW5" i="10"/>
  <c r="CF5" i="10"/>
  <c r="CE5" i="10"/>
  <c r="CA5" i="10"/>
  <c r="CD5" i="10"/>
  <c r="AF5" i="11"/>
  <c r="AI5" i="11"/>
  <c r="AH5" i="11"/>
  <c r="X5" i="11"/>
  <c r="AG5" i="11"/>
  <c r="AJ5" i="11"/>
  <c r="Q10" i="9"/>
  <c r="U10" i="9" s="1"/>
  <c r="M44" i="8"/>
  <c r="BD38" i="11"/>
  <c r="AO7" i="9"/>
  <c r="AM7" i="9"/>
  <c r="AN7" i="9" s="1"/>
  <c r="AQ7" i="9" s="1"/>
  <c r="M32" i="11"/>
  <c r="AN11" i="8"/>
  <c r="AL11" i="8"/>
  <c r="AM11" i="8" s="1"/>
  <c r="AP11" i="8" s="1"/>
  <c r="M42" i="9"/>
  <c r="BX2" i="9"/>
  <c r="CB2" i="9"/>
  <c r="CI2" i="9" s="1"/>
  <c r="N41" i="11"/>
  <c r="CD3" i="10"/>
  <c r="BZ3" i="10"/>
  <c r="BW3" i="10"/>
  <c r="CE3" i="10"/>
  <c r="CC3" i="10"/>
  <c r="CF3" i="10"/>
  <c r="CA3" i="10"/>
  <c r="CH3" i="10" s="1"/>
  <c r="CB20" i="11"/>
  <c r="M39" i="10"/>
  <c r="Q12" i="10" s="1"/>
  <c r="CF2" i="10"/>
  <c r="CE2" i="10"/>
  <c r="CD2" i="10"/>
  <c r="CK2" i="10" s="1"/>
  <c r="CA2" i="10"/>
  <c r="CH2" i="10" s="1"/>
  <c r="BZ2" i="10"/>
  <c r="BW2" i="10"/>
  <c r="CC2" i="10"/>
  <c r="CJ2" i="10" s="1"/>
  <c r="AQ14" i="11"/>
  <c r="AO14" i="11"/>
  <c r="AP14" i="11" s="1"/>
  <c r="AS14" i="11" s="1"/>
  <c r="AN13" i="8"/>
  <c r="AL13" i="8"/>
  <c r="AM13" i="8" s="1"/>
  <c r="AP13" i="8" s="1"/>
  <c r="M46" i="9"/>
  <c r="BW23" i="8"/>
  <c r="BZ23" i="8"/>
  <c r="CG23" i="8" s="1"/>
  <c r="CB11" i="11"/>
  <c r="BY11" i="11"/>
  <c r="CH11" i="11"/>
  <c r="CG11" i="11"/>
  <c r="CE11" i="11"/>
  <c r="CL11" i="11" s="1"/>
  <c r="CF11" i="11"/>
  <c r="CM11" i="11" s="1"/>
  <c r="CC11" i="11"/>
  <c r="CH23" i="9"/>
  <c r="X16" i="8"/>
  <c r="AH16" i="8"/>
  <c r="AG16" i="8"/>
  <c r="AF16" i="8"/>
  <c r="N34" i="8"/>
  <c r="BZ19" i="11"/>
  <c r="CD19" i="11"/>
  <c r="CK19" i="11" s="1"/>
  <c r="BZ7" i="10"/>
  <c r="BW7" i="10"/>
  <c r="CF7" i="10"/>
  <c r="CC7" i="10"/>
  <c r="CJ7" i="10" s="1"/>
  <c r="CA7" i="10"/>
  <c r="CE7" i="10"/>
  <c r="CD7" i="10"/>
  <c r="M50" i="9"/>
  <c r="Q23" i="9" s="1"/>
  <c r="U23" i="9" s="1"/>
  <c r="V4" i="10"/>
  <c r="AD4" i="10"/>
  <c r="AC4" i="10"/>
  <c r="AL4" i="10"/>
  <c r="AE4" i="10"/>
  <c r="R4" i="10"/>
  <c r="T4" i="10" s="1"/>
  <c r="AG3" i="11"/>
  <c r="AI3" i="11"/>
  <c r="AH3" i="11"/>
  <c r="X3" i="11"/>
  <c r="AF3" i="11"/>
  <c r="AJ3" i="11"/>
  <c r="CD5" i="11"/>
  <c r="CK5" i="11" s="1"/>
  <c r="BZ5" i="11"/>
  <c r="U18" i="9"/>
  <c r="AQ9" i="11"/>
  <c r="AO9" i="11"/>
  <c r="AP9" i="11" s="1"/>
  <c r="AS9" i="11" s="1"/>
  <c r="CH5"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CB3" i="8"/>
  <c r="CC5" i="8"/>
  <c r="CB21" i="10"/>
  <c r="CI21" i="10" s="1"/>
  <c r="BX21" i="10"/>
  <c r="Q4" i="9"/>
  <c r="U4" i="9" s="1"/>
  <c r="CB13" i="9"/>
  <c r="CI13" i="9" s="1"/>
  <c r="BY13" i="9"/>
  <c r="M49" i="9"/>
  <c r="Q8" i="11"/>
  <c r="CD20" i="10"/>
  <c r="AF20" i="11"/>
  <c r="AJ20" i="11"/>
  <c r="X20" i="11"/>
  <c r="AI20" i="11"/>
  <c r="AH20" i="11"/>
  <c r="AG20" i="11"/>
  <c r="AE12" i="10"/>
  <c r="V12" i="10"/>
  <c r="R12" i="10"/>
  <c r="T12" i="10" s="1"/>
  <c r="AL12" i="10"/>
  <c r="AD12" i="10"/>
  <c r="AC12" i="10"/>
  <c r="CG4" i="11"/>
  <c r="S3" i="9" l="1"/>
  <c r="AB3" i="9"/>
  <c r="Y3" i="9"/>
  <c r="Z3" i="9"/>
  <c r="Y8" i="8"/>
  <c r="AB13" i="11"/>
  <c r="AA8" i="8"/>
  <c r="AB8" i="8"/>
  <c r="Q7" i="10"/>
  <c r="U7" i="10" s="1"/>
  <c r="Q9" i="9"/>
  <c r="U9" i="9" s="1"/>
  <c r="S8" i="8"/>
  <c r="Z8" i="8"/>
  <c r="Q17" i="8"/>
  <c r="Q23" i="8"/>
  <c r="Y13" i="11"/>
  <c r="CK15" i="10"/>
  <c r="Z19" i="8"/>
  <c r="AB19" i="8"/>
  <c r="U19" i="8"/>
  <c r="W19" i="8"/>
  <c r="AA19" i="8"/>
  <c r="Y19" i="8"/>
  <c r="S19" i="8"/>
  <c r="U13" i="9"/>
  <c r="W13" i="9"/>
  <c r="S13" i="9"/>
  <c r="AB13" i="9"/>
  <c r="Z13" i="9"/>
  <c r="AA13" i="9"/>
  <c r="Y13" i="9"/>
  <c r="AA13" i="11"/>
  <c r="Z13" i="11"/>
  <c r="Q5" i="14"/>
  <c r="CK5" i="10"/>
  <c r="M43" i="10"/>
  <c r="AI22" i="8"/>
  <c r="W3" i="9"/>
  <c r="CG5" i="9"/>
  <c r="Q18" i="8"/>
  <c r="Z18" i="8" s="1"/>
  <c r="AA3" i="9"/>
  <c r="U3" i="9"/>
  <c r="W10" i="11"/>
  <c r="W13" i="11"/>
  <c r="AA10" i="11"/>
  <c r="Q16" i="11"/>
  <c r="U16" i="11" s="1"/>
  <c r="Q21" i="9"/>
  <c r="U21" i="9" s="1"/>
  <c r="N40" i="10"/>
  <c r="Q13" i="10" s="1"/>
  <c r="U13" i="10" s="1"/>
  <c r="Q21" i="8"/>
  <c r="AB21" i="8" s="1"/>
  <c r="AB23" i="8"/>
  <c r="AA23" i="8"/>
  <c r="Z23" i="8"/>
  <c r="U23" i="8"/>
  <c r="Y23" i="8"/>
  <c r="S23" i="8"/>
  <c r="W23" i="8"/>
  <c r="Y21" i="8"/>
  <c r="S4" i="11"/>
  <c r="AA4" i="11"/>
  <c r="W4" i="11"/>
  <c r="AB4" i="11"/>
  <c r="Z4" i="11"/>
  <c r="U4" i="11"/>
  <c r="Y4" i="11"/>
  <c r="CE15" i="8"/>
  <c r="W20" i="9"/>
  <c r="CG3" i="9"/>
  <c r="Y20" i="9"/>
  <c r="S20" i="9"/>
  <c r="Z20" i="9"/>
  <c r="AK23" i="11"/>
  <c r="AL23" i="11" s="1"/>
  <c r="AA20" i="9"/>
  <c r="Q19" i="9"/>
  <c r="W19" i="9" s="1"/>
  <c r="AB20" i="9"/>
  <c r="Q17" i="11"/>
  <c r="AB17" i="11" s="1"/>
  <c r="CI7" i="11"/>
  <c r="CI23" i="11"/>
  <c r="CI9" i="11"/>
  <c r="CI12" i="11"/>
  <c r="CG9" i="10"/>
  <c r="CG21" i="10"/>
  <c r="CK9" i="10"/>
  <c r="CG14" i="10"/>
  <c r="CG22" i="9"/>
  <c r="CG13" i="9"/>
  <c r="CG11" i="9"/>
  <c r="CG21" i="9"/>
  <c r="CE21" i="8"/>
  <c r="CE14" i="8"/>
  <c r="CE10" i="8"/>
  <c r="CE18" i="8"/>
  <c r="CE3" i="8"/>
  <c r="CE2" i="8"/>
  <c r="Q15" i="8"/>
  <c r="U15" i="8" s="1"/>
  <c r="CI2" i="11"/>
  <c r="Q15" i="10"/>
  <c r="U15" i="10" s="1"/>
  <c r="CG12" i="9"/>
  <c r="CE16" i="8"/>
  <c r="Q15" i="14"/>
  <c r="S15" i="14" s="1"/>
  <c r="CK7" i="10"/>
  <c r="CK3" i="10"/>
  <c r="AK4" i="14"/>
  <c r="AL4" i="14" s="1"/>
  <c r="AK21" i="11"/>
  <c r="AL21" i="11" s="1"/>
  <c r="CG15" i="9"/>
  <c r="AJ18" i="9"/>
  <c r="BX18" i="9" s="1"/>
  <c r="AK15" i="11"/>
  <c r="CI10" i="11"/>
  <c r="AA6" i="11"/>
  <c r="Y6" i="11"/>
  <c r="Z6" i="11"/>
  <c r="S6" i="11"/>
  <c r="W6" i="11"/>
  <c r="U6" i="11"/>
  <c r="AB6" i="11"/>
  <c r="AA4" i="8"/>
  <c r="Z4" i="8"/>
  <c r="S4" i="8"/>
  <c r="AB4" i="8"/>
  <c r="Y4" i="8"/>
  <c r="W4" i="8"/>
  <c r="U4" i="8"/>
  <c r="S22" i="11"/>
  <c r="AA22" i="11"/>
  <c r="Z22" i="11"/>
  <c r="Y22" i="11"/>
  <c r="W22" i="11"/>
  <c r="U22" i="11"/>
  <c r="AB22" i="11"/>
  <c r="AA17" i="11"/>
  <c r="CG9" i="9"/>
  <c r="Q12" i="11"/>
  <c r="U12" i="11" s="1"/>
  <c r="Q10" i="8"/>
  <c r="S10" i="8" s="1"/>
  <c r="Q5" i="11"/>
  <c r="U5" i="11" s="1"/>
  <c r="Q11" i="9"/>
  <c r="S11" i="9" s="1"/>
  <c r="AK6" i="11"/>
  <c r="AI13" i="8"/>
  <c r="AK3" i="14"/>
  <c r="AL3" i="14" s="1"/>
  <c r="Q5" i="8"/>
  <c r="W5" i="8" s="1"/>
  <c r="CG13" i="10"/>
  <c r="Q3" i="8"/>
  <c r="N45" i="10"/>
  <c r="Q18" i="10" s="1"/>
  <c r="M45" i="10"/>
  <c r="Q9" i="10"/>
  <c r="Y9" i="10" s="1"/>
  <c r="AI9" i="8"/>
  <c r="AI8" i="8"/>
  <c r="Q22" i="8"/>
  <c r="U22" i="8" s="1"/>
  <c r="CG18" i="9"/>
  <c r="Z21" i="11"/>
  <c r="AA21" i="11"/>
  <c r="Y21" i="11"/>
  <c r="S21" i="11"/>
  <c r="U21" i="11"/>
  <c r="AB21" i="11"/>
  <c r="W21" i="11"/>
  <c r="U18" i="8"/>
  <c r="AI12" i="8"/>
  <c r="CE13" i="8"/>
  <c r="AI23" i="8"/>
  <c r="Q15" i="9"/>
  <c r="AB15" i="9" s="1"/>
  <c r="Q23" i="11"/>
  <c r="Y23" i="11" s="1"/>
  <c r="AJ8" i="9"/>
  <c r="BX8" i="9" s="1"/>
  <c r="CJ15" i="10"/>
  <c r="AI19" i="8"/>
  <c r="Q6" i="8"/>
  <c r="U6" i="8" s="1"/>
  <c r="AK8" i="11"/>
  <c r="AL8" i="11" s="1"/>
  <c r="M49" i="10"/>
  <c r="CH7" i="10"/>
  <c r="CJ3" i="10"/>
  <c r="CH15" i="10"/>
  <c r="M46" i="10"/>
  <c r="CK17" i="10"/>
  <c r="CI17" i="11"/>
  <c r="Q11" i="10"/>
  <c r="AA11" i="10" s="1"/>
  <c r="AI3" i="8"/>
  <c r="Q5" i="9"/>
  <c r="U5" i="9" s="1"/>
  <c r="AK17" i="14"/>
  <c r="AL17" i="14" s="1"/>
  <c r="AK5" i="11"/>
  <c r="AK10" i="11"/>
  <c r="AL10" i="11" s="1"/>
  <c r="AJ9" i="9"/>
  <c r="BX9" i="9" s="1"/>
  <c r="CI4" i="11"/>
  <c r="AJ10" i="9"/>
  <c r="BX10" i="9" s="1"/>
  <c r="Q9" i="8"/>
  <c r="AA9" i="8" s="1"/>
  <c r="AJ19" i="9"/>
  <c r="BX19" i="9" s="1"/>
  <c r="AI15" i="8"/>
  <c r="Q13" i="14"/>
  <c r="AA13" i="14" s="1"/>
  <c r="Q16" i="8"/>
  <c r="AK17" i="11"/>
  <c r="AL17" i="11" s="1"/>
  <c r="CJ11" i="10"/>
  <c r="Q22" i="9"/>
  <c r="AA22" i="9" s="1"/>
  <c r="CG20" i="10"/>
  <c r="M50" i="10"/>
  <c r="CK8" i="10"/>
  <c r="Q15" i="11"/>
  <c r="Q12" i="8"/>
  <c r="BD47" i="14"/>
  <c r="Z15" i="14"/>
  <c r="U17" i="14"/>
  <c r="Z17" i="14"/>
  <c r="Y17" i="14"/>
  <c r="AB17" i="14"/>
  <c r="S17" i="14"/>
  <c r="AA17" i="14"/>
  <c r="W17" i="14"/>
  <c r="Q18" i="14"/>
  <c r="W18" i="14" s="1"/>
  <c r="W12" i="14"/>
  <c r="CL10" i="14"/>
  <c r="AK6" i="14"/>
  <c r="AL6" i="14" s="1"/>
  <c r="AK15" i="14"/>
  <c r="AL15" i="14" s="1"/>
  <c r="Q22" i="14"/>
  <c r="AA22" i="14" s="1"/>
  <c r="Y5" i="14"/>
  <c r="S5" i="14"/>
  <c r="AA5" i="14"/>
  <c r="Z5" i="14"/>
  <c r="AB5" i="14"/>
  <c r="W5" i="14"/>
  <c r="U5" i="14"/>
  <c r="Q10" i="14"/>
  <c r="S10" i="14" s="1"/>
  <c r="Q4" i="14"/>
  <c r="Y4" i="14" s="1"/>
  <c r="AK5" i="14"/>
  <c r="AL5" i="14" s="1"/>
  <c r="S12" i="14"/>
  <c r="Y12" i="14"/>
  <c r="CL3" i="14"/>
  <c r="CL18" i="14"/>
  <c r="AB12" i="14"/>
  <c r="CL15" i="14"/>
  <c r="CL20" i="14"/>
  <c r="Q14" i="14"/>
  <c r="CL4" i="14"/>
  <c r="Q11" i="14"/>
  <c r="AB11" i="14" s="1"/>
  <c r="Q23" i="14"/>
  <c r="CL16" i="14"/>
  <c r="Q19" i="14"/>
  <c r="Q6" i="14"/>
  <c r="W6" i="14" s="1"/>
  <c r="CL21" i="14"/>
  <c r="Q21" i="14"/>
  <c r="U21" i="14" s="1"/>
  <c r="CL11" i="14"/>
  <c r="U12" i="14"/>
  <c r="AK21" i="14"/>
  <c r="AL21" i="14" s="1"/>
  <c r="Z12" i="14"/>
  <c r="CL14" i="14"/>
  <c r="CL12" i="14"/>
  <c r="BD37" i="14"/>
  <c r="AK22" i="14"/>
  <c r="AL22" i="14" s="1"/>
  <c r="W15" i="14"/>
  <c r="AK18" i="14"/>
  <c r="AL18" i="14" s="1"/>
  <c r="CL13" i="14"/>
  <c r="AA15" i="14"/>
  <c r="CL5" i="14"/>
  <c r="CL2" i="14"/>
  <c r="U13" i="14"/>
  <c r="AK9" i="14"/>
  <c r="AL9" i="14" s="1"/>
  <c r="CL23" i="14"/>
  <c r="AU3" i="14"/>
  <c r="AX3" i="14" s="1"/>
  <c r="Q8" i="14"/>
  <c r="U8" i="14" s="1"/>
  <c r="AV17" i="14"/>
  <c r="AK8" i="14"/>
  <c r="AL8" i="14" s="1"/>
  <c r="Q16" i="14"/>
  <c r="U16" i="14" s="1"/>
  <c r="Q20" i="14"/>
  <c r="U20" i="14" s="1"/>
  <c r="AV15" i="14"/>
  <c r="AK19" i="14"/>
  <c r="AL19" i="14" s="1"/>
  <c r="Q3" i="14"/>
  <c r="AT4" i="14"/>
  <c r="BD39" i="14"/>
  <c r="AK11" i="14"/>
  <c r="AL11" i="14" s="1"/>
  <c r="Q7" i="14"/>
  <c r="U7" i="14" s="1"/>
  <c r="CL17" i="14"/>
  <c r="AR8" i="14"/>
  <c r="AZ8" i="14" s="1"/>
  <c r="AT3" i="14"/>
  <c r="AV6" i="14"/>
  <c r="AU4" i="14"/>
  <c r="AX4" i="14" s="1"/>
  <c r="AR22" i="14"/>
  <c r="AZ22" i="14" s="1"/>
  <c r="AR19" i="14"/>
  <c r="AZ19" i="14" s="1"/>
  <c r="AR7" i="14"/>
  <c r="AZ7" i="14" s="1"/>
  <c r="AR16" i="14"/>
  <c r="AZ16" i="14" s="1"/>
  <c r="Q9" i="14"/>
  <c r="AT6" i="14"/>
  <c r="AV4" i="14"/>
  <c r="AK13" i="14"/>
  <c r="AL13" i="14" s="1"/>
  <c r="AU17" i="14"/>
  <c r="AX17" i="14" s="1"/>
  <c r="AR20" i="14"/>
  <c r="AZ20" i="14" s="1"/>
  <c r="AT5" i="14"/>
  <c r="CL9" i="14"/>
  <c r="AU6" i="14"/>
  <c r="AX6" i="14" s="1"/>
  <c r="AR10" i="14"/>
  <c r="AZ10" i="14" s="1"/>
  <c r="AK23" i="14"/>
  <c r="AL23" i="14" s="1"/>
  <c r="AR14" i="14"/>
  <c r="AZ14" i="14" s="1"/>
  <c r="AK14" i="14"/>
  <c r="AL14" i="14" s="1"/>
  <c r="AT17" i="14"/>
  <c r="AR18" i="14"/>
  <c r="AZ18" i="14" s="1"/>
  <c r="AU5" i="14"/>
  <c r="AX5" i="14" s="1"/>
  <c r="AK12" i="14"/>
  <c r="AL12" i="14" s="1"/>
  <c r="AK10" i="14"/>
  <c r="AL10" i="14" s="1"/>
  <c r="AV5" i="14"/>
  <c r="AK16" i="14"/>
  <c r="AL16" i="14" s="1"/>
  <c r="CL19" i="14"/>
  <c r="AU15" i="14"/>
  <c r="AX15" i="14" s="1"/>
  <c r="AR23" i="14"/>
  <c r="AZ23" i="14" s="1"/>
  <c r="AT15" i="14"/>
  <c r="AK20" i="14"/>
  <c r="AL20" i="14" s="1"/>
  <c r="AR11" i="14"/>
  <c r="AZ11" i="14" s="1"/>
  <c r="AR13" i="14"/>
  <c r="AZ13" i="14" s="1"/>
  <c r="AK7" i="14"/>
  <c r="AL7" i="14" s="1"/>
  <c r="AR12" i="14"/>
  <c r="AZ12" i="14" s="1"/>
  <c r="AR21" i="14"/>
  <c r="AZ21" i="14" s="1"/>
  <c r="CL7" i="14"/>
  <c r="AR9" i="14"/>
  <c r="AZ9" i="14" s="1"/>
  <c r="CL8" i="14"/>
  <c r="AV3" i="14"/>
  <c r="CG10" i="9"/>
  <c r="CE9" i="8"/>
  <c r="CI16" i="11"/>
  <c r="CI6" i="11"/>
  <c r="CG11" i="10"/>
  <c r="CG18" i="10"/>
  <c r="CG17" i="9"/>
  <c r="CI21" i="11"/>
  <c r="CG8" i="10"/>
  <c r="CE5" i="8"/>
  <c r="CG16" i="10"/>
  <c r="CG14" i="9"/>
  <c r="CG15" i="10"/>
  <c r="CG2" i="9"/>
  <c r="CG8" i="9"/>
  <c r="CG6" i="10"/>
  <c r="CG2" i="10"/>
  <c r="CG4" i="10"/>
  <c r="CI5" i="11"/>
  <c r="BA36" i="8"/>
  <c r="BA38" i="8"/>
  <c r="CG10" i="10"/>
  <c r="CG22" i="10"/>
  <c r="CG6" i="9"/>
  <c r="CG19" i="10"/>
  <c r="CG7" i="9"/>
  <c r="CE22" i="8"/>
  <c r="CI18" i="11"/>
  <c r="CI19" i="11"/>
  <c r="AB6" i="10"/>
  <c r="AA6" i="10"/>
  <c r="Y6" i="10"/>
  <c r="W6" i="10"/>
  <c r="S6" i="10"/>
  <c r="Z6" i="10"/>
  <c r="Z16" i="9"/>
  <c r="Y16" i="9"/>
  <c r="S16" i="9"/>
  <c r="AA16" i="9"/>
  <c r="AB16" i="9"/>
  <c r="W16" i="9"/>
  <c r="U16" i="9"/>
  <c r="AA11" i="9"/>
  <c r="Y11" i="9"/>
  <c r="U11" i="9"/>
  <c r="Y8" i="9"/>
  <c r="S8" i="9"/>
  <c r="AB8" i="9"/>
  <c r="AA8" i="9"/>
  <c r="Z8" i="9"/>
  <c r="W8" i="9"/>
  <c r="U8" i="9"/>
  <c r="AP7" i="9"/>
  <c r="AY7" i="9" s="1"/>
  <c r="AP18" i="9"/>
  <c r="AY18" i="9" s="1"/>
  <c r="U6" i="10"/>
  <c r="AC18" i="10"/>
  <c r="CJ18" i="10" s="1"/>
  <c r="AE18" i="10"/>
  <c r="CH18" i="10" s="1"/>
  <c r="AL18" i="10"/>
  <c r="AD18" i="10"/>
  <c r="CK18" i="10" s="1"/>
  <c r="V18" i="10"/>
  <c r="R18" i="10"/>
  <c r="T18" i="10" s="1"/>
  <c r="AP23" i="9"/>
  <c r="AY23" i="9" s="1"/>
  <c r="AK16" i="11"/>
  <c r="AL16" i="11" s="1"/>
  <c r="AF11" i="10"/>
  <c r="X11" i="10"/>
  <c r="AG11" i="10"/>
  <c r="AH11" i="10"/>
  <c r="S13" i="8"/>
  <c r="AB13" i="8"/>
  <c r="AA13" i="8"/>
  <c r="Z13" i="8"/>
  <c r="Y13" i="8"/>
  <c r="W13" i="8"/>
  <c r="AO9" i="8"/>
  <c r="AW9" i="8" s="1"/>
  <c r="Z11" i="10"/>
  <c r="S11" i="10"/>
  <c r="AB11" i="10"/>
  <c r="AR8" i="11"/>
  <c r="AZ8" i="11" s="1"/>
  <c r="AA12" i="9"/>
  <c r="Y12" i="9"/>
  <c r="AB12" i="9"/>
  <c r="Z12" i="9"/>
  <c r="S12" i="9"/>
  <c r="W12" i="9"/>
  <c r="CK10" i="10"/>
  <c r="AP6" i="9"/>
  <c r="AY6" i="9" s="1"/>
  <c r="AK14" i="11"/>
  <c r="AL14" i="11" s="1"/>
  <c r="AH6" i="10"/>
  <c r="X6" i="10"/>
  <c r="AF6" i="10"/>
  <c r="AG6" i="10"/>
  <c r="AO22" i="8"/>
  <c r="AW22" i="8" s="1"/>
  <c r="CG4" i="9"/>
  <c r="AO20" i="8"/>
  <c r="AW20" i="8" s="1"/>
  <c r="Q8" i="10"/>
  <c r="AO17" i="8"/>
  <c r="AW17" i="8" s="1"/>
  <c r="AR22" i="11"/>
  <c r="AZ22" i="11" s="1"/>
  <c r="S5" i="10"/>
  <c r="AA5" i="10"/>
  <c r="Z5" i="10"/>
  <c r="AB5" i="10"/>
  <c r="Y5" i="10"/>
  <c r="W5" i="10"/>
  <c r="CE7" i="8"/>
  <c r="CE12" i="8"/>
  <c r="U12" i="9"/>
  <c r="AD23" i="10"/>
  <c r="CK23" i="10" s="1"/>
  <c r="AL23" i="10"/>
  <c r="AE23" i="10"/>
  <c r="CH23" i="10" s="1"/>
  <c r="AC23" i="10"/>
  <c r="CJ23" i="10" s="1"/>
  <c r="V23" i="10"/>
  <c r="R23" i="10"/>
  <c r="T23" i="10" s="1"/>
  <c r="CJ8" i="10"/>
  <c r="CH6" i="10"/>
  <c r="Y9" i="8"/>
  <c r="AB19" i="9"/>
  <c r="Z19" i="9"/>
  <c r="AA19" i="9"/>
  <c r="Y19" i="9"/>
  <c r="S19" i="9"/>
  <c r="AJ23" i="9"/>
  <c r="BX23" i="9" s="1"/>
  <c r="AM12" i="10"/>
  <c r="AN12" i="10" s="1"/>
  <c r="AQ12" i="10" s="1"/>
  <c r="AO12" i="10"/>
  <c r="AB18" i="11"/>
  <c r="AA18" i="11"/>
  <c r="Z18" i="11"/>
  <c r="Y18" i="11"/>
  <c r="S18" i="11"/>
  <c r="W18" i="11"/>
  <c r="AL19" i="10"/>
  <c r="AC19" i="10"/>
  <c r="CJ19" i="10" s="1"/>
  <c r="V19" i="10"/>
  <c r="AE19" i="10"/>
  <c r="CH19" i="10" s="1"/>
  <c r="R19" i="10"/>
  <c r="T19" i="10" s="1"/>
  <c r="AD19" i="10"/>
  <c r="CK19" i="10" s="1"/>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L22" i="11" s="1"/>
  <c r="AP9" i="9"/>
  <c r="AY9" i="9" s="1"/>
  <c r="AJ20" i="9"/>
  <c r="BX20" i="9" s="1"/>
  <c r="AK19" i="11"/>
  <c r="AL19" i="11" s="1"/>
  <c r="U12" i="10"/>
  <c r="S4" i="9"/>
  <c r="Z4" i="9"/>
  <c r="AB4" i="9"/>
  <c r="AA4" i="9"/>
  <c r="Y4" i="9"/>
  <c r="W4" i="9"/>
  <c r="AB23" i="9"/>
  <c r="AA23" i="9"/>
  <c r="Y23" i="9"/>
  <c r="Z23" i="9"/>
  <c r="S23" i="9"/>
  <c r="W23" i="9"/>
  <c r="AI16" i="8"/>
  <c r="CI11" i="11"/>
  <c r="AA17" i="8"/>
  <c r="Z17" i="8"/>
  <c r="AB17" i="8"/>
  <c r="Y17" i="8"/>
  <c r="S17" i="8"/>
  <c r="W17" i="8"/>
  <c r="CG5" i="10"/>
  <c r="Q7" i="11"/>
  <c r="N43" i="10"/>
  <c r="AR13" i="11"/>
  <c r="AZ13" i="11" s="1"/>
  <c r="AI10" i="8"/>
  <c r="CE23" i="8"/>
  <c r="AK18" i="11"/>
  <c r="AL18" i="11" s="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S22" i="9"/>
  <c r="W22" i="9"/>
  <c r="AR7" i="11"/>
  <c r="AZ7" i="11" s="1"/>
  <c r="AO13" i="8"/>
  <c r="AW13" i="8" s="1"/>
  <c r="S12" i="10"/>
  <c r="AB12" i="10"/>
  <c r="Z12" i="10"/>
  <c r="Y12" i="10"/>
  <c r="AA12" i="10"/>
  <c r="W12" i="10"/>
  <c r="Q20" i="8"/>
  <c r="R16" i="10"/>
  <c r="T16" i="10" s="1"/>
  <c r="AE16" i="10"/>
  <c r="CH16" i="10" s="1"/>
  <c r="AC16" i="10"/>
  <c r="CJ16" i="10" s="1"/>
  <c r="V16" i="10"/>
  <c r="AL16" i="10"/>
  <c r="AD16" i="10"/>
  <c r="CK16" i="10" s="1"/>
  <c r="AO8" i="8"/>
  <c r="AW8" i="8" s="1"/>
  <c r="Q3" i="11"/>
  <c r="AO14" i="8"/>
  <c r="AW14" i="8" s="1"/>
  <c r="AR19" i="11"/>
  <c r="AZ19" i="11" s="1"/>
  <c r="AP15" i="9"/>
  <c r="AY15" i="9" s="1"/>
  <c r="AH3" i="10"/>
  <c r="X3" i="10"/>
  <c r="AG3" i="10"/>
  <c r="AF3" i="10"/>
  <c r="CI22" i="11"/>
  <c r="AJ3" i="9"/>
  <c r="BX3" i="9" s="1"/>
  <c r="CE17" i="8"/>
  <c r="CG16" i="9"/>
  <c r="AO6" i="8"/>
  <c r="AW6" i="8" s="1"/>
  <c r="AC21" i="10"/>
  <c r="CJ21" i="10" s="1"/>
  <c r="AD21" i="10"/>
  <c r="CK21" i="10" s="1"/>
  <c r="AL21" i="10"/>
  <c r="AE21" i="10"/>
  <c r="CH21" i="10" s="1"/>
  <c r="V21" i="10"/>
  <c r="R21" i="10"/>
  <c r="T21" i="10" s="1"/>
  <c r="X15" i="10"/>
  <c r="AF15" i="10"/>
  <c r="AH15" i="10"/>
  <c r="AG15" i="10"/>
  <c r="CH4" i="10"/>
  <c r="AP8" i="9"/>
  <c r="AY8" i="9" s="1"/>
  <c r="BB36" i="10"/>
  <c r="AO16" i="8"/>
  <c r="AW16" i="8" s="1"/>
  <c r="AJ4" i="9"/>
  <c r="BX4" i="9" s="1"/>
  <c r="N49" i="10"/>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A6" i="8"/>
  <c r="Z6" i="8"/>
  <c r="W6" i="8"/>
  <c r="CI13" i="11"/>
  <c r="AK3" i="11"/>
  <c r="AL3" i="11" s="1"/>
  <c r="CG7" i="10"/>
  <c r="AR14" i="11"/>
  <c r="AZ14" i="11" s="1"/>
  <c r="AK9" i="11"/>
  <c r="AL9" i="11" s="1"/>
  <c r="Q7" i="8"/>
  <c r="AI4" i="8"/>
  <c r="AI11" i="8"/>
  <c r="AJ7" i="9"/>
  <c r="BX7" i="9" s="1"/>
  <c r="AA14" i="8"/>
  <c r="Z14" i="8"/>
  <c r="Y14" i="8"/>
  <c r="S14" i="8"/>
  <c r="AB14" i="8"/>
  <c r="W14" i="8"/>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Y21" i="9"/>
  <c r="S21" i="9"/>
  <c r="AB9" i="9"/>
  <c r="AA9" i="9"/>
  <c r="Z9" i="9"/>
  <c r="Y9" i="9"/>
  <c r="S9" i="9"/>
  <c r="W9" i="9"/>
  <c r="AR4" i="11"/>
  <c r="AZ4" i="11" s="1"/>
  <c r="AO21" i="8"/>
  <c r="AW21" i="8" s="1"/>
  <c r="AK4" i="11"/>
  <c r="AL4" i="11" s="1"/>
  <c r="AO19" i="8"/>
  <c r="AW19" i="8" s="1"/>
  <c r="CH13" i="10"/>
  <c r="CK4" i="10"/>
  <c r="AP5" i="9"/>
  <c r="AY5" i="9" s="1"/>
  <c r="CE19" i="8"/>
  <c r="Z10" i="9"/>
  <c r="S10" i="9"/>
  <c r="AB10" i="9"/>
  <c r="AA10" i="9"/>
  <c r="Y10" i="9"/>
  <c r="W10" i="9"/>
  <c r="AK20" i="11"/>
  <c r="AL20" i="11" s="1"/>
  <c r="M47" i="10"/>
  <c r="AB16" i="11"/>
  <c r="AA16" i="11"/>
  <c r="Z16" i="11"/>
  <c r="Y16" i="11"/>
  <c r="S16" i="11"/>
  <c r="W16" i="11"/>
  <c r="AR15" i="11"/>
  <c r="AZ15" i="11" s="1"/>
  <c r="AP3" i="9"/>
  <c r="AY3" i="9" s="1"/>
  <c r="AR10" i="11"/>
  <c r="AZ10" i="11" s="1"/>
  <c r="CG20" i="9"/>
  <c r="AR16" i="11"/>
  <c r="AZ16" i="11" s="1"/>
  <c r="Q10" i="10"/>
  <c r="U10" i="10" s="1"/>
  <c r="AO9" i="10"/>
  <c r="AM9" i="10"/>
  <c r="AN9" i="10" s="1"/>
  <c r="AQ9" i="10" s="1"/>
  <c r="BC38" i="9"/>
  <c r="AI18" i="8"/>
  <c r="CI14" i="11"/>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AO12" i="8"/>
  <c r="AW12" i="8" s="1"/>
  <c r="AI17" i="8"/>
  <c r="AB5" i="9"/>
  <c r="Z5" i="9"/>
  <c r="AA5" i="9"/>
  <c r="Y5" i="9"/>
  <c r="W5" i="9"/>
  <c r="AK12" i="11"/>
  <c r="AL12" i="11" s="1"/>
  <c r="AJ17" i="9"/>
  <c r="BX17" i="9" s="1"/>
  <c r="CG17" i="10"/>
  <c r="AR3" i="11"/>
  <c r="AZ3" i="11" s="1"/>
  <c r="AJ5" i="9"/>
  <c r="BX5" i="9" s="1"/>
  <c r="CE8" i="8"/>
  <c r="M41" i="10"/>
  <c r="AP13" i="9"/>
  <c r="AY13" i="9" s="1"/>
  <c r="U17" i="8"/>
  <c r="CE4" i="8"/>
  <c r="AL15" i="11"/>
  <c r="U8" i="11"/>
  <c r="U20" i="11"/>
  <c r="N41" i="10"/>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U10" i="8"/>
  <c r="U5" i="10"/>
  <c r="AJ12" i="9"/>
  <c r="BX12" i="9" s="1"/>
  <c r="Q11" i="11"/>
  <c r="Q3" i="10"/>
  <c r="U3" i="10" s="1"/>
  <c r="CE11" i="8"/>
  <c r="AP12" i="9"/>
  <c r="AY12" i="9" s="1"/>
  <c r="CH17" i="10"/>
  <c r="CI20" i="11"/>
  <c r="R14" i="10"/>
  <c r="T14" i="10" s="1"/>
  <c r="AE14" i="10"/>
  <c r="CH14" i="10" s="1"/>
  <c r="AC14" i="10"/>
  <c r="CJ14" i="10" s="1"/>
  <c r="AD14" i="10"/>
  <c r="CK14" i="10" s="1"/>
  <c r="V14" i="10"/>
  <c r="AL14" i="10"/>
  <c r="AJ21" i="9"/>
  <c r="BX21" i="9" s="1"/>
  <c r="CK12" i="10"/>
  <c r="N47" i="10"/>
  <c r="AP10" i="9"/>
  <c r="AY10" i="9" s="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U22" i="9"/>
  <c r="AO4" i="10"/>
  <c r="AM4" i="10"/>
  <c r="AN4" i="10" s="1"/>
  <c r="AQ4" i="10" s="1"/>
  <c r="U13" i="8"/>
  <c r="Y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F10" i="10"/>
  <c r="AI14" i="8"/>
  <c r="AM11" i="10"/>
  <c r="AN11" i="10" s="1"/>
  <c r="AQ11" i="10" s="1"/>
  <c r="AO11" i="10"/>
  <c r="U9" i="8"/>
  <c r="AP20" i="9"/>
  <c r="AY20" i="9" s="1"/>
  <c r="AO10" i="8"/>
  <c r="AW10" i="8" s="1"/>
  <c r="AP22" i="9"/>
  <c r="AY22" i="9" s="1"/>
  <c r="AO15" i="8"/>
  <c r="AW15" i="8" s="1"/>
  <c r="AF13" i="10"/>
  <c r="AH13" i="10"/>
  <c r="X13" i="10"/>
  <c r="AG13" i="10"/>
  <c r="N46" i="10"/>
  <c r="CJ17" i="10"/>
  <c r="AP17" i="9"/>
  <c r="AY17" i="9" s="1"/>
  <c r="AI20" i="8"/>
  <c r="Q7" i="9"/>
  <c r="AL7" i="11"/>
  <c r="N50" i="10"/>
  <c r="Q23" i="10" s="1"/>
  <c r="CG12" i="10"/>
  <c r="CH10" i="10"/>
  <c r="CJ6" i="10"/>
  <c r="U21" i="8" l="1"/>
  <c r="AB9" i="8"/>
  <c r="W21" i="8"/>
  <c r="W15" i="9"/>
  <c r="Z21" i="8"/>
  <c r="Z9" i="8"/>
  <c r="Y15" i="9"/>
  <c r="AA21" i="8"/>
  <c r="Q19" i="10"/>
  <c r="Z15" i="9"/>
  <c r="W11" i="10"/>
  <c r="S5" i="8"/>
  <c r="AA18" i="8"/>
  <c r="AA15" i="9"/>
  <c r="AB18" i="8"/>
  <c r="S23" i="11"/>
  <c r="U15" i="9"/>
  <c r="Y11" i="10"/>
  <c r="Z23" i="11"/>
  <c r="AA23" i="11"/>
  <c r="AB23" i="11"/>
  <c r="Y13" i="14"/>
  <c r="U17" i="11"/>
  <c r="S9" i="8"/>
  <c r="U23" i="11"/>
  <c r="Z17" i="11"/>
  <c r="S21" i="8"/>
  <c r="W15" i="8"/>
  <c r="W18" i="8"/>
  <c r="W17" i="11"/>
  <c r="S18" i="8"/>
  <c r="W21" i="9"/>
  <c r="Q16" i="10"/>
  <c r="Y18" i="8"/>
  <c r="W5" i="11"/>
  <c r="S5" i="11"/>
  <c r="AA21" i="9"/>
  <c r="AW3" i="14"/>
  <c r="Z5" i="11"/>
  <c r="AB9" i="10"/>
  <c r="AB21" i="9"/>
  <c r="W10" i="8"/>
  <c r="AY4" i="14"/>
  <c r="AA5" i="11"/>
  <c r="Z21" i="9"/>
  <c r="Y10" i="8"/>
  <c r="AW17" i="14"/>
  <c r="AA9" i="10"/>
  <c r="AA10" i="8"/>
  <c r="AW4" i="14"/>
  <c r="AB5" i="11"/>
  <c r="Z10" i="8"/>
  <c r="Y17" i="11"/>
  <c r="AB6" i="8"/>
  <c r="Z22" i="9"/>
  <c r="W9" i="8"/>
  <c r="AY3" i="14"/>
  <c r="AB15" i="14"/>
  <c r="S17" i="11"/>
  <c r="AB22" i="9"/>
  <c r="AA5" i="8"/>
  <c r="W11" i="9"/>
  <c r="AA15" i="8"/>
  <c r="Y15" i="8"/>
  <c r="S5" i="9"/>
  <c r="S15" i="9"/>
  <c r="Y15" i="14"/>
  <c r="AQ17" i="8"/>
  <c r="AT17" i="8" s="1"/>
  <c r="AR17" i="8"/>
  <c r="AU17" i="8" s="1"/>
  <c r="S8" i="14"/>
  <c r="S15" i="8"/>
  <c r="Q22" i="10"/>
  <c r="AA22" i="10" s="1"/>
  <c r="U9" i="10"/>
  <c r="Z15" i="8"/>
  <c r="Y22" i="9"/>
  <c r="AB10" i="8"/>
  <c r="W4" i="14"/>
  <c r="AB15" i="8"/>
  <c r="Y15" i="10"/>
  <c r="AA4" i="14"/>
  <c r="Z15" i="10"/>
  <c r="AB15" i="10"/>
  <c r="W15" i="10"/>
  <c r="S15" i="10"/>
  <c r="AW6" i="14"/>
  <c r="AB6" i="14"/>
  <c r="U15" i="14"/>
  <c r="AA15" i="10"/>
  <c r="AB8" i="14"/>
  <c r="Z11" i="9"/>
  <c r="Z13" i="14"/>
  <c r="S3" i="8"/>
  <c r="U3" i="8"/>
  <c r="AB3" i="8"/>
  <c r="AA3" i="8"/>
  <c r="Z3" i="8"/>
  <c r="Y3" i="8"/>
  <c r="W3" i="8"/>
  <c r="AS10" i="9"/>
  <c r="AW10" i="9" s="1"/>
  <c r="AI10" i="10"/>
  <c r="AJ10" i="10" s="1"/>
  <c r="AI11" i="10"/>
  <c r="AJ11" i="10" s="1"/>
  <c r="W23" i="11"/>
  <c r="S13" i="14"/>
  <c r="AB13" i="14"/>
  <c r="U5" i="8"/>
  <c r="Y5" i="8"/>
  <c r="W13" i="14"/>
  <c r="AR3" i="8"/>
  <c r="AU3" i="8" s="1"/>
  <c r="AW15" i="14"/>
  <c r="AB4" i="14"/>
  <c r="S4" i="14"/>
  <c r="AI12" i="10"/>
  <c r="AB11" i="9"/>
  <c r="AB5" i="8"/>
  <c r="Z9" i="10"/>
  <c r="W9" i="10"/>
  <c r="AI15" i="10"/>
  <c r="BA34" i="8"/>
  <c r="B18" i="12" s="1"/>
  <c r="Z5" i="8"/>
  <c r="U18" i="14"/>
  <c r="U12" i="8"/>
  <c r="AA12" i="8"/>
  <c r="Y12" i="8"/>
  <c r="AB12" i="8"/>
  <c r="S12" i="8"/>
  <c r="W12" i="8"/>
  <c r="Z12" i="8"/>
  <c r="AA16" i="14"/>
  <c r="AA15" i="11"/>
  <c r="W15" i="11"/>
  <c r="Y15" i="11"/>
  <c r="U15" i="11"/>
  <c r="S15" i="11"/>
  <c r="AB15" i="11"/>
  <c r="Z15" i="11"/>
  <c r="Y16" i="14"/>
  <c r="AB18" i="14"/>
  <c r="Z16" i="14"/>
  <c r="AI6" i="10"/>
  <c r="AJ6" i="10" s="1"/>
  <c r="AB16" i="14"/>
  <c r="AI9" i="10"/>
  <c r="AQ3" i="8"/>
  <c r="AT3" i="8" s="1"/>
  <c r="AR23" i="9"/>
  <c r="AV23" i="9" s="1"/>
  <c r="Y18" i="14"/>
  <c r="AT5" i="9"/>
  <c r="AX5" i="9" s="1"/>
  <c r="AT13" i="11"/>
  <c r="AV8" i="11"/>
  <c r="AY8" i="11" s="1"/>
  <c r="S16" i="8"/>
  <c r="W16" i="8"/>
  <c r="Z16" i="8"/>
  <c r="U16" i="8"/>
  <c r="AB16" i="8"/>
  <c r="AA16" i="8"/>
  <c r="Y16" i="8"/>
  <c r="Q20" i="10"/>
  <c r="Z20" i="10" s="1"/>
  <c r="AY17" i="14"/>
  <c r="Q14" i="10"/>
  <c r="AB14" i="10" s="1"/>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M18" i="10"/>
  <c r="AN18" i="10" s="1"/>
  <c r="AQ18" i="10" s="1"/>
  <c r="AO18"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J7" i="10" s="1"/>
  <c r="AQ6" i="8"/>
  <c r="AT6" i="8" s="1"/>
  <c r="AQ14" i="8"/>
  <c r="AT14" i="8" s="1"/>
  <c r="AQ15" i="8"/>
  <c r="AT15" i="8" s="1"/>
  <c r="AT18" i="11"/>
  <c r="AW18" i="11" s="1"/>
  <c r="AR15" i="8"/>
  <c r="AU15" i="8" s="1"/>
  <c r="AT20" i="9"/>
  <c r="AX20" i="9" s="1"/>
  <c r="AI5" i="10"/>
  <c r="AU18" i="11"/>
  <c r="AX18" i="11" s="1"/>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AJ4" i="10" s="1"/>
  <c r="Z14" i="11"/>
  <c r="S14" i="11"/>
  <c r="AB14" i="11"/>
  <c r="AA14" i="11"/>
  <c r="Y14" i="11"/>
  <c r="W14" i="11"/>
  <c r="U14" i="11"/>
  <c r="U23" i="10"/>
  <c r="Z8" i="10"/>
  <c r="AA8" i="10"/>
  <c r="Y8" i="10"/>
  <c r="AB8" i="10"/>
  <c r="S8" i="10"/>
  <c r="W8" i="10"/>
  <c r="AS23" i="9"/>
  <c r="AW23" i="9" s="1"/>
  <c r="AI8" i="10"/>
  <c r="AJ8" i="10" s="1"/>
  <c r="AQ12" i="8"/>
  <c r="AT12" i="8" s="1"/>
  <c r="AR4" i="9"/>
  <c r="AV4" i="9" s="1"/>
  <c r="AP7" i="10"/>
  <c r="AX7" i="10" s="1"/>
  <c r="AA3" i="11"/>
  <c r="AB3" i="11"/>
  <c r="Z3" i="11"/>
  <c r="S3" i="11"/>
  <c r="Y3" i="11"/>
  <c r="W3" i="11"/>
  <c r="U3" i="11"/>
  <c r="AT9" i="9"/>
  <c r="AX9" i="9" s="1"/>
  <c r="AG19" i="10"/>
  <c r="AF19" i="10"/>
  <c r="AH19" i="10"/>
  <c r="X19" i="10"/>
  <c r="AG23" i="10"/>
  <c r="X23" i="10"/>
  <c r="AH23" i="10"/>
  <c r="AF23"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W22" i="10" l="1"/>
  <c r="AB22" i="10"/>
  <c r="U22" i="10"/>
  <c r="U14" i="10"/>
  <c r="W14" i="10"/>
  <c r="Z14" i="10"/>
  <c r="Y14" i="10"/>
  <c r="AA14" i="10"/>
  <c r="S22" i="10"/>
  <c r="S14" i="10"/>
  <c r="Z22" i="10"/>
  <c r="AI22" i="10"/>
  <c r="AJ22" i="10" s="1"/>
  <c r="AI19" i="10"/>
  <c r="AJ19" i="10" s="1"/>
  <c r="AI21" i="10"/>
  <c r="AJ21" i="10" s="1"/>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W3" i="10" s="1"/>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X6" i="7" s="1"/>
  <c r="Y6" i="7" s="1"/>
  <c r="Z5" i="13" s="1"/>
  <c r="B6" i="7"/>
  <c r="X7" i="7" s="1"/>
  <c r="Y7" i="7" s="1"/>
  <c r="Z6" i="13" s="1"/>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H21" i="4"/>
  <c r="BF21" i="4"/>
  <c r="BO21" i="4" s="1"/>
  <c r="BE21" i="4"/>
  <c r="BN21" i="4" s="1"/>
  <c r="N21" i="4"/>
  <c r="O21" i="4" s="1"/>
  <c r="I21" i="4"/>
  <c r="H21" i="4"/>
  <c r="J21" i="4" s="1"/>
  <c r="BP20" i="4"/>
  <c r="BJ20" i="4"/>
  <c r="BH20" i="4"/>
  <c r="BF20" i="4"/>
  <c r="BO20" i="4" s="1"/>
  <c r="BE20" i="4"/>
  <c r="BN20" i="4" s="1"/>
  <c r="N20" i="4"/>
  <c r="I20" i="4"/>
  <c r="H20" i="4"/>
  <c r="J20" i="4" s="1"/>
  <c r="BP19" i="4"/>
  <c r="BN19" i="4"/>
  <c r="BJ19" i="4"/>
  <c r="BS19" i="4" s="1"/>
  <c r="BH19" i="4"/>
  <c r="BF19" i="4"/>
  <c r="BO19" i="4" s="1"/>
  <c r="BE19" i="4"/>
  <c r="N19" i="4"/>
  <c r="I19" i="4"/>
  <c r="H19" i="4"/>
  <c r="J19" i="4" s="1"/>
  <c r="BP18" i="4"/>
  <c r="BJ18" i="4"/>
  <c r="BH18" i="4"/>
  <c r="BF18" i="4"/>
  <c r="BO18" i="4" s="1"/>
  <c r="BE18" i="4"/>
  <c r="BN18" i="4" s="1"/>
  <c r="N18" i="4"/>
  <c r="I18" i="4"/>
  <c r="H18" i="4"/>
  <c r="J18" i="4" s="1"/>
  <c r="BP17" i="4"/>
  <c r="BJ17" i="4"/>
  <c r="BH17" i="4"/>
  <c r="BF17" i="4"/>
  <c r="BO17" i="4" s="1"/>
  <c r="BE17" i="4"/>
  <c r="BN17" i="4" s="1"/>
  <c r="N17" i="4"/>
  <c r="I17" i="4"/>
  <c r="H17" i="4"/>
  <c r="J17" i="4" s="1"/>
  <c r="BP16" i="4"/>
  <c r="BJ16" i="4"/>
  <c r="BH16" i="4"/>
  <c r="BF16" i="4"/>
  <c r="BO16" i="4" s="1"/>
  <c r="BE16" i="4"/>
  <c r="BN16" i="4" s="1"/>
  <c r="N16" i="4"/>
  <c r="I16" i="4"/>
  <c r="H16" i="4"/>
  <c r="J16" i="4" s="1"/>
  <c r="BP15" i="4"/>
  <c r="BJ15" i="4"/>
  <c r="BH15" i="4"/>
  <c r="BF15" i="4"/>
  <c r="BO15" i="4" s="1"/>
  <c r="BE15" i="4"/>
  <c r="BN15" i="4" s="1"/>
  <c r="N15" i="4"/>
  <c r="I15" i="4"/>
  <c r="H15" i="4"/>
  <c r="J15" i="4" s="1"/>
  <c r="BP14" i="4"/>
  <c r="BJ14" i="4"/>
  <c r="BH14" i="4"/>
  <c r="BF14" i="4"/>
  <c r="BO14" i="4" s="1"/>
  <c r="BE14" i="4"/>
  <c r="BN14" i="4" s="1"/>
  <c r="N14" i="4"/>
  <c r="I14" i="4"/>
  <c r="H14" i="4"/>
  <c r="J14" i="4" s="1"/>
  <c r="BP13" i="4"/>
  <c r="BJ13" i="4"/>
  <c r="BH13" i="4"/>
  <c r="BF13" i="4"/>
  <c r="BO13" i="4" s="1"/>
  <c r="BE13" i="4"/>
  <c r="BN13" i="4" s="1"/>
  <c r="N13" i="4"/>
  <c r="I13" i="4"/>
  <c r="H13" i="4"/>
  <c r="J13" i="4" s="1"/>
  <c r="BP12" i="4"/>
  <c r="BJ12" i="4"/>
  <c r="BH12" i="4"/>
  <c r="BF12" i="4"/>
  <c r="BO12" i="4" s="1"/>
  <c r="BE12" i="4"/>
  <c r="BN12" i="4" s="1"/>
  <c r="N12" i="4"/>
  <c r="I12" i="4"/>
  <c r="H12" i="4"/>
  <c r="J12" i="4" s="1"/>
  <c r="BP11" i="4"/>
  <c r="BJ11" i="4"/>
  <c r="BH11" i="4"/>
  <c r="BF11" i="4"/>
  <c r="BO11" i="4" s="1"/>
  <c r="BE11" i="4"/>
  <c r="BN11" i="4" s="1"/>
  <c r="N11" i="4"/>
  <c r="I11" i="4"/>
  <c r="H11" i="4"/>
  <c r="J11" i="4" s="1"/>
  <c r="BP10" i="4"/>
  <c r="BJ10" i="4"/>
  <c r="BH10" i="4"/>
  <c r="BF10" i="4"/>
  <c r="BO10" i="4" s="1"/>
  <c r="BE10" i="4"/>
  <c r="BN10" i="4" s="1"/>
  <c r="N10" i="4"/>
  <c r="I10" i="4"/>
  <c r="H10" i="4"/>
  <c r="J10" i="4" s="1"/>
  <c r="BP9" i="4"/>
  <c r="BJ9" i="4"/>
  <c r="BH9" i="4"/>
  <c r="BF9" i="4"/>
  <c r="BO9" i="4" s="1"/>
  <c r="BE9" i="4"/>
  <c r="BN9" i="4" s="1"/>
  <c r="N9" i="4"/>
  <c r="I9" i="4"/>
  <c r="H9" i="4"/>
  <c r="J9" i="4" s="1"/>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J3" i="4"/>
  <c r="BH3" i="4"/>
  <c r="BF3" i="4"/>
  <c r="BO3" i="4" s="1"/>
  <c r="BE3" i="4"/>
  <c r="BN3" i="4" s="1"/>
  <c r="N3" i="4"/>
  <c r="O3" i="4" s="1"/>
  <c r="I3" i="4"/>
  <c r="H3" i="4"/>
  <c r="J3" i="4" s="1"/>
  <c r="BP2" i="4"/>
  <c r="BS2" i="4" s="1"/>
  <c r="BH2" i="4"/>
  <c r="BF2" i="4"/>
  <c r="BO2" i="4" s="1"/>
  <c r="BR2" i="4" s="1"/>
  <c r="BE2" i="4"/>
  <c r="BN2" i="4" s="1"/>
  <c r="BQ2" i="4" s="1"/>
  <c r="AN2" i="4"/>
  <c r="AO2" i="4" s="1"/>
  <c r="AE2" i="4"/>
  <c r="Y2" i="4"/>
  <c r="V2" i="4"/>
  <c r="R2" i="4"/>
  <c r="S2" i="4" s="1"/>
  <c r="N2" i="4"/>
  <c r="L2" i="4"/>
  <c r="I2" i="4"/>
  <c r="H2" i="4"/>
  <c r="B52" i="3"/>
  <c r="C44" i="3"/>
  <c r="B39" i="3"/>
  <c r="C43" i="3" s="1"/>
  <c r="C37" i="3"/>
  <c r="C35" i="3"/>
  <c r="AI31" i="3"/>
  <c r="AI30" i="3"/>
  <c r="B30" i="3"/>
  <c r="C34" i="3" s="1"/>
  <c r="AI29" i="3"/>
  <c r="AI28" i="3"/>
  <c r="X28" i="3"/>
  <c r="V25" i="3"/>
  <c r="M25" i="3"/>
  <c r="F25" i="3"/>
  <c r="E25" i="3"/>
  <c r="BN23" i="3"/>
  <c r="BH23" i="3"/>
  <c r="BF23" i="3"/>
  <c r="BD23" i="3"/>
  <c r="BM23" i="3" s="1"/>
  <c r="BC23" i="3"/>
  <c r="BL23" i="3" s="1"/>
  <c r="N23" i="3"/>
  <c r="O23" i="3" s="1"/>
  <c r="I23" i="3"/>
  <c r="H23" i="3"/>
  <c r="BN22" i="3"/>
  <c r="BH22" i="3"/>
  <c r="BF22" i="3"/>
  <c r="BD22" i="3"/>
  <c r="BM22" i="3" s="1"/>
  <c r="BC22" i="3"/>
  <c r="BL22" i="3" s="1"/>
  <c r="N22" i="3"/>
  <c r="I22" i="3"/>
  <c r="H22" i="3"/>
  <c r="BN21" i="3"/>
  <c r="BH21" i="3"/>
  <c r="BF21" i="3"/>
  <c r="BD21" i="3"/>
  <c r="BM21" i="3" s="1"/>
  <c r="BC21" i="3"/>
  <c r="BL21" i="3" s="1"/>
  <c r="N21" i="3"/>
  <c r="I21" i="3"/>
  <c r="H21" i="3"/>
  <c r="BN20" i="3"/>
  <c r="BH20" i="3"/>
  <c r="BF20" i="3"/>
  <c r="BD20" i="3"/>
  <c r="BM20" i="3" s="1"/>
  <c r="BC20" i="3"/>
  <c r="BL20" i="3" s="1"/>
  <c r="N20" i="3"/>
  <c r="I20" i="3"/>
  <c r="H20" i="3"/>
  <c r="BN19" i="3"/>
  <c r="BH19" i="3"/>
  <c r="BF19" i="3"/>
  <c r="BD19" i="3"/>
  <c r="BM19" i="3" s="1"/>
  <c r="BC19" i="3"/>
  <c r="BL19" i="3" s="1"/>
  <c r="N19" i="3"/>
  <c r="I19" i="3"/>
  <c r="H19" i="3"/>
  <c r="BN18" i="3"/>
  <c r="BH18" i="3"/>
  <c r="BF18" i="3"/>
  <c r="BD18" i="3"/>
  <c r="BM18" i="3" s="1"/>
  <c r="BC18" i="3"/>
  <c r="BL18" i="3" s="1"/>
  <c r="N18" i="3"/>
  <c r="I18" i="3"/>
  <c r="H18" i="3"/>
  <c r="BN17" i="3"/>
  <c r="BH17" i="3"/>
  <c r="BF17" i="3"/>
  <c r="BD17" i="3"/>
  <c r="BM17" i="3" s="1"/>
  <c r="BC17" i="3"/>
  <c r="BL17" i="3" s="1"/>
  <c r="N17" i="3"/>
  <c r="I17" i="3"/>
  <c r="H17" i="3"/>
  <c r="BN16" i="3"/>
  <c r="BH16" i="3"/>
  <c r="BF16" i="3"/>
  <c r="BD16" i="3"/>
  <c r="BM16" i="3" s="1"/>
  <c r="BC16" i="3"/>
  <c r="BL16" i="3" s="1"/>
  <c r="N16" i="3"/>
  <c r="I16" i="3"/>
  <c r="H16" i="3"/>
  <c r="BN15" i="3"/>
  <c r="BH15" i="3"/>
  <c r="BF15" i="3"/>
  <c r="BD15" i="3"/>
  <c r="BM15" i="3" s="1"/>
  <c r="BC15" i="3"/>
  <c r="BL15" i="3" s="1"/>
  <c r="N15" i="3"/>
  <c r="I15" i="3"/>
  <c r="H15" i="3"/>
  <c r="BN14" i="3"/>
  <c r="BH14" i="3"/>
  <c r="BF14" i="3"/>
  <c r="BD14" i="3"/>
  <c r="BM14" i="3" s="1"/>
  <c r="BC14" i="3"/>
  <c r="BL14" i="3" s="1"/>
  <c r="N14" i="3"/>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H10" i="3"/>
  <c r="BF10" i="3"/>
  <c r="BD10" i="3"/>
  <c r="BM10" i="3" s="1"/>
  <c r="BC10" i="3"/>
  <c r="BL10" i="3" s="1"/>
  <c r="N10" i="3"/>
  <c r="I10" i="3"/>
  <c r="H10" i="3"/>
  <c r="BN9" i="3"/>
  <c r="BH9" i="3"/>
  <c r="BF9" i="3"/>
  <c r="BD9" i="3"/>
  <c r="BM9" i="3" s="1"/>
  <c r="BC9" i="3"/>
  <c r="BL9" i="3" s="1"/>
  <c r="N9" i="3"/>
  <c r="I9" i="3"/>
  <c r="H9" i="3"/>
  <c r="BN8" i="3"/>
  <c r="BH8" i="3"/>
  <c r="BF8" i="3"/>
  <c r="BD8" i="3"/>
  <c r="BM8" i="3" s="1"/>
  <c r="BC8" i="3"/>
  <c r="BL8" i="3" s="1"/>
  <c r="N8" i="3"/>
  <c r="I8" i="3"/>
  <c r="H8" i="3"/>
  <c r="BN7" i="3"/>
  <c r="BH7" i="3"/>
  <c r="BF7" i="3"/>
  <c r="BD7" i="3"/>
  <c r="BM7" i="3" s="1"/>
  <c r="BC7" i="3"/>
  <c r="BL7" i="3" s="1"/>
  <c r="N7" i="3"/>
  <c r="I7" i="3"/>
  <c r="H7" i="3"/>
  <c r="BN6" i="3"/>
  <c r="BH6" i="3"/>
  <c r="BF6" i="3"/>
  <c r="BD6" i="3"/>
  <c r="BM6" i="3" s="1"/>
  <c r="BC6" i="3"/>
  <c r="BL6" i="3" s="1"/>
  <c r="N6" i="3"/>
  <c r="I6" i="3"/>
  <c r="H6" i="3"/>
  <c r="BN5" i="3"/>
  <c r="BH5" i="3"/>
  <c r="BF5" i="3"/>
  <c r="BD5" i="3"/>
  <c r="BM5" i="3" s="1"/>
  <c r="BC5" i="3"/>
  <c r="BL5" i="3" s="1"/>
  <c r="N5" i="3"/>
  <c r="I5" i="3"/>
  <c r="H5" i="3"/>
  <c r="BN4" i="3"/>
  <c r="BH4" i="3"/>
  <c r="BF4" i="3"/>
  <c r="BD4" i="3"/>
  <c r="BM4" i="3" s="1"/>
  <c r="BC4" i="3"/>
  <c r="BL4" i="3" s="1"/>
  <c r="N4" i="3"/>
  <c r="I4" i="3"/>
  <c r="H4" i="3"/>
  <c r="BN3" i="3"/>
  <c r="BM3" i="3"/>
  <c r="BH3" i="3"/>
  <c r="BF3" i="3"/>
  <c r="BD3" i="3"/>
  <c r="BC3" i="3"/>
  <c r="BL3" i="3" s="1"/>
  <c r="N3" i="3"/>
  <c r="I3" i="3"/>
  <c r="H3" i="3"/>
  <c r="BN2" i="3"/>
  <c r="BQ2" i="3" s="1"/>
  <c r="BF2" i="3"/>
  <c r="BD2" i="3"/>
  <c r="BM2" i="3" s="1"/>
  <c r="BP2" i="3" s="1"/>
  <c r="BC2" i="3"/>
  <c r="BL2" i="3" s="1"/>
  <c r="BO2" i="3" s="1"/>
  <c r="AL2" i="3"/>
  <c r="AM2" i="3" s="1"/>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D23" i="2"/>
  <c r="N23" i="2"/>
  <c r="O23" i="2" s="1"/>
  <c r="I23" i="2"/>
  <c r="J23" i="2" s="1"/>
  <c r="H23" i="2"/>
  <c r="BO22" i="2"/>
  <c r="BN22" i="2"/>
  <c r="BI22" i="2"/>
  <c r="BG22" i="2"/>
  <c r="BE22" i="2"/>
  <c r="BM22" i="2" s="1"/>
  <c r="BD22" i="2"/>
  <c r="N22" i="2"/>
  <c r="I22" i="2"/>
  <c r="J22" i="2" s="1"/>
  <c r="H22" i="2"/>
  <c r="BO21" i="2"/>
  <c r="BN21" i="2"/>
  <c r="BI21" i="2"/>
  <c r="BG21" i="2"/>
  <c r="BE21" i="2"/>
  <c r="BM21" i="2" s="1"/>
  <c r="BD21" i="2"/>
  <c r="N21" i="2"/>
  <c r="I21" i="2"/>
  <c r="J21" i="2" s="1"/>
  <c r="H21" i="2"/>
  <c r="BO20" i="2"/>
  <c r="BN20" i="2"/>
  <c r="BI20" i="2"/>
  <c r="BG20" i="2"/>
  <c r="BE20" i="2"/>
  <c r="BM20" i="2" s="1"/>
  <c r="BD20" i="2"/>
  <c r="N20" i="2"/>
  <c r="I20" i="2"/>
  <c r="J20" i="2" s="1"/>
  <c r="H20" i="2"/>
  <c r="BO19" i="2"/>
  <c r="BN19" i="2"/>
  <c r="BI19" i="2"/>
  <c r="BG19" i="2"/>
  <c r="BE19" i="2"/>
  <c r="BM19" i="2" s="1"/>
  <c r="BD19" i="2"/>
  <c r="N19" i="2"/>
  <c r="I19" i="2"/>
  <c r="J19" i="2" s="1"/>
  <c r="H19" i="2"/>
  <c r="BO18" i="2"/>
  <c r="BN18" i="2"/>
  <c r="BI18" i="2"/>
  <c r="BG18" i="2"/>
  <c r="BE18" i="2"/>
  <c r="BM18" i="2" s="1"/>
  <c r="BD18" i="2"/>
  <c r="N18" i="2"/>
  <c r="I18" i="2"/>
  <c r="J18" i="2" s="1"/>
  <c r="H18" i="2"/>
  <c r="BO17" i="2"/>
  <c r="BN17" i="2"/>
  <c r="BI17" i="2"/>
  <c r="BG17" i="2"/>
  <c r="BE17" i="2"/>
  <c r="BM17" i="2" s="1"/>
  <c r="BD17" i="2"/>
  <c r="N17" i="2"/>
  <c r="I17" i="2"/>
  <c r="J17" i="2" s="1"/>
  <c r="H17" i="2"/>
  <c r="BO16" i="2"/>
  <c r="BN16" i="2"/>
  <c r="BI16" i="2"/>
  <c r="BG16" i="2"/>
  <c r="BE16" i="2"/>
  <c r="BM16" i="2" s="1"/>
  <c r="BD16" i="2"/>
  <c r="N16" i="2"/>
  <c r="I16" i="2"/>
  <c r="J16" i="2" s="1"/>
  <c r="H16" i="2"/>
  <c r="BO15" i="2"/>
  <c r="BN15" i="2"/>
  <c r="BI15" i="2"/>
  <c r="BG15" i="2"/>
  <c r="BE15" i="2"/>
  <c r="BM15" i="2" s="1"/>
  <c r="BD15" i="2"/>
  <c r="N15" i="2"/>
  <c r="I15" i="2"/>
  <c r="J15" i="2" s="1"/>
  <c r="H15" i="2"/>
  <c r="BO14" i="2"/>
  <c r="BN14" i="2"/>
  <c r="BI14" i="2"/>
  <c r="BG14" i="2"/>
  <c r="BE14" i="2"/>
  <c r="BM14" i="2" s="1"/>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I9" i="2"/>
  <c r="BG9" i="2"/>
  <c r="BE9" i="2"/>
  <c r="BM9" i="2" s="1"/>
  <c r="BD9" i="2"/>
  <c r="N9" i="2"/>
  <c r="I9" i="2"/>
  <c r="J9" i="2" s="1"/>
  <c r="H9" i="2"/>
  <c r="BO8" i="2"/>
  <c r="BN8" i="2"/>
  <c r="BI8" i="2"/>
  <c r="BG8" i="2"/>
  <c r="BE8" i="2"/>
  <c r="BM8" i="2" s="1"/>
  <c r="BD8" i="2"/>
  <c r="N8" i="2"/>
  <c r="I8" i="2"/>
  <c r="J8" i="2" s="1"/>
  <c r="H8" i="2"/>
  <c r="BO7" i="2"/>
  <c r="BN7" i="2"/>
  <c r="BI7" i="2"/>
  <c r="BG7" i="2"/>
  <c r="BE7" i="2"/>
  <c r="BM7" i="2" s="1"/>
  <c r="BD7" i="2"/>
  <c r="N7" i="2"/>
  <c r="I7" i="2"/>
  <c r="J7" i="2" s="1"/>
  <c r="H7" i="2"/>
  <c r="BO6" i="2"/>
  <c r="BN6" i="2"/>
  <c r="BI6" i="2"/>
  <c r="BG6" i="2"/>
  <c r="BE6" i="2"/>
  <c r="BM6" i="2" s="1"/>
  <c r="BD6" i="2"/>
  <c r="N6" i="2"/>
  <c r="I6" i="2"/>
  <c r="J6" i="2" s="1"/>
  <c r="H6" i="2"/>
  <c r="BO5" i="2"/>
  <c r="BN5" i="2"/>
  <c r="BI5" i="2"/>
  <c r="BG5" i="2"/>
  <c r="BE5" i="2"/>
  <c r="BM5" i="2" s="1"/>
  <c r="BD5" i="2"/>
  <c r="N5" i="2"/>
  <c r="I5" i="2"/>
  <c r="J5" i="2" s="1"/>
  <c r="H5" i="2"/>
  <c r="BO4" i="2"/>
  <c r="BN4" i="2"/>
  <c r="BI4" i="2"/>
  <c r="BG4" i="2"/>
  <c r="BE4" i="2"/>
  <c r="BM4" i="2" s="1"/>
  <c r="BD4" i="2"/>
  <c r="N4" i="2"/>
  <c r="I4" i="2"/>
  <c r="J4" i="2" s="1"/>
  <c r="H4" i="2"/>
  <c r="BO3" i="2"/>
  <c r="BN3" i="2"/>
  <c r="BI3" i="2"/>
  <c r="BG3" i="2"/>
  <c r="BE3" i="2"/>
  <c r="BM3" i="2" s="1"/>
  <c r="BD3" i="2"/>
  <c r="N3" i="2"/>
  <c r="I3" i="2"/>
  <c r="J3" i="2" s="1"/>
  <c r="H3" i="2"/>
  <c r="BO2" i="2"/>
  <c r="BR2" i="2" s="1"/>
  <c r="BN2" i="2"/>
  <c r="BQ2" i="2" s="1"/>
  <c r="BG2" i="2"/>
  <c r="BH2" i="2" s="1"/>
  <c r="BK2" i="2" s="1"/>
  <c r="BE2" i="2"/>
  <c r="BM2" i="2" s="1"/>
  <c r="BP2" i="2" s="1"/>
  <c r="BD2" i="2"/>
  <c r="AL2" i="2"/>
  <c r="AM2" i="2" s="1"/>
  <c r="V2" i="2"/>
  <c r="R2" i="2"/>
  <c r="T2" i="2" s="1"/>
  <c r="U2" i="2" s="1"/>
  <c r="L2" i="2"/>
  <c r="I2" i="2"/>
  <c r="H2" i="2"/>
  <c r="AA2" i="2" s="1"/>
  <c r="G2" i="2"/>
  <c r="AE2" i="2" s="1"/>
  <c r="F2" i="2"/>
  <c r="B52" i="1"/>
  <c r="C44" i="1"/>
  <c r="B39" i="1"/>
  <c r="C43" i="1" s="1"/>
  <c r="C37" i="1"/>
  <c r="C35" i="1"/>
  <c r="B30" i="1"/>
  <c r="C34" i="1" s="1"/>
  <c r="X28" i="1"/>
  <c r="BM23" i="1"/>
  <c r="BL23" i="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I20" i="1"/>
  <c r="H20" i="1"/>
  <c r="J20" i="1" s="1"/>
  <c r="BM19" i="1"/>
  <c r="BL19" i="1"/>
  <c r="BG19" i="1"/>
  <c r="BE19" i="1"/>
  <c r="BC19" i="1"/>
  <c r="BB19" i="1"/>
  <c r="BK19" i="1" s="1"/>
  <c r="N19" i="1"/>
  <c r="I19" i="1"/>
  <c r="H19" i="1"/>
  <c r="J19" i="1" s="1"/>
  <c r="BM18" i="1"/>
  <c r="BL18" i="1"/>
  <c r="BG18" i="1"/>
  <c r="BE18" i="1"/>
  <c r="BC18" i="1"/>
  <c r="BB18" i="1"/>
  <c r="BK18" i="1" s="1"/>
  <c r="N18" i="1"/>
  <c r="I18" i="1"/>
  <c r="H18" i="1"/>
  <c r="J18" i="1" s="1"/>
  <c r="BM17" i="1"/>
  <c r="BL17" i="1"/>
  <c r="BG17" i="1"/>
  <c r="BE17" i="1"/>
  <c r="BC17" i="1"/>
  <c r="BB17" i="1"/>
  <c r="BK17" i="1" s="1"/>
  <c r="N17" i="1"/>
  <c r="I17" i="1"/>
  <c r="H17" i="1"/>
  <c r="J17" i="1" s="1"/>
  <c r="BM16" i="1"/>
  <c r="BL16" i="1"/>
  <c r="BG16" i="1"/>
  <c r="BE16" i="1"/>
  <c r="BC16" i="1"/>
  <c r="BB16" i="1"/>
  <c r="BK16" i="1" s="1"/>
  <c r="N16" i="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I13" i="1"/>
  <c r="H13" i="1"/>
  <c r="J13" i="1" s="1"/>
  <c r="BM12" i="1"/>
  <c r="BL12" i="1"/>
  <c r="BG12" i="1"/>
  <c r="BE12" i="1"/>
  <c r="BC12" i="1"/>
  <c r="BB12" i="1"/>
  <c r="BK12" i="1" s="1"/>
  <c r="N12" i="1"/>
  <c r="I12" i="1"/>
  <c r="H12" i="1"/>
  <c r="J12" i="1" s="1"/>
  <c r="BM11" i="1"/>
  <c r="BL11" i="1"/>
  <c r="BG11" i="1"/>
  <c r="BE11" i="1"/>
  <c r="BC11" i="1"/>
  <c r="BB11" i="1"/>
  <c r="BK11" i="1" s="1"/>
  <c r="N11" i="1"/>
  <c r="I11" i="1"/>
  <c r="H11" i="1"/>
  <c r="J11" i="1" s="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I8" i="1"/>
  <c r="H8" i="1"/>
  <c r="J8" i="1" s="1"/>
  <c r="BM7" i="1"/>
  <c r="BL7" i="1"/>
  <c r="BG7" i="1"/>
  <c r="BE7" i="1"/>
  <c r="BC7" i="1"/>
  <c r="BB7" i="1"/>
  <c r="BK7" i="1" s="1"/>
  <c r="N7" i="1"/>
  <c r="I7" i="1"/>
  <c r="H7" i="1"/>
  <c r="J7" i="1" s="1"/>
  <c r="BM6" i="1"/>
  <c r="BL6" i="1"/>
  <c r="BG6" i="1"/>
  <c r="BE6" i="1"/>
  <c r="BC6" i="1"/>
  <c r="BB6" i="1"/>
  <c r="BK6" i="1" s="1"/>
  <c r="N6" i="1"/>
  <c r="I6" i="1"/>
  <c r="H6" i="1"/>
  <c r="J6" i="1" s="1"/>
  <c r="BM5" i="1"/>
  <c r="BL5" i="1"/>
  <c r="BG5" i="1"/>
  <c r="BE5" i="1"/>
  <c r="BC5" i="1"/>
  <c r="BB5" i="1"/>
  <c r="BK5" i="1" s="1"/>
  <c r="N5" i="1"/>
  <c r="I5" i="1"/>
  <c r="H5" i="1"/>
  <c r="J5" i="1" s="1"/>
  <c r="BM4" i="1"/>
  <c r="BL4" i="1"/>
  <c r="BG4" i="1"/>
  <c r="BE4" i="1"/>
  <c r="BC4" i="1"/>
  <c r="BB4" i="1"/>
  <c r="BK4" i="1" s="1"/>
  <c r="N4" i="1"/>
  <c r="I4" i="1"/>
  <c r="H4" i="1"/>
  <c r="J4" i="1" s="1"/>
  <c r="BM3" i="1"/>
  <c r="BL3" i="1"/>
  <c r="BG3" i="1"/>
  <c r="BE3" i="1"/>
  <c r="BC3" i="1"/>
  <c r="BB3" i="1"/>
  <c r="BK3" i="1" s="1"/>
  <c r="N3" i="1"/>
  <c r="I3" i="1"/>
  <c r="H3" i="1"/>
  <c r="J3" i="1" s="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Z2" i="4" l="1"/>
  <c r="G3" i="15" s="1"/>
  <c r="F3" i="15"/>
  <c r="AC7" i="7"/>
  <c r="AC6" i="7"/>
  <c r="AC5" i="7"/>
  <c r="AD5" i="7"/>
  <c r="AD6" i="7"/>
  <c r="AD7" i="7"/>
  <c r="AI7" i="7"/>
  <c r="AI6" i="7"/>
  <c r="AI5" i="7"/>
  <c r="AG7" i="7"/>
  <c r="AG6" i="7"/>
  <c r="AG5" i="7"/>
  <c r="BQ21" i="4"/>
  <c r="AB6" i="7"/>
  <c r="AB5" i="7"/>
  <c r="AB7" i="7"/>
  <c r="AE7" i="7"/>
  <c r="AE6" i="7"/>
  <c r="AE8" i="7" s="1"/>
  <c r="AE5" i="7"/>
  <c r="X10" i="7"/>
  <c r="Y10" i="7" s="1"/>
  <c r="Z9" i="13" s="1"/>
  <c r="X9" i="7"/>
  <c r="Y9" i="7" s="1"/>
  <c r="Z8" i="13" s="1"/>
  <c r="O17" i="1"/>
  <c r="BQ19" i="2"/>
  <c r="O7" i="3"/>
  <c r="J16" i="3"/>
  <c r="BR18" i="2"/>
  <c r="J6" i="3"/>
  <c r="BR17" i="2"/>
  <c r="J18" i="3"/>
  <c r="O5" i="1"/>
  <c r="K19" i="2"/>
  <c r="O3" i="3"/>
  <c r="O22" i="3"/>
  <c r="BO23" i="1"/>
  <c r="O4" i="1"/>
  <c r="O8" i="1"/>
  <c r="O16" i="1"/>
  <c r="O14" i="4"/>
  <c r="J5" i="3"/>
  <c r="K6" i="3" s="1"/>
  <c r="BH6" i="2"/>
  <c r="BK6" i="2" s="1"/>
  <c r="K17" i="2"/>
  <c r="BP22" i="2"/>
  <c r="O9" i="4"/>
  <c r="O14" i="3"/>
  <c r="K13" i="1"/>
  <c r="O13" i="1"/>
  <c r="O12" i="2"/>
  <c r="BQ5" i="3"/>
  <c r="BQ19" i="3"/>
  <c r="O21" i="3"/>
  <c r="BQ19" i="4"/>
  <c r="O3" i="1"/>
  <c r="BN17" i="1"/>
  <c r="O20" i="1"/>
  <c r="AN2" i="2"/>
  <c r="AQ2" i="2" s="1"/>
  <c r="O15" i="2"/>
  <c r="BO3" i="3"/>
  <c r="O6" i="3"/>
  <c r="BP4" i="1"/>
  <c r="O11" i="1"/>
  <c r="BR4" i="2"/>
  <c r="BR20" i="2"/>
  <c r="O17" i="4"/>
  <c r="B43" i="1"/>
  <c r="K22" i="2"/>
  <c r="BP23" i="2"/>
  <c r="J19" i="3"/>
  <c r="K19" i="3" s="1"/>
  <c r="BO23" i="3"/>
  <c r="O18" i="4"/>
  <c r="BP5" i="3"/>
  <c r="O18" i="3"/>
  <c r="O12" i="4"/>
  <c r="K8" i="1"/>
  <c r="BN18" i="1"/>
  <c r="O8" i="2"/>
  <c r="BP18" i="2"/>
  <c r="AF2" i="1"/>
  <c r="EW2" i="1" s="1"/>
  <c r="K22" i="1"/>
  <c r="BQ20" i="2"/>
  <c r="T2" i="3"/>
  <c r="U2" i="3" s="1"/>
  <c r="O11" i="3"/>
  <c r="J17" i="3"/>
  <c r="J21" i="3"/>
  <c r="T2" i="4"/>
  <c r="U2" i="4" s="1"/>
  <c r="K17" i="4"/>
  <c r="BP23" i="3"/>
  <c r="BR22" i="4"/>
  <c r="J2" i="1"/>
  <c r="K3" i="1" s="1"/>
  <c r="K7" i="1"/>
  <c r="K21" i="1"/>
  <c r="O22" i="1"/>
  <c r="O22" i="2"/>
  <c r="BS4" i="4"/>
  <c r="K16" i="1"/>
  <c r="BP23" i="1"/>
  <c r="BH5" i="2"/>
  <c r="BK5" i="2" s="1"/>
  <c r="BQ23" i="2"/>
  <c r="BO18" i="3"/>
  <c r="J20" i="3"/>
  <c r="K20" i="3" s="1"/>
  <c r="K5" i="4"/>
  <c r="BR21" i="4"/>
  <c r="K11" i="1"/>
  <c r="BO18" i="1"/>
  <c r="BP19" i="2"/>
  <c r="B43" i="2"/>
  <c r="B43" i="3"/>
  <c r="K8" i="4"/>
  <c r="K18" i="1"/>
  <c r="K15" i="2"/>
  <c r="AC2" i="2"/>
  <c r="AB2" i="2" s="1"/>
  <c r="O4" i="2"/>
  <c r="BQ17" i="2"/>
  <c r="BQ22" i="2"/>
  <c r="BR23" i="2"/>
  <c r="BQ17" i="3"/>
  <c r="O8" i="4"/>
  <c r="O16" i="4"/>
  <c r="K14" i="2"/>
  <c r="BN21" i="1"/>
  <c r="K11" i="4"/>
  <c r="BQ2" i="1"/>
  <c r="BN20" i="1"/>
  <c r="BR5" i="2"/>
  <c r="O19" i="2"/>
  <c r="BP20" i="2"/>
  <c r="O8" i="3"/>
  <c r="J15" i="3"/>
  <c r="K16" i="3" s="1"/>
  <c r="O19" i="3"/>
  <c r="BP20" i="3"/>
  <c r="O4" i="4"/>
  <c r="BR5" i="4"/>
  <c r="O7" i="4"/>
  <c r="AK32" i="4"/>
  <c r="K6" i="1"/>
  <c r="O10" i="1"/>
  <c r="K19" i="1"/>
  <c r="K10" i="1"/>
  <c r="N2" i="1"/>
  <c r="O2" i="1" s="1"/>
  <c r="P2" i="1" s="1"/>
  <c r="K5" i="1"/>
  <c r="O9" i="1"/>
  <c r="O13" i="2"/>
  <c r="J3" i="3"/>
  <c r="J7" i="3"/>
  <c r="J11" i="3"/>
  <c r="J14" i="3"/>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BQ21" i="1" s="1"/>
  <c r="T2" i="1"/>
  <c r="U2" i="1" s="1"/>
  <c r="BN4" i="1"/>
  <c r="BP10" i="1"/>
  <c r="BP17" i="1"/>
  <c r="BP20" i="1"/>
  <c r="BP8" i="1"/>
  <c r="BP18" i="1"/>
  <c r="BP19" i="1"/>
  <c r="BO5" i="1"/>
  <c r="BN8" i="1"/>
  <c r="AA2" i="1"/>
  <c r="BO11" i="1"/>
  <c r="O12" i="1"/>
  <c r="BN22" i="1"/>
  <c r="BQ8" i="4"/>
  <c r="K13" i="4"/>
  <c r="O15" i="4"/>
  <c r="O2" i="4"/>
  <c r="P2" i="4" s="1"/>
  <c r="O5" i="4"/>
  <c r="O22" i="4"/>
  <c r="BS8" i="4"/>
  <c r="BS17" i="4"/>
  <c r="BR14" i="4"/>
  <c r="K20" i="4"/>
  <c r="K9" i="4"/>
  <c r="BR4" i="4"/>
  <c r="BR16" i="4"/>
  <c r="BQ17" i="4"/>
  <c r="K15" i="4"/>
  <c r="BI4" i="4"/>
  <c r="BL4" i="4" s="1"/>
  <c r="BS22" i="4"/>
  <c r="K7" i="4"/>
  <c r="BI10" i="4"/>
  <c r="BL10" i="4" s="1"/>
  <c r="O19" i="4"/>
  <c r="BS21" i="4"/>
  <c r="K23" i="4"/>
  <c r="BT2" i="4"/>
  <c r="BU2" i="4" s="1"/>
  <c r="BR10" i="4"/>
  <c r="BQ6" i="3"/>
  <c r="J10" i="3"/>
  <c r="BQ12" i="3"/>
  <c r="O16" i="3"/>
  <c r="J9" i="3"/>
  <c r="O9" i="3"/>
  <c r="J13" i="3"/>
  <c r="O20" i="3"/>
  <c r="BP22" i="3"/>
  <c r="O2" i="3"/>
  <c r="O13" i="3"/>
  <c r="BP17" i="3"/>
  <c r="BQ15" i="3"/>
  <c r="BQ22" i="3"/>
  <c r="J12" i="3"/>
  <c r="J23" i="3"/>
  <c r="BO19" i="3"/>
  <c r="O17" i="3"/>
  <c r="J22" i="3"/>
  <c r="BO5" i="3"/>
  <c r="K21" i="2"/>
  <c r="K20" i="2"/>
  <c r="J2" i="2"/>
  <c r="K3" i="2" s="1"/>
  <c r="L3" i="2" s="1"/>
  <c r="BP5" i="2"/>
  <c r="BP8" i="2"/>
  <c r="BQ3" i="2"/>
  <c r="BQ8" i="2"/>
  <c r="O11" i="2"/>
  <c r="S2" i="2"/>
  <c r="BQ5" i="2"/>
  <c r="K12" i="2"/>
  <c r="K18" i="2"/>
  <c r="O21" i="2"/>
  <c r="K10" i="2"/>
  <c r="O18" i="2"/>
  <c r="BH23" i="2"/>
  <c r="BK23" i="2" s="1"/>
  <c r="O3" i="2"/>
  <c r="K6" i="2"/>
  <c r="O7" i="2"/>
  <c r="K9" i="2"/>
  <c r="BH11" i="2"/>
  <c r="BK11" i="2" s="1"/>
  <c r="K16" i="2"/>
  <c r="O6" i="2"/>
  <c r="O9" i="2"/>
  <c r="BP17" i="2"/>
  <c r="B34" i="2"/>
  <c r="BP3" i="2"/>
  <c r="BH21" i="2"/>
  <c r="BK21" i="2" s="1"/>
  <c r="Z2" i="2"/>
  <c r="BH7" i="2"/>
  <c r="BK7" i="2" s="1"/>
  <c r="BH12" i="2"/>
  <c r="BK12" i="2" s="1"/>
  <c r="BH17" i="2"/>
  <c r="BK17" i="2" s="1"/>
  <c r="BR22" i="2"/>
  <c r="BH3" i="2"/>
  <c r="BK3" i="2" s="1"/>
  <c r="BQ7" i="2"/>
  <c r="BP12" i="2"/>
  <c r="BQ13" i="2"/>
  <c r="BQ18" i="2"/>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K9" i="1"/>
  <c r="O19" i="1"/>
  <c r="O18" i="1"/>
  <c r="BS2" i="2"/>
  <c r="BO3" i="1"/>
  <c r="BF14" i="1"/>
  <c r="BI14" i="1" s="1"/>
  <c r="X2" i="2"/>
  <c r="AG2" i="2"/>
  <c r="AI2" i="2"/>
  <c r="K7" i="2"/>
  <c r="K8" i="2"/>
  <c r="BP6" i="1"/>
  <c r="BN6" i="1"/>
  <c r="O14" i="1"/>
  <c r="O15" i="1"/>
  <c r="K4" i="1"/>
  <c r="BO13" i="1"/>
  <c r="BN13" i="1"/>
  <c r="BP13" i="1"/>
  <c r="BF4" i="1"/>
  <c r="BI4" i="1" s="1"/>
  <c r="BP7" i="1"/>
  <c r="BN7" i="1"/>
  <c r="K29" i="1"/>
  <c r="B34" i="1"/>
  <c r="AD2" i="1"/>
  <c r="AG2" i="1" s="1"/>
  <c r="BO4" i="1"/>
  <c r="O6" i="1"/>
  <c r="BP9" i="1"/>
  <c r="BO9" i="1"/>
  <c r="BF3" i="1"/>
  <c r="BI3" i="1" s="1"/>
  <c r="BP5" i="1"/>
  <c r="K15" i="1"/>
  <c r="O4" i="3"/>
  <c r="O5" i="3"/>
  <c r="AD2" i="2"/>
  <c r="Y2" i="2" s="1"/>
  <c r="N2" i="2"/>
  <c r="O2" i="2" s="1"/>
  <c r="BN19" i="1"/>
  <c r="K4" i="2"/>
  <c r="BN15" i="1"/>
  <c r="BN16" i="1"/>
  <c r="K20" i="1"/>
  <c r="K23" i="1"/>
  <c r="K14" i="1"/>
  <c r="BN14" i="1"/>
  <c r="BO19" i="1"/>
  <c r="O16" i="2"/>
  <c r="O17" i="2"/>
  <c r="BP12" i="1"/>
  <c r="BO12" i="1"/>
  <c r="O21" i="1"/>
  <c r="BP16" i="1"/>
  <c r="K17" i="1"/>
  <c r="K5" i="2"/>
  <c r="K23" i="2"/>
  <c r="BQ10" i="2"/>
  <c r="BP10" i="2"/>
  <c r="BR15" i="2"/>
  <c r="BQ15" i="2"/>
  <c r="BP15" i="2"/>
  <c r="BN23" i="1"/>
  <c r="K13"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H9" i="2"/>
  <c r="BK9" i="2" s="1"/>
  <c r="BR10" i="2"/>
  <c r="K11" i="2"/>
  <c r="BR9" i="2"/>
  <c r="BQ9" i="2"/>
  <c r="BR16" i="2"/>
  <c r="BQ16" i="2"/>
  <c r="BP16" i="2"/>
  <c r="BR19" i="2"/>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BQ21" i="2"/>
  <c r="AH2" i="3"/>
  <c r="AF2" i="3"/>
  <c r="EV2" i="3" s="1"/>
  <c r="BR21" i="2"/>
  <c r="BR2" i="3"/>
  <c r="BS2" i="3" s="1"/>
  <c r="J4" i="3"/>
  <c r="J8" i="3"/>
  <c r="L8" i="7"/>
  <c r="O10" i="3"/>
  <c r="AA2" i="3"/>
  <c r="BP7" i="3"/>
  <c r="J2" i="3"/>
  <c r="AD2" i="3"/>
  <c r="AG2" i="3" s="1"/>
  <c r="O12" i="3"/>
  <c r="BS13" i="4"/>
  <c r="BQ13" i="4"/>
  <c r="BR13" i="4"/>
  <c r="K7" i="3"/>
  <c r="BQ14" i="3"/>
  <c r="BO14" i="3"/>
  <c r="BP14" i="3"/>
  <c r="BQ13" i="3"/>
  <c r="BP13" i="3"/>
  <c r="BO13" i="3"/>
  <c r="BO7" i="3"/>
  <c r="AD2" i="4"/>
  <c r="BP6" i="3"/>
  <c r="BP9" i="3"/>
  <c r="BQ16" i="3"/>
  <c r="BS3" i="4"/>
  <c r="BR3" i="4"/>
  <c r="BQ3" i="4"/>
  <c r="BQ11" i="3"/>
  <c r="BO11" i="3"/>
  <c r="BQ21" i="3"/>
  <c r="BP21" i="3"/>
  <c r="BO21" i="3"/>
  <c r="BQ18" i="3"/>
  <c r="BP18" i="3"/>
  <c r="BP11" i="3"/>
  <c r="K29" i="3"/>
  <c r="B34" i="3"/>
  <c r="AC2" i="4"/>
  <c r="J2" i="4"/>
  <c r="K3" i="4" s="1"/>
  <c r="K6" i="4"/>
  <c r="BS7" i="4"/>
  <c r="BQ7" i="4"/>
  <c r="BR7" i="4"/>
  <c r="AJ2" i="4"/>
  <c r="N3" i="15" s="1"/>
  <c r="BO17" i="3"/>
  <c r="AI32" i="3"/>
  <c r="K18" i="4"/>
  <c r="K4" i="4"/>
  <c r="BP19" i="3"/>
  <c r="BQ20" i="3"/>
  <c r="AP2" i="4"/>
  <c r="AS2" i="4" s="1"/>
  <c r="K22" i="3"/>
  <c r="BO22" i="3"/>
  <c r="X2" i="4"/>
  <c r="BS20" i="4"/>
  <c r="BR20" i="4"/>
  <c r="BQ20" i="4"/>
  <c r="BQ23" i="3"/>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BT19" i="4" s="1"/>
  <c r="K19" i="4"/>
  <c r="N29" i="4"/>
  <c r="J29" i="4"/>
  <c r="O29" i="4" s="1"/>
  <c r="O5" i="7"/>
  <c r="L5" i="7"/>
  <c r="O13" i="4"/>
  <c r="O20" i="4"/>
  <c r="K22" i="4"/>
  <c r="B43" i="4"/>
  <c r="O9" i="7"/>
  <c r="L9" i="7"/>
  <c r="BQ11" i="4"/>
  <c r="BQ23" i="4"/>
  <c r="Q8" i="7"/>
  <c r="B34" i="4"/>
  <c r="Q6" i="7"/>
  <c r="N6" i="7"/>
  <c r="M6" i="7"/>
  <c r="V7" i="7" s="1"/>
  <c r="Y6" i="13" s="1"/>
  <c r="K6" i="7"/>
  <c r="O8" i="7"/>
  <c r="M8" i="7"/>
  <c r="V9" i="7" s="1"/>
  <c r="Y8" i="13" s="1"/>
  <c r="K9" i="7"/>
  <c r="BR17" i="4"/>
  <c r="BQ22" i="4"/>
  <c r="M5" i="7"/>
  <c r="V6" i="7" s="1"/>
  <c r="Y5" i="13" s="1"/>
  <c r="M9" i="7"/>
  <c r="V10" i="7" s="1"/>
  <c r="Y9" i="13" s="1"/>
  <c r="AI8" i="7" l="1"/>
  <c r="AA2" i="4"/>
  <c r="I3" i="15" s="1"/>
  <c r="H3" i="15"/>
  <c r="AC8" i="7"/>
  <c r="AF2" i="4"/>
  <c r="J3" i="15"/>
  <c r="X8" i="7"/>
  <c r="Y8" i="7" s="1"/>
  <c r="Z7" i="13" s="1"/>
  <c r="AG8" i="7"/>
  <c r="P9" i="3"/>
  <c r="K3" i="3"/>
  <c r="BQ23" i="1"/>
  <c r="AF6" i="7"/>
  <c r="AF5" i="7"/>
  <c r="AF7" i="7"/>
  <c r="P4" i="1"/>
  <c r="AD8" i="7"/>
  <c r="X5" i="7"/>
  <c r="Y5" i="7" s="1"/>
  <c r="Z4" i="13" s="1"/>
  <c r="AH5" i="7"/>
  <c r="AH7" i="7"/>
  <c r="AH6" i="7"/>
  <c r="AH8" i="7" s="1"/>
  <c r="AB8" i="7"/>
  <c r="BR23" i="3"/>
  <c r="AG2" i="4"/>
  <c r="BQ19" i="1"/>
  <c r="K10" i="3"/>
  <c r="K17" i="3"/>
  <c r="P3" i="1"/>
  <c r="AH2" i="2"/>
  <c r="EU2" i="2" s="1"/>
  <c r="EX2" i="2" s="1"/>
  <c r="BT4" i="4"/>
  <c r="BU4" i="4" s="1"/>
  <c r="BQ4" i="1"/>
  <c r="BS20" i="2"/>
  <c r="BS18" i="2"/>
  <c r="P3" i="3"/>
  <c r="BS17" i="2"/>
  <c r="BQ20" i="1"/>
  <c r="K11" i="3"/>
  <c r="BS19" i="2"/>
  <c r="BT23" i="4"/>
  <c r="BU23" i="4" s="1"/>
  <c r="BS23" i="2"/>
  <c r="P8" i="4"/>
  <c r="BS22" i="2"/>
  <c r="BS3" i="2"/>
  <c r="M29" i="4"/>
  <c r="AF2" i="2"/>
  <c r="EW2" i="2" s="1"/>
  <c r="BS5" i="2"/>
  <c r="P5" i="1"/>
  <c r="BR5" i="3"/>
  <c r="BS5" i="3" s="1"/>
  <c r="BT21" i="4"/>
  <c r="BU21" i="4" s="1"/>
  <c r="K12" i="3"/>
  <c r="BR17" i="3"/>
  <c r="BS17" i="3" s="1"/>
  <c r="BQ17" i="1"/>
  <c r="K15" i="3"/>
  <c r="BQ18" i="1"/>
  <c r="BR19" i="3"/>
  <c r="BS19" i="3" s="1"/>
  <c r="P21" i="3"/>
  <c r="L3" i="1"/>
  <c r="M3" i="1" s="1"/>
  <c r="L5" i="1"/>
  <c r="M5" i="1" s="1"/>
  <c r="L6" i="1"/>
  <c r="M6" i="1" s="1"/>
  <c r="R6" i="1" s="1"/>
  <c r="T6" i="1" s="1"/>
  <c r="L4" i="1"/>
  <c r="M4" i="1" s="1"/>
  <c r="AK4" i="1" s="1"/>
  <c r="EU2" i="3"/>
  <c r="EX2" i="3" s="1"/>
  <c r="BQ5" i="1"/>
  <c r="P8" i="3"/>
  <c r="P6" i="4"/>
  <c r="AB2" i="4"/>
  <c r="K3" i="15" s="1"/>
  <c r="P21" i="4"/>
  <c r="AB2" i="3"/>
  <c r="BR18" i="3"/>
  <c r="P19" i="3"/>
  <c r="K21" i="3"/>
  <c r="P23" i="1"/>
  <c r="AI2" i="1"/>
  <c r="FD2" i="1" s="1"/>
  <c r="EU2" i="1"/>
  <c r="EX2" i="1" s="1"/>
  <c r="FB2" i="1"/>
  <c r="EU2" i="4"/>
  <c r="EZ2" i="4" s="1"/>
  <c r="FK2" i="4" s="1"/>
  <c r="O3" i="15" s="1"/>
  <c r="AI2" i="4"/>
  <c r="EW2" i="4" s="1"/>
  <c r="EV2" i="2"/>
  <c r="EZ2" i="2" s="1"/>
  <c r="FK2" i="2" s="1"/>
  <c r="P4" i="4"/>
  <c r="EV2" i="1"/>
  <c r="EZ2" i="1" s="1"/>
  <c r="FK2" i="1" s="1"/>
  <c r="K4" i="3"/>
  <c r="BR20" i="3"/>
  <c r="BS20" i="3" s="1"/>
  <c r="K18" i="3"/>
  <c r="K13" i="3"/>
  <c r="P2" i="3"/>
  <c r="AI2" i="3"/>
  <c r="AJ2" i="3" s="1"/>
  <c r="FE2" i="3" s="1"/>
  <c r="FH2" i="3" s="1"/>
  <c r="EW2" i="3"/>
  <c r="P11" i="3"/>
  <c r="Y2" i="1"/>
  <c r="BS12" i="2"/>
  <c r="BS14" i="2"/>
  <c r="BS13" i="2"/>
  <c r="BS11" i="2"/>
  <c r="BS7" i="2"/>
  <c r="BS8" i="2"/>
  <c r="BS6" i="2"/>
  <c r="BR8" i="3"/>
  <c r="BS8" i="3" s="1"/>
  <c r="BR12" i="3"/>
  <c r="BS12" i="3" s="1"/>
  <c r="BR6" i="3"/>
  <c r="BS6" i="3" s="1"/>
  <c r="BR15" i="3"/>
  <c r="BS15" i="3" s="1"/>
  <c r="BR16" i="3"/>
  <c r="BS16" i="3" s="1"/>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V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J38" i="2" s="1"/>
  <c r="BS4" i="2"/>
  <c r="L21" i="2"/>
  <c r="J48" i="2" s="1"/>
  <c r="O48" i="2" s="1"/>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V8" i="7" s="1"/>
  <c r="Y7" i="13" s="1"/>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AE19" i="1"/>
  <c r="AD19" i="1"/>
  <c r="R19" i="1"/>
  <c r="T19" i="1" s="1"/>
  <c r="AK19" i="1"/>
  <c r="AC19" i="1"/>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P8" i="1"/>
  <c r="BI16" i="3"/>
  <c r="BK16" i="3" s="1"/>
  <c r="K8" i="3"/>
  <c r="K9" i="3"/>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BJ4" i="2"/>
  <c r="BL4" i="2" s="1"/>
  <c r="BJ8" i="2"/>
  <c r="BL8" i="2" s="1"/>
  <c r="BS10" i="2"/>
  <c r="L14" i="2"/>
  <c r="P18" i="1"/>
  <c r="BH20" i="1"/>
  <c r="BJ20" i="1" s="1"/>
  <c r="BH10" i="1"/>
  <c r="BJ10" i="1" s="1"/>
  <c r="L11" i="1"/>
  <c r="M11" i="1" s="1"/>
  <c r="L16" i="1"/>
  <c r="M16" i="1" s="1"/>
  <c r="J31" i="1"/>
  <c r="N31" i="1" s="1"/>
  <c r="J29" i="1"/>
  <c r="O29" i="1" s="1"/>
  <c r="J46" i="1"/>
  <c r="O46" i="1" s="1"/>
  <c r="J32" i="1"/>
  <c r="N32" i="1" s="1"/>
  <c r="N29" i="1"/>
  <c r="J30" i="1"/>
  <c r="M30" i="1" s="1"/>
  <c r="AK6" i="1"/>
  <c r="AD6" i="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5" i="3"/>
  <c r="M5" i="3" s="1"/>
  <c r="L3" i="3"/>
  <c r="M3" i="3" s="1"/>
  <c r="L4" i="3"/>
  <c r="M4" i="3" s="1"/>
  <c r="BS21" i="2"/>
  <c r="BI17" i="3"/>
  <c r="BK17" i="3" s="1"/>
  <c r="BR3" i="3"/>
  <c r="BS3" i="3" s="1"/>
  <c r="BQ16" i="1"/>
  <c r="L10" i="2"/>
  <c r="P13" i="1"/>
  <c r="P9" i="1"/>
  <c r="BH7" i="1"/>
  <c r="BJ7" i="1" s="1"/>
  <c r="BH23" i="1"/>
  <c r="BJ23" i="1" s="1"/>
  <c r="L15" i="1"/>
  <c r="M15" i="1" s="1"/>
  <c r="R4" i="1"/>
  <c r="T4" i="1" s="1"/>
  <c r="AC4" i="1"/>
  <c r="BH18" i="1"/>
  <c r="BJ18" i="1" s="1"/>
  <c r="L17" i="1"/>
  <c r="M17" i="1" s="1"/>
  <c r="N29" i="3"/>
  <c r="J29" i="3"/>
  <c r="O29" i="3" s="1"/>
  <c r="BI12" i="3"/>
  <c r="BK12" i="3" s="1"/>
  <c r="BS9" i="2"/>
  <c r="BH19" i="1"/>
  <c r="BJ19" i="1" s="1"/>
  <c r="L13" i="2"/>
  <c r="L16" i="2"/>
  <c r="P21" i="1"/>
  <c r="P7" i="1"/>
  <c r="BH12" i="1"/>
  <c r="BJ12" i="1" s="1"/>
  <c r="P11" i="1"/>
  <c r="L7" i="1"/>
  <c r="M7" i="1" s="1"/>
  <c r="BI13" i="3"/>
  <c r="BK13" i="3" s="1"/>
  <c r="L22" i="1"/>
  <c r="M22" i="1" s="1"/>
  <c r="BK21" i="4"/>
  <c r="BM21" i="4" s="1"/>
  <c r="BK20" i="4"/>
  <c r="BM20" i="4" s="1"/>
  <c r="BT17" i="4"/>
  <c r="BU17" i="4" s="1"/>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R11" i="3"/>
  <c r="BS11" i="3" s="1"/>
  <c r="BI7" i="3"/>
  <c r="BK7" i="3" s="1"/>
  <c r="BI10" i="3"/>
  <c r="BK10" i="3" s="1"/>
  <c r="BJ15" i="2"/>
  <c r="BL15" i="2" s="1"/>
  <c r="L19" i="2"/>
  <c r="L4" i="2"/>
  <c r="L17" i="2"/>
  <c r="BH17" i="1"/>
  <c r="BJ17" i="1" s="1"/>
  <c r="AK3" i="1"/>
  <c r="AE3" i="1"/>
  <c r="AD3" i="1"/>
  <c r="R3" i="1"/>
  <c r="T3" i="1" s="1"/>
  <c r="AC3" i="1"/>
  <c r="V3" i="1"/>
  <c r="AE4" i="1" l="1"/>
  <c r="AD4" i="1"/>
  <c r="X13" i="7"/>
  <c r="Y13" i="7" s="1"/>
  <c r="Z12" i="13" s="1"/>
  <c r="X11" i="7"/>
  <c r="Y11" i="7" s="1"/>
  <c r="Z10" i="13" s="1"/>
  <c r="V5" i="7"/>
  <c r="Y4" i="13" s="1"/>
  <c r="V11" i="7"/>
  <c r="Y10" i="13" s="1"/>
  <c r="V13" i="7"/>
  <c r="Y12" i="13" s="1"/>
  <c r="V12" i="7"/>
  <c r="M11" i="2"/>
  <c r="FB2" i="2"/>
  <c r="AK18" i="1"/>
  <c r="N30" i="2"/>
  <c r="Q3" i="2" s="1"/>
  <c r="R18" i="1"/>
  <c r="T18" i="1" s="1"/>
  <c r="AF8" i="7"/>
  <c r="X14" i="7" s="1"/>
  <c r="Y14" i="7" s="1"/>
  <c r="Z13" i="13" s="1"/>
  <c r="X12" i="7"/>
  <c r="Y12" i="7" s="1"/>
  <c r="Z11" i="13" s="1"/>
  <c r="J45" i="1"/>
  <c r="N45" i="1" s="1"/>
  <c r="L8" i="3"/>
  <c r="M8" i="3" s="1"/>
  <c r="V6" i="1"/>
  <c r="AJ2" i="2"/>
  <c r="FD2" i="2" s="1"/>
  <c r="FG2" i="2" s="1"/>
  <c r="AC6" i="1"/>
  <c r="AF6" i="1" s="1"/>
  <c r="EW6" i="1" s="1"/>
  <c r="AE6" i="1"/>
  <c r="J37" i="1"/>
  <c r="O37" i="1" s="1"/>
  <c r="L10" i="3"/>
  <c r="M10" i="3" s="1"/>
  <c r="FE2" i="1"/>
  <c r="FH2" i="1" s="1"/>
  <c r="V4" i="1"/>
  <c r="AF4" i="1" s="1"/>
  <c r="EW4" i="1" s="1"/>
  <c r="J33" i="1"/>
  <c r="M33" i="1" s="1"/>
  <c r="M21" i="2"/>
  <c r="AD18" i="1"/>
  <c r="AG18" i="1" s="1"/>
  <c r="O38" i="2"/>
  <c r="N38" i="2"/>
  <c r="M29" i="1"/>
  <c r="AK13" i="1"/>
  <c r="AN13" i="1" s="1"/>
  <c r="N46" i="1"/>
  <c r="M30" i="2"/>
  <c r="L16" i="3"/>
  <c r="M16" i="3" s="1"/>
  <c r="R13" i="1"/>
  <c r="T13" i="1" s="1"/>
  <c r="M46" i="1"/>
  <c r="AD13" i="1"/>
  <c r="FI2" i="1"/>
  <c r="FD2" i="3"/>
  <c r="EZ2" i="3"/>
  <c r="FK2" i="3" s="1"/>
  <c r="L13" i="3"/>
  <c r="M13" i="3" s="1"/>
  <c r="FG2" i="1"/>
  <c r="FF2" i="1"/>
  <c r="FA2" i="3"/>
  <c r="L15" i="3"/>
  <c r="M15" i="3" s="1"/>
  <c r="O31" i="1"/>
  <c r="FI2" i="2"/>
  <c r="FC2" i="1"/>
  <c r="EY2" i="1"/>
  <c r="FJ2" i="1" s="1"/>
  <c r="FI2" i="3"/>
  <c r="AK2" i="4"/>
  <c r="P3" i="15" s="1"/>
  <c r="EV2" i="4"/>
  <c r="FB2" i="3"/>
  <c r="FC2" i="3"/>
  <c r="EY2" i="3"/>
  <c r="O30" i="1"/>
  <c r="J36" i="1"/>
  <c r="O36" i="1" s="1"/>
  <c r="L11" i="3"/>
  <c r="M11" i="3" s="1"/>
  <c r="M31" i="1"/>
  <c r="FA2" i="1"/>
  <c r="J44" i="1"/>
  <c r="N44" i="1" s="1"/>
  <c r="J50" i="1"/>
  <c r="J43" i="1"/>
  <c r="O43" i="1" s="1"/>
  <c r="AC18" i="1"/>
  <c r="J40" i="1"/>
  <c r="N40" i="1" s="1"/>
  <c r="J42" i="1"/>
  <c r="O42" i="1" s="1"/>
  <c r="AE18" i="1"/>
  <c r="AH18" i="1" s="1"/>
  <c r="N30" i="1"/>
  <c r="V13" i="1"/>
  <c r="AH13" i="1" s="1"/>
  <c r="AC13" i="1"/>
  <c r="J40" i="3"/>
  <c r="O40" i="3" s="1"/>
  <c r="M29" i="3"/>
  <c r="L9" i="3"/>
  <c r="L17" i="3"/>
  <c r="L20" i="3"/>
  <c r="L12" i="3"/>
  <c r="L18" i="3"/>
  <c r="L22" i="3"/>
  <c r="L21" i="3"/>
  <c r="J30" i="3"/>
  <c r="O30" i="3" s="1"/>
  <c r="L14" i="3"/>
  <c r="L7" i="3"/>
  <c r="L19" i="3"/>
  <c r="L23" i="3"/>
  <c r="M23" i="3" s="1"/>
  <c r="L6" i="3"/>
  <c r="AY2" i="2"/>
  <c r="AT2" i="2"/>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AK14" i="1"/>
  <c r="AC14" i="1"/>
  <c r="AE14" i="1"/>
  <c r="V14" i="1"/>
  <c r="R14" i="1"/>
  <c r="T14" i="1" s="1"/>
  <c r="AD14" i="1"/>
  <c r="AF18" i="1"/>
  <c r="EW18" i="1" s="1"/>
  <c r="X18" i="1"/>
  <c r="M20" i="4"/>
  <c r="B21" i="15" s="1"/>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M32" i="1"/>
  <c r="BT10" i="1"/>
  <c r="BV10" i="1" s="1"/>
  <c r="BW9" i="4"/>
  <c r="R10" i="1"/>
  <c r="T10" i="1" s="1"/>
  <c r="AD10" i="1"/>
  <c r="AK10" i="1"/>
  <c r="AE10" i="1"/>
  <c r="AC10" i="1"/>
  <c r="V10" i="1"/>
  <c r="BV6" i="3"/>
  <c r="BY6" i="3" s="1"/>
  <c r="BT22" i="3"/>
  <c r="BV16" i="4"/>
  <c r="BW8" i="4"/>
  <c r="M10" i="4"/>
  <c r="B11" i="15" s="1"/>
  <c r="J37" i="4"/>
  <c r="O37" i="4" s="1"/>
  <c r="X4" i="1"/>
  <c r="AG4" i="1"/>
  <c r="V4" i="3"/>
  <c r="AL4" i="3"/>
  <c r="AE4" i="3"/>
  <c r="AD4" i="3"/>
  <c r="AC4" i="3"/>
  <c r="R4" i="3"/>
  <c r="T4" i="3" s="1"/>
  <c r="BU11" i="3"/>
  <c r="BC36" i="2"/>
  <c r="BW16" i="4"/>
  <c r="BT13" i="1"/>
  <c r="BV13" i="1" s="1"/>
  <c r="BS15" i="1"/>
  <c r="BX14" i="4"/>
  <c r="CA14" i="4" s="1"/>
  <c r="BV15" i="2"/>
  <c r="AL4" i="1"/>
  <c r="AM4" i="1" s="1"/>
  <c r="AP4" i="1" s="1"/>
  <c r="AN4" i="1"/>
  <c r="V15" i="1"/>
  <c r="AE15" i="1"/>
  <c r="AK15" i="1"/>
  <c r="AD15" i="1"/>
  <c r="AC15" i="1"/>
  <c r="R15" i="1"/>
  <c r="T15" i="1" s="1"/>
  <c r="M10" i="2"/>
  <c r="J37" i="2"/>
  <c r="O37" i="2" s="1"/>
  <c r="BR19" i="1"/>
  <c r="AL13" i="1"/>
  <c r="AM13" i="1" s="1"/>
  <c r="AP13" i="1" s="1"/>
  <c r="BV22" i="3"/>
  <c r="BY22" i="3" s="1"/>
  <c r="BX16" i="4"/>
  <c r="CA16" i="4" s="1"/>
  <c r="N48" i="2"/>
  <c r="M9" i="4"/>
  <c r="B10" i="15" s="1"/>
  <c r="J36" i="4"/>
  <c r="O36" i="4" s="1"/>
  <c r="M6" i="4"/>
  <c r="B7" i="15" s="1"/>
  <c r="J33" i="4"/>
  <c r="O33" i="4" s="1"/>
  <c r="AE20" i="1"/>
  <c r="AD20" i="1"/>
  <c r="R20" i="1"/>
  <c r="T20" i="1" s="1"/>
  <c r="AC20" i="1"/>
  <c r="V20" i="1"/>
  <c r="AK20" i="1"/>
  <c r="V11" i="2"/>
  <c r="AD11" i="2"/>
  <c r="R11" i="2"/>
  <c r="T11" i="2" s="1"/>
  <c r="AL11" i="2"/>
  <c r="AE11" i="2"/>
  <c r="AC11" i="2"/>
  <c r="BW14" i="4"/>
  <c r="AN3" i="1"/>
  <c r="AL3" i="1"/>
  <c r="AM3" i="1" s="1"/>
  <c r="AP3" i="1" s="1"/>
  <c r="M5" i="2"/>
  <c r="J32" i="2"/>
  <c r="O32" i="2" s="1"/>
  <c r="BR17" i="1"/>
  <c r="BT10" i="3"/>
  <c r="BU5" i="3"/>
  <c r="BT15" i="1"/>
  <c r="BV15" i="1" s="1"/>
  <c r="BU9" i="3"/>
  <c r="M22" i="2"/>
  <c r="J49" i="2"/>
  <c r="O49" i="2" s="1"/>
  <c r="BT15" i="2"/>
  <c r="AD7" i="1"/>
  <c r="R7" i="1"/>
  <c r="T7" i="1" s="1"/>
  <c r="AK7" i="1"/>
  <c r="AE7" i="1"/>
  <c r="AC7" i="1"/>
  <c r="V7" i="1"/>
  <c r="BV2" i="4"/>
  <c r="BW17" i="4"/>
  <c r="BR3" i="1"/>
  <c r="BT19" i="1"/>
  <c r="BV19" i="1" s="1"/>
  <c r="N37" i="1"/>
  <c r="J35" i="1"/>
  <c r="O35" i="1" s="1"/>
  <c r="J38" i="1"/>
  <c r="O38" i="1" s="1"/>
  <c r="BV8" i="2"/>
  <c r="BT23" i="3"/>
  <c r="BT21" i="1"/>
  <c r="BV21" i="1" s="1"/>
  <c r="BU16" i="3"/>
  <c r="M20" i="2"/>
  <c r="J47" i="2"/>
  <c r="O47" i="2" s="1"/>
  <c r="AG19" i="1"/>
  <c r="AF19" i="1"/>
  <c r="EW19" i="1" s="1"/>
  <c r="X19" i="1"/>
  <c r="AH19" i="1"/>
  <c r="M48" i="2"/>
  <c r="M3" i="4"/>
  <c r="B4" i="15" s="1"/>
  <c r="J30" i="4"/>
  <c r="O30" i="4" s="1"/>
  <c r="M30" i="4"/>
  <c r="M12" i="4"/>
  <c r="B13" i="15" s="1"/>
  <c r="J39" i="4"/>
  <c r="O39" i="4" s="1"/>
  <c r="M19" i="2"/>
  <c r="J46" i="2"/>
  <c r="O46" i="2" s="1"/>
  <c r="AD22" i="1"/>
  <c r="R22" i="1"/>
  <c r="T22" i="1" s="1"/>
  <c r="AC22" i="1"/>
  <c r="AK22" i="1"/>
  <c r="AE22" i="1"/>
  <c r="V22" i="1"/>
  <c r="BR15" i="1"/>
  <c r="BV9" i="3"/>
  <c r="BY9" i="3" s="1"/>
  <c r="BV20" i="4"/>
  <c r="M40" i="3"/>
  <c r="R3" i="3"/>
  <c r="T3" i="3" s="1"/>
  <c r="AE3" i="3"/>
  <c r="AD3" i="3"/>
  <c r="AC3" i="3"/>
  <c r="V3" i="3"/>
  <c r="AL3" i="3"/>
  <c r="AE15" i="3"/>
  <c r="AD15" i="3"/>
  <c r="AC15" i="3"/>
  <c r="V15" i="3"/>
  <c r="R15" i="3"/>
  <c r="T15" i="3" s="1"/>
  <c r="AL15" i="3"/>
  <c r="BS3" i="1"/>
  <c r="M40" i="1"/>
  <c r="J48" i="1"/>
  <c r="O32" i="1"/>
  <c r="J47" i="1"/>
  <c r="O47" i="1" s="1"/>
  <c r="BT8" i="2"/>
  <c r="BV16" i="3"/>
  <c r="BY16" i="3" s="1"/>
  <c r="M9" i="2"/>
  <c r="J36" i="2"/>
  <c r="O36" i="2" s="1"/>
  <c r="M18" i="2"/>
  <c r="J45" i="2"/>
  <c r="O45" i="2" s="1"/>
  <c r="V21" i="2"/>
  <c r="AE21" i="2"/>
  <c r="AL21" i="2"/>
  <c r="AD21" i="2"/>
  <c r="AC21" i="2"/>
  <c r="R21" i="2"/>
  <c r="T21" i="2" s="1"/>
  <c r="M11" i="4"/>
  <c r="B12" i="15" s="1"/>
  <c r="J38" i="4"/>
  <c r="O38" i="4" s="1"/>
  <c r="M18" i="4"/>
  <c r="B19" i="15" s="1"/>
  <c r="J45" i="4"/>
  <c r="O45" i="4" s="1"/>
  <c r="M4" i="2"/>
  <c r="J31" i="2"/>
  <c r="O31" i="2" s="1"/>
  <c r="M13" i="2"/>
  <c r="J40" i="2"/>
  <c r="O40" i="2" s="1"/>
  <c r="BV10" i="3"/>
  <c r="BY10" i="3" s="1"/>
  <c r="J31" i="3"/>
  <c r="N31" i="3" s="1"/>
  <c r="AH6" i="1"/>
  <c r="AG6" i="1"/>
  <c r="X6" i="1"/>
  <c r="Q19" i="1"/>
  <c r="ET19" i="1" s="1"/>
  <c r="BU8" i="2"/>
  <c r="BU23" i="3"/>
  <c r="BU4" i="3"/>
  <c r="BR8" i="1"/>
  <c r="BT20" i="3"/>
  <c r="AU2" i="4"/>
  <c r="AX2" i="4" s="1"/>
  <c r="AN5" i="1"/>
  <c r="AL5" i="1"/>
  <c r="AM5" i="1" s="1"/>
  <c r="AP5" i="1" s="1"/>
  <c r="M23" i="2"/>
  <c r="J50" i="2"/>
  <c r="O50" i="2" s="1"/>
  <c r="BV16" i="2"/>
  <c r="AN19" i="1"/>
  <c r="AL19" i="1"/>
  <c r="AM19" i="1" s="1"/>
  <c r="AP19" i="1" s="1"/>
  <c r="AL18" i="1"/>
  <c r="AM18" i="1" s="1"/>
  <c r="AP18" i="1" s="1"/>
  <c r="AN18" i="1"/>
  <c r="M4" i="4"/>
  <c r="B5" i="15" s="1"/>
  <c r="J31" i="4"/>
  <c r="O31" i="4" s="1"/>
  <c r="M23" i="4"/>
  <c r="B24" i="15" s="1"/>
  <c r="J50" i="4"/>
  <c r="O50" i="4" s="1"/>
  <c r="BX18" i="4"/>
  <c r="CA18" i="4" s="1"/>
  <c r="BU22" i="3"/>
  <c r="BV17" i="3"/>
  <c r="BY17" i="3" s="1"/>
  <c r="BX2" i="4"/>
  <c r="CA2" i="4" s="1"/>
  <c r="BT3" i="1"/>
  <c r="BV3" i="1" s="1"/>
  <c r="M36" i="1"/>
  <c r="BV2" i="3"/>
  <c r="BY2" i="3" s="1"/>
  <c r="BV4" i="3"/>
  <c r="BY4" i="3" s="1"/>
  <c r="AD3" i="2"/>
  <c r="R3" i="2"/>
  <c r="T3" i="2" s="1"/>
  <c r="AC3" i="2"/>
  <c r="AL3" i="2"/>
  <c r="AE3" i="2"/>
  <c r="V3" i="2"/>
  <c r="AV2" i="4"/>
  <c r="AY2" i="4" s="1"/>
  <c r="M7" i="2"/>
  <c r="J34" i="2"/>
  <c r="O34" i="2" s="1"/>
  <c r="M7" i="4"/>
  <c r="B8" i="15" s="1"/>
  <c r="J34" i="4"/>
  <c r="O34" i="4" s="1"/>
  <c r="M16" i="4"/>
  <c r="B17" i="15" s="1"/>
  <c r="J43" i="4"/>
  <c r="O43" i="4" s="1"/>
  <c r="M6" i="2"/>
  <c r="J33" i="2"/>
  <c r="O33" i="2" s="1"/>
  <c r="M22" i="4"/>
  <c r="B23" i="15" s="1"/>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N40" i="3"/>
  <c r="J50" i="3"/>
  <c r="O50" i="3" s="1"/>
  <c r="AD17" i="1"/>
  <c r="R17" i="1"/>
  <c r="T17" i="1" s="1"/>
  <c r="AC17" i="1"/>
  <c r="AE17" i="1"/>
  <c r="V17" i="1"/>
  <c r="AK17" i="1"/>
  <c r="BR7" i="1"/>
  <c r="BT17" i="3"/>
  <c r="BW15" i="4"/>
  <c r="M15" i="2"/>
  <c r="J42" i="2"/>
  <c r="O42" i="2" s="1"/>
  <c r="AS2" i="3"/>
  <c r="AV2" i="3" s="1"/>
  <c r="J41" i="1"/>
  <c r="N41" i="1" s="1"/>
  <c r="M37" i="1"/>
  <c r="J49" i="1"/>
  <c r="O49" i="1" s="1"/>
  <c r="AK16" i="1"/>
  <c r="V16" i="1"/>
  <c r="AE16" i="1"/>
  <c r="AD16" i="1"/>
  <c r="R16" i="1"/>
  <c r="T16" i="1" s="1"/>
  <c r="AC16" i="1"/>
  <c r="M14" i="2"/>
  <c r="J41" i="2"/>
  <c r="O41" i="2" s="1"/>
  <c r="BT2" i="3"/>
  <c r="BS8" i="1"/>
  <c r="BU20" i="3"/>
  <c r="AC23" i="1"/>
  <c r="AK23" i="1"/>
  <c r="R23" i="1"/>
  <c r="T23" i="1" s="1"/>
  <c r="AE23" i="1"/>
  <c r="AD23" i="1"/>
  <c r="V23" i="1"/>
  <c r="BU16" i="2"/>
  <c r="M5" i="4"/>
  <c r="B6" i="15" s="1"/>
  <c r="J32" i="4"/>
  <c r="O32" i="4" s="1"/>
  <c r="M21" i="4"/>
  <c r="B22" i="15" s="1"/>
  <c r="J48" i="4"/>
  <c r="O48" i="4" s="1"/>
  <c r="BW18" i="4"/>
  <c r="V8" i="3"/>
  <c r="AE8" i="3"/>
  <c r="AD8" i="3"/>
  <c r="R8" i="3"/>
  <c r="T8" i="3" s="1"/>
  <c r="AL8" i="3"/>
  <c r="AC8" i="3"/>
  <c r="M8" i="4"/>
  <c r="B9" i="15" s="1"/>
  <c r="J35" i="4"/>
  <c r="O35" i="4" s="1"/>
  <c r="BV12" i="4"/>
  <c r="BX19" i="4"/>
  <c r="CA19" i="4" s="1"/>
  <c r="V12" i="1"/>
  <c r="AE12" i="1"/>
  <c r="AK12" i="1"/>
  <c r="R12" i="1"/>
  <c r="T12" i="1" s="1"/>
  <c r="AD12" i="1"/>
  <c r="AC12" i="1"/>
  <c r="AN6" i="1"/>
  <c r="AL6" i="1"/>
  <c r="AM6" i="1" s="1"/>
  <c r="AP6" i="1" s="1"/>
  <c r="AK11" i="1"/>
  <c r="R11" i="1"/>
  <c r="T11" i="1" s="1"/>
  <c r="AD11" i="1"/>
  <c r="AC11" i="1"/>
  <c r="V11" i="1"/>
  <c r="AE11" i="1"/>
  <c r="BV9" i="4"/>
  <c r="BB35" i="3"/>
  <c r="AH5" i="1"/>
  <c r="X5" i="1"/>
  <c r="AG5" i="1"/>
  <c r="AF5" i="1"/>
  <c r="EW5" i="1" s="1"/>
  <c r="M13" i="4"/>
  <c r="B14" i="15" s="1"/>
  <c r="J40" i="4"/>
  <c r="O40" i="4" s="1"/>
  <c r="M14" i="4"/>
  <c r="B15" i="15" s="1"/>
  <c r="J41" i="4"/>
  <c r="O41" i="4" s="1"/>
  <c r="AE23" i="3"/>
  <c r="AD23" i="3"/>
  <c r="R23" i="3"/>
  <c r="T23" i="3" s="1"/>
  <c r="AC23" i="3"/>
  <c r="AL23" i="3"/>
  <c r="V23" i="3"/>
  <c r="BX5" i="4"/>
  <c r="CA5" i="4" s="1"/>
  <c r="M15" i="4"/>
  <c r="B16" i="15" s="1"/>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BR22" i="1"/>
  <c r="BW7" i="4"/>
  <c r="M42" i="1"/>
  <c r="J34" i="1"/>
  <c r="M34" i="1" s="1"/>
  <c r="J39" i="1"/>
  <c r="O39" i="1" s="1"/>
  <c r="BS10" i="1"/>
  <c r="BU2" i="3"/>
  <c r="BX9" i="4"/>
  <c r="CA9" i="4" s="1"/>
  <c r="M12" i="2"/>
  <c r="J39" i="2"/>
  <c r="O39" i="2" s="1"/>
  <c r="M8" i="2"/>
  <c r="J35" i="2"/>
  <c r="O35" i="2" s="1"/>
  <c r="BU6" i="3"/>
  <c r="BV8" i="4"/>
  <c r="M38" i="2"/>
  <c r="Q11" i="2" s="1"/>
  <c r="M19" i="4"/>
  <c r="B20" i="15" s="1"/>
  <c r="J46" i="4"/>
  <c r="O46" i="4" s="1"/>
  <c r="J44" i="4"/>
  <c r="O44" i="4" s="1"/>
  <c r="M17" i="4"/>
  <c r="B18" i="15" s="1"/>
  <c r="J37" i="3" l="1"/>
  <c r="O37" i="3" s="1"/>
  <c r="AF13" i="1"/>
  <c r="EW13" i="1" s="1"/>
  <c r="X13" i="1"/>
  <c r="U3" i="2"/>
  <c r="FF2" i="2"/>
  <c r="O40" i="1"/>
  <c r="Q13" i="1" s="1"/>
  <c r="AG13" i="1"/>
  <c r="EU13" i="1" s="1"/>
  <c r="EY2" i="2"/>
  <c r="FJ2" i="2" s="1"/>
  <c r="M45" i="1"/>
  <c r="AH4" i="1"/>
  <c r="EV4" i="1" s="1"/>
  <c r="EZ4" i="1" s="1"/>
  <c r="FK4" i="1" s="1"/>
  <c r="O45" i="1"/>
  <c r="Q18" i="1" s="1"/>
  <c r="ET18" i="1" s="1"/>
  <c r="N36" i="1"/>
  <c r="Q9" i="1" s="1"/>
  <c r="ET9" i="1" s="1"/>
  <c r="N33" i="1"/>
  <c r="V14" i="7"/>
  <c r="Y13" i="13" s="1"/>
  <c r="Y11" i="13"/>
  <c r="Q4" i="1"/>
  <c r="ET4" i="1" s="1"/>
  <c r="FC2" i="2"/>
  <c r="AE16" i="3"/>
  <c r="AC16" i="3"/>
  <c r="V16" i="3"/>
  <c r="R16" i="3"/>
  <c r="T16" i="3" s="1"/>
  <c r="AL16" i="3"/>
  <c r="AO16" i="3" s="1"/>
  <c r="AD16" i="3"/>
  <c r="AX2" i="2"/>
  <c r="M44" i="4"/>
  <c r="O33" i="1"/>
  <c r="Q6" i="1" s="1"/>
  <c r="FL2" i="3"/>
  <c r="J43" i="3"/>
  <c r="FA2" i="2"/>
  <c r="FM2" i="2" s="1"/>
  <c r="N42" i="2"/>
  <c r="FE2" i="2"/>
  <c r="FH2" i="2" s="1"/>
  <c r="N31" i="2"/>
  <c r="CF14" i="1"/>
  <c r="M36" i="2"/>
  <c r="N30" i="3"/>
  <c r="Q3" i="3" s="1"/>
  <c r="N47" i="1"/>
  <c r="M30" i="3"/>
  <c r="N32" i="2"/>
  <c r="M37" i="2"/>
  <c r="FM2" i="3"/>
  <c r="N45" i="2"/>
  <c r="M42" i="4"/>
  <c r="N35" i="4"/>
  <c r="M45" i="2"/>
  <c r="M37" i="4"/>
  <c r="FN2" i="1"/>
  <c r="Q3" i="1"/>
  <c r="ET3" i="1" s="1"/>
  <c r="FB3" i="1" s="1"/>
  <c r="AE11" i="3"/>
  <c r="AD11" i="3"/>
  <c r="AC11" i="3"/>
  <c r="AE13" i="3"/>
  <c r="AC13" i="3"/>
  <c r="AD13" i="3"/>
  <c r="V13" i="3"/>
  <c r="X13" i="3" s="1"/>
  <c r="AL13" i="3"/>
  <c r="AM13" i="3" s="1"/>
  <c r="AN13" i="3" s="1"/>
  <c r="AQ13" i="3" s="1"/>
  <c r="R13" i="3"/>
  <c r="T13" i="3" s="1"/>
  <c r="EV3" i="1"/>
  <c r="EU4" i="1"/>
  <c r="EU18" i="1"/>
  <c r="FB18" i="1"/>
  <c r="N34" i="4"/>
  <c r="CH4" i="3"/>
  <c r="N44" i="4"/>
  <c r="Q17" i="4" s="1"/>
  <c r="N49" i="4"/>
  <c r="U19" i="1"/>
  <c r="EV18" i="1"/>
  <c r="FO2" i="1"/>
  <c r="J38" i="3"/>
  <c r="N38" i="3" s="1"/>
  <c r="M49" i="4"/>
  <c r="AB11" i="2"/>
  <c r="ET11" i="2"/>
  <c r="M47" i="1"/>
  <c r="EU19" i="1"/>
  <c r="EX19" i="1" s="1"/>
  <c r="CF10" i="1"/>
  <c r="FN2" i="3"/>
  <c r="FJ2" i="3"/>
  <c r="EV19" i="1"/>
  <c r="EZ19" i="1" s="1"/>
  <c r="FK19" i="1" s="1"/>
  <c r="M41" i="2"/>
  <c r="EU6" i="1"/>
  <c r="FG2" i="3"/>
  <c r="FF2" i="3"/>
  <c r="EV13" i="1"/>
  <c r="N35" i="3"/>
  <c r="FB19" i="1"/>
  <c r="AI3" i="1"/>
  <c r="EW3" i="1"/>
  <c r="EU5" i="1"/>
  <c r="M50" i="4"/>
  <c r="EV6" i="1"/>
  <c r="N38" i="4"/>
  <c r="U4" i="1"/>
  <c r="ET3" i="2"/>
  <c r="AB3" i="2"/>
  <c r="CH5" i="3"/>
  <c r="CI21" i="2"/>
  <c r="FM2" i="1"/>
  <c r="N43" i="1"/>
  <c r="FL2" i="1"/>
  <c r="FE3" i="1"/>
  <c r="FH3" i="1" s="1"/>
  <c r="EU3" i="1"/>
  <c r="EV5" i="1"/>
  <c r="M34" i="4"/>
  <c r="J42" i="3"/>
  <c r="AL2" i="4"/>
  <c r="EY2" i="4"/>
  <c r="FJ2" i="4" s="1"/>
  <c r="Q3" i="15" s="1"/>
  <c r="FC2" i="4"/>
  <c r="AA18" i="1"/>
  <c r="S3" i="1"/>
  <c r="Z3" i="1"/>
  <c r="AI18" i="1"/>
  <c r="FD18" i="1" s="1"/>
  <c r="N42" i="1"/>
  <c r="Q15" i="1" s="1"/>
  <c r="AI5" i="1"/>
  <c r="FD5" i="1" s="1"/>
  <c r="Q10" i="1"/>
  <c r="M43" i="1"/>
  <c r="O50" i="1"/>
  <c r="N50" i="1"/>
  <c r="AI13" i="1"/>
  <c r="FE13" i="1" s="1"/>
  <c r="FH13" i="1" s="1"/>
  <c r="CF9" i="1"/>
  <c r="AI6" i="1"/>
  <c r="N49" i="1"/>
  <c r="CG7" i="1"/>
  <c r="M50" i="1"/>
  <c r="M44" i="1"/>
  <c r="O44" i="1"/>
  <c r="M38" i="4"/>
  <c r="M40" i="4"/>
  <c r="M43" i="4"/>
  <c r="M35" i="4"/>
  <c r="M48" i="4"/>
  <c r="N45" i="4"/>
  <c r="M32" i="4"/>
  <c r="M20" i="3"/>
  <c r="J47" i="3"/>
  <c r="O47" i="3" s="1"/>
  <c r="CH15" i="3"/>
  <c r="M37" i="3"/>
  <c r="M17" i="3"/>
  <c r="J44" i="3"/>
  <c r="M19" i="3"/>
  <c r="J46" i="3"/>
  <c r="M46" i="3" s="1"/>
  <c r="M35" i="3"/>
  <c r="M7" i="3"/>
  <c r="J34" i="3"/>
  <c r="O34" i="3" s="1"/>
  <c r="M43" i="3"/>
  <c r="M9" i="3"/>
  <c r="J36" i="3"/>
  <c r="M14" i="3"/>
  <c r="J41" i="3"/>
  <c r="O41" i="3" s="1"/>
  <c r="V11" i="3"/>
  <c r="X11" i="3" s="1"/>
  <c r="R11" i="3"/>
  <c r="T11" i="3" s="1"/>
  <c r="M21" i="3"/>
  <c r="J48" i="3"/>
  <c r="M6" i="3"/>
  <c r="J33" i="3"/>
  <c r="O33" i="3" s="1"/>
  <c r="N37" i="3"/>
  <c r="AL11" i="3"/>
  <c r="AO11" i="3" s="1"/>
  <c r="M18" i="3"/>
  <c r="J45" i="3"/>
  <c r="N45" i="3" s="1"/>
  <c r="CH3" i="3"/>
  <c r="M22" i="3"/>
  <c r="J49" i="3"/>
  <c r="O49" i="3" s="1"/>
  <c r="M12" i="3"/>
  <c r="J39" i="3"/>
  <c r="N41" i="2"/>
  <c r="Q14" i="2" s="1"/>
  <c r="M50" i="2"/>
  <c r="N50" i="2"/>
  <c r="N36" i="2"/>
  <c r="Q9" i="2" s="1"/>
  <c r="M32" i="2"/>
  <c r="Q5" i="2" s="1"/>
  <c r="AA5" i="2" s="1"/>
  <c r="N37" i="2"/>
  <c r="Q10" i="2" s="1"/>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A21" i="3"/>
  <c r="CF13" i="3"/>
  <c r="CD4" i="3"/>
  <c r="CK4" i="3" s="1"/>
  <c r="CE13" i="3"/>
  <c r="CC21" i="3"/>
  <c r="CD16" i="3"/>
  <c r="CD15" i="3"/>
  <c r="CK15" i="3" s="1"/>
  <c r="CE16" i="3"/>
  <c r="CC6" i="3"/>
  <c r="CD13" i="3"/>
  <c r="CK13" i="3" s="1"/>
  <c r="BZ15" i="3"/>
  <c r="CE15" i="3"/>
  <c r="CC15" i="3"/>
  <c r="CJ15" i="3" s="1"/>
  <c r="CE21" i="3"/>
  <c r="BZ13" i="3"/>
  <c r="CC5" i="3"/>
  <c r="CJ5" i="3" s="1"/>
  <c r="CD18" i="3"/>
  <c r="CF4" i="2"/>
  <c r="CF20" i="2"/>
  <c r="BZ4" i="2"/>
  <c r="BW4" i="2"/>
  <c r="CA4" i="2"/>
  <c r="CC4" i="2"/>
  <c r="CE4" i="2"/>
  <c r="CD4" i="2"/>
  <c r="CA16" i="2"/>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M46" i="2"/>
  <c r="AE17" i="4"/>
  <c r="F18" i="15" s="1"/>
  <c r="AD17" i="4"/>
  <c r="J18" i="15" s="1"/>
  <c r="R17" i="4"/>
  <c r="T17" i="4" s="1"/>
  <c r="AC17" i="4"/>
  <c r="H18" i="15" s="1"/>
  <c r="V17" i="4"/>
  <c r="AN17" i="4"/>
  <c r="O32" i="3"/>
  <c r="M32" i="3"/>
  <c r="N32" i="3"/>
  <c r="AH23" i="3"/>
  <c r="AG23" i="3"/>
  <c r="EW23" i="3" s="1"/>
  <c r="AF23" i="3"/>
  <c r="EV23" i="3" s="1"/>
  <c r="X23" i="3"/>
  <c r="M31" i="4"/>
  <c r="CB11" i="3"/>
  <c r="CI11" i="3" s="1"/>
  <c r="BX11" i="3"/>
  <c r="N50" i="3"/>
  <c r="CH14" i="4"/>
  <c r="CG14" i="4"/>
  <c r="CF14" i="4"/>
  <c r="CE14" i="4"/>
  <c r="CC14" i="4"/>
  <c r="CB14" i="4"/>
  <c r="BY14" i="4"/>
  <c r="CH15" i="4"/>
  <c r="V12" i="2"/>
  <c r="AD12" i="2"/>
  <c r="R12" i="2"/>
  <c r="T12" i="2" s="1"/>
  <c r="AL12" i="2"/>
  <c r="AE12" i="2"/>
  <c r="CI12" i="2" s="1"/>
  <c r="AC12" i="2"/>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F5" i="15" s="1"/>
  <c r="AD4" i="4"/>
  <c r="J5" i="15" s="1"/>
  <c r="AC4" i="4"/>
  <c r="H5" i="15" s="1"/>
  <c r="R4" i="4"/>
  <c r="T4" i="4" s="1"/>
  <c r="BX4" i="3"/>
  <c r="CB4" i="3"/>
  <c r="CI4" i="3" s="1"/>
  <c r="M31" i="3"/>
  <c r="O31" i="3"/>
  <c r="CF19" i="3"/>
  <c r="M40" i="2"/>
  <c r="V18" i="2"/>
  <c r="AL18" i="2"/>
  <c r="AD18" i="2"/>
  <c r="CH18" i="2" s="1"/>
  <c r="R18" i="2"/>
  <c r="T18" i="2" s="1"/>
  <c r="AC18" i="2"/>
  <c r="AE18" i="2"/>
  <c r="CI18" i="2" s="1"/>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N37" i="4"/>
  <c r="Q10" i="4" s="1"/>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CH6" i="2" s="1"/>
  <c r="R6" i="2"/>
  <c r="T6" i="2" s="1"/>
  <c r="AE7" i="2"/>
  <c r="CI7" i="2" s="1"/>
  <c r="AD7" i="2"/>
  <c r="V7" i="2"/>
  <c r="AL7" i="2"/>
  <c r="AC7" i="2"/>
  <c r="R7" i="2"/>
  <c r="T7" i="2" s="1"/>
  <c r="AE13" i="2"/>
  <c r="CI13" i="2" s="1"/>
  <c r="AD13" i="2"/>
  <c r="R13" i="2"/>
  <c r="T13" i="2" s="1"/>
  <c r="AC13" i="2"/>
  <c r="V13" i="2"/>
  <c r="AL13" i="2"/>
  <c r="CC4" i="3"/>
  <c r="CJ4" i="3" s="1"/>
  <c r="BZ3" i="1"/>
  <c r="CG3" i="1" s="1"/>
  <c r="BW3" i="1"/>
  <c r="M39" i="4"/>
  <c r="N47" i="2"/>
  <c r="N49" i="2"/>
  <c r="AF20" i="1"/>
  <c r="EW20" i="1" s="1"/>
  <c r="AH20" i="1"/>
  <c r="AG20" i="1"/>
  <c r="X20" i="1"/>
  <c r="AE9" i="4"/>
  <c r="F10" i="15" s="1"/>
  <c r="AD9" i="4"/>
  <c r="J10" i="15" s="1"/>
  <c r="R9" i="4"/>
  <c r="T9" i="4" s="1"/>
  <c r="AC9" i="4"/>
  <c r="H10" i="15" s="1"/>
  <c r="AN9" i="4"/>
  <c r="V9" i="4"/>
  <c r="V10" i="4"/>
  <c r="AN10" i="4"/>
  <c r="AE10" i="4"/>
  <c r="F11" i="15" s="1"/>
  <c r="AD10" i="4"/>
  <c r="J11" i="15" s="1"/>
  <c r="AC10" i="4"/>
  <c r="H11" i="15" s="1"/>
  <c r="R10" i="4"/>
  <c r="T10" i="4" s="1"/>
  <c r="N38" i="1"/>
  <c r="N47" i="4"/>
  <c r="M48" i="1"/>
  <c r="O48" i="1"/>
  <c r="X23" i="1"/>
  <c r="AF23" i="1"/>
  <c r="EW23" i="1" s="1"/>
  <c r="AH23" i="1"/>
  <c r="AG23" i="1"/>
  <c r="CB3" i="3"/>
  <c r="CI3" i="3" s="1"/>
  <c r="BX3" i="3"/>
  <c r="CG18" i="4"/>
  <c r="CC18" i="4"/>
  <c r="CB18" i="4"/>
  <c r="BY18" i="4"/>
  <c r="CF18" i="4"/>
  <c r="CH18" i="4"/>
  <c r="CE18" i="4"/>
  <c r="CE3" i="3"/>
  <c r="AC13" i="4"/>
  <c r="H14" i="15" s="1"/>
  <c r="AN13" i="4"/>
  <c r="R13" i="4"/>
  <c r="T13" i="4" s="1"/>
  <c r="AE13" i="4"/>
  <c r="F14" i="15" s="1"/>
  <c r="AD13" i="4"/>
  <c r="J14" i="15" s="1"/>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N46" i="4"/>
  <c r="CB2" i="3"/>
  <c r="CI2" i="3" s="1"/>
  <c r="BX2" i="3"/>
  <c r="N44" i="2"/>
  <c r="AO6" i="1"/>
  <c r="AW6" i="1" s="1"/>
  <c r="V21" i="4"/>
  <c r="AD21" i="4"/>
  <c r="J22" i="15" s="1"/>
  <c r="R21" i="4"/>
  <c r="T21" i="4" s="1"/>
  <c r="AN21" i="4"/>
  <c r="AE21" i="4"/>
  <c r="F22" i="15" s="1"/>
  <c r="AC21" i="4"/>
  <c r="H22" i="15" s="1"/>
  <c r="AN23" i="1"/>
  <c r="AL23" i="1"/>
  <c r="AM23" i="1" s="1"/>
  <c r="AP23" i="1" s="1"/>
  <c r="AN17" i="1"/>
  <c r="AL17" i="1"/>
  <c r="AM17" i="1" s="1"/>
  <c r="AP17" i="1" s="1"/>
  <c r="N43" i="4"/>
  <c r="N34" i="2"/>
  <c r="AO18" i="1"/>
  <c r="AW18" i="1" s="1"/>
  <c r="CB23" i="3"/>
  <c r="CI23" i="3" s="1"/>
  <c r="BX23" i="3"/>
  <c r="CD9" i="3"/>
  <c r="AE11" i="4"/>
  <c r="F12" i="15" s="1"/>
  <c r="AD11" i="4"/>
  <c r="J12" i="15" s="1"/>
  <c r="R11" i="4"/>
  <c r="T11" i="4" s="1"/>
  <c r="AC11" i="4"/>
  <c r="H12" i="15" s="1"/>
  <c r="AN11" i="4"/>
  <c r="V11" i="4"/>
  <c r="CE4" i="3"/>
  <c r="X22" i="1"/>
  <c r="AG22" i="1"/>
  <c r="AH22" i="1"/>
  <c r="AF22" i="1"/>
  <c r="EW22" i="1" s="1"/>
  <c r="BU3" i="1"/>
  <c r="CB3" i="1"/>
  <c r="CA3" i="1"/>
  <c r="CH3" i="1" s="1"/>
  <c r="BY3" i="1"/>
  <c r="CF3" i="1" s="1"/>
  <c r="BX3" i="1"/>
  <c r="CD3" i="1"/>
  <c r="CC3" i="1"/>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AO3" i="2"/>
  <c r="AM3" i="2"/>
  <c r="AN3" i="2" s="1"/>
  <c r="AQ3" i="2" s="1"/>
  <c r="AE18" i="4"/>
  <c r="F19" i="15" s="1"/>
  <c r="AN18" i="4"/>
  <c r="AC18" i="4"/>
  <c r="H19" i="15" s="1"/>
  <c r="R18" i="4"/>
  <c r="T18" i="4" s="1"/>
  <c r="AD18" i="4"/>
  <c r="J19" i="15" s="1"/>
  <c r="V18" i="4"/>
  <c r="CD9" i="4"/>
  <c r="BZ9" i="4"/>
  <c r="CD15" i="4"/>
  <c r="BZ15" i="4"/>
  <c r="AL8" i="1"/>
  <c r="AM8" i="1" s="1"/>
  <c r="AP8" i="1" s="1"/>
  <c r="AN8" i="1"/>
  <c r="N40" i="2"/>
  <c r="AI19" i="1"/>
  <c r="FE19" i="1" s="1"/>
  <c r="FH19" i="1" s="1"/>
  <c r="AF13" i="3"/>
  <c r="EV13" i="3" s="1"/>
  <c r="M46" i="4"/>
  <c r="BW10" i="1"/>
  <c r="BZ10" i="1"/>
  <c r="CG10" i="1" s="1"/>
  <c r="M44" i="2"/>
  <c r="CG14" i="1"/>
  <c r="Q15" i="4"/>
  <c r="AL12" i="1"/>
  <c r="AM12" i="1" s="1"/>
  <c r="AP12" i="1" s="1"/>
  <c r="AN12" i="1"/>
  <c r="CH12" i="4"/>
  <c r="CG12" i="4"/>
  <c r="CF12" i="4"/>
  <c r="CC12" i="4"/>
  <c r="CB12" i="4"/>
  <c r="BY12" i="4"/>
  <c r="CE12" i="4"/>
  <c r="CC10" i="1"/>
  <c r="N32" i="4"/>
  <c r="AG17" i="1"/>
  <c r="AF17" i="1"/>
  <c r="EW17" i="1" s="1"/>
  <c r="AH17" i="1"/>
  <c r="X17" i="1"/>
  <c r="CD12" i="1"/>
  <c r="AO19" i="1"/>
  <c r="AW19" i="1" s="1"/>
  <c r="CB8" i="2"/>
  <c r="M31" i="2"/>
  <c r="CF4" i="3"/>
  <c r="AO15" i="3"/>
  <c r="AM15" i="3"/>
  <c r="AN15" i="3" s="1"/>
  <c r="AQ15" i="3" s="1"/>
  <c r="V12" i="4"/>
  <c r="AE12" i="4"/>
  <c r="AD12" i="4"/>
  <c r="J13" i="15" s="1"/>
  <c r="R12" i="4"/>
  <c r="T12" i="4" s="1"/>
  <c r="AN12" i="4"/>
  <c r="AC12" i="4"/>
  <c r="H13" i="15" s="1"/>
  <c r="M47" i="2"/>
  <c r="BZ17" i="4"/>
  <c r="CD17" i="4"/>
  <c r="M49" i="2"/>
  <c r="BZ14" i="4"/>
  <c r="CD14" i="4"/>
  <c r="AH4" i="3"/>
  <c r="AF4" i="3"/>
  <c r="EV4" i="3" s="1"/>
  <c r="AG4" i="3"/>
  <c r="X4" i="3"/>
  <c r="CH5" i="4"/>
  <c r="BZ8" i="4"/>
  <c r="CD8" i="4"/>
  <c r="X10" i="1"/>
  <c r="AG10" i="1"/>
  <c r="AF10" i="1"/>
  <c r="EW10" i="1" s="1"/>
  <c r="AH10" i="1"/>
  <c r="Q5" i="1"/>
  <c r="ET5" i="1" s="1"/>
  <c r="AD20" i="4"/>
  <c r="J21" i="15" s="1"/>
  <c r="R20" i="4"/>
  <c r="T20" i="4" s="1"/>
  <c r="AC20" i="4"/>
  <c r="H21" i="15" s="1"/>
  <c r="AN20" i="4"/>
  <c r="AE20" i="4"/>
  <c r="F21" i="15" s="1"/>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CH22" i="2" s="1"/>
  <c r="AD5" i="2"/>
  <c r="CH5" i="2" s="1"/>
  <c r="R5" i="2"/>
  <c r="T5" i="2" s="1"/>
  <c r="AE5" i="2"/>
  <c r="CI5" i="2" s="1"/>
  <c r="AL5" i="2"/>
  <c r="AC5" i="2"/>
  <c r="V5" i="2"/>
  <c r="CE16" i="4"/>
  <c r="CB16" i="4"/>
  <c r="BY16" i="4"/>
  <c r="CG16" i="4"/>
  <c r="CF16" i="4"/>
  <c r="CC16" i="4"/>
  <c r="CH16" i="4"/>
  <c r="Y4" i="1"/>
  <c r="S4" i="1"/>
  <c r="Z4" i="1"/>
  <c r="AA4" i="1"/>
  <c r="W4" i="1"/>
  <c r="CG15" i="4"/>
  <c r="X8" i="3"/>
  <c r="AH8" i="3"/>
  <c r="AG8" i="3"/>
  <c r="EW8" i="3" s="1"/>
  <c r="AF8" i="3"/>
  <c r="EV8" i="3" s="1"/>
  <c r="AG11" i="3"/>
  <c r="EW11" i="3" s="1"/>
  <c r="BD38" i="4"/>
  <c r="AH12" i="1"/>
  <c r="AF12" i="1"/>
  <c r="EW12" i="1" s="1"/>
  <c r="X12" i="1"/>
  <c r="AG12" i="1"/>
  <c r="BZ8" i="1"/>
  <c r="CG8" i="1" s="1"/>
  <c r="BW8" i="1"/>
  <c r="M39" i="1"/>
  <c r="CH6" i="4"/>
  <c r="CG6" i="4"/>
  <c r="CE6" i="4"/>
  <c r="CF6" i="4"/>
  <c r="CC6" i="4"/>
  <c r="CB6" i="4"/>
  <c r="BY6" i="4"/>
  <c r="AN9" i="1"/>
  <c r="AL9" i="1"/>
  <c r="AM9" i="1" s="1"/>
  <c r="AP9" i="1" s="1"/>
  <c r="V16" i="4"/>
  <c r="AE16" i="4"/>
  <c r="F17" i="15" s="1"/>
  <c r="AC16" i="4"/>
  <c r="H17" i="15" s="1"/>
  <c r="R16" i="4"/>
  <c r="T16" i="4" s="1"/>
  <c r="AN16" i="4"/>
  <c r="AD16" i="4"/>
  <c r="J17" i="15"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K11" i="3" s="1"/>
  <c r="CC11" i="3"/>
  <c r="CJ11" i="3" s="1"/>
  <c r="CA11" i="3"/>
  <c r="CF11" i="3"/>
  <c r="CE11" i="3"/>
  <c r="BW11" i="3"/>
  <c r="BZ11" i="3"/>
  <c r="AH10" i="3"/>
  <c r="X10" i="3"/>
  <c r="AF10" i="3"/>
  <c r="EV10" i="3" s="1"/>
  <c r="AG10" i="3"/>
  <c r="EW10" i="3" s="1"/>
  <c r="CD6" i="3"/>
  <c r="V8" i="4"/>
  <c r="AE8" i="4"/>
  <c r="F9" i="15" s="1"/>
  <c r="AD8" i="4"/>
  <c r="J9" i="15" s="1"/>
  <c r="R8" i="4"/>
  <c r="T8" i="4" s="1"/>
  <c r="AN8" i="4"/>
  <c r="AC8" i="4"/>
  <c r="H9" i="15" s="1"/>
  <c r="V6" i="4"/>
  <c r="AE6" i="4"/>
  <c r="F7" i="15" s="1"/>
  <c r="AC6" i="4"/>
  <c r="H7" i="15" s="1"/>
  <c r="AN6" i="4"/>
  <c r="R6" i="4"/>
  <c r="T6" i="4" s="1"/>
  <c r="AD6" i="4"/>
  <c r="J7" i="15" s="1"/>
  <c r="N31" i="4"/>
  <c r="AE15" i="4"/>
  <c r="F16" i="15" s="1"/>
  <c r="AC15" i="4"/>
  <c r="H16" i="15" s="1"/>
  <c r="AN15" i="4"/>
  <c r="V15" i="4"/>
  <c r="R15" i="4"/>
  <c r="T15" i="4" s="1"/>
  <c r="AD15" i="4"/>
  <c r="J16" i="15" s="1"/>
  <c r="CB20" i="3"/>
  <c r="CI20" i="3" s="1"/>
  <c r="BX20" i="3"/>
  <c r="M41" i="1"/>
  <c r="O41" i="1"/>
  <c r="AG9" i="1"/>
  <c r="AF9" i="1"/>
  <c r="EW9" i="1" s="1"/>
  <c r="X9" i="1"/>
  <c r="AH9" i="1"/>
  <c r="V9" i="2"/>
  <c r="AE9" i="2"/>
  <c r="CI9" i="2" s="1"/>
  <c r="AC9" i="2"/>
  <c r="AL9" i="2"/>
  <c r="AD9" i="2"/>
  <c r="R9" i="2"/>
  <c r="T9" i="2" s="1"/>
  <c r="M41" i="4"/>
  <c r="AA11" i="2"/>
  <c r="Z11" i="2"/>
  <c r="Y11" i="2"/>
  <c r="S11" i="2"/>
  <c r="W11" i="2"/>
  <c r="M35" i="2"/>
  <c r="BZ8" i="3"/>
  <c r="CF8" i="3"/>
  <c r="CD8" i="3"/>
  <c r="CK8" i="3" s="1"/>
  <c r="CC8" i="3"/>
  <c r="CJ8" i="3" s="1"/>
  <c r="CA8" i="3"/>
  <c r="CH8" i="3" s="1"/>
  <c r="BW8" i="3"/>
  <c r="CE8" i="3"/>
  <c r="CF3" i="3"/>
  <c r="V14" i="4"/>
  <c r="AE14" i="4"/>
  <c r="F15" i="15" s="1"/>
  <c r="AN14" i="4"/>
  <c r="R14" i="4"/>
  <c r="T14" i="4" s="1"/>
  <c r="AD14" i="4"/>
  <c r="J15" i="15" s="1"/>
  <c r="AC14" i="4"/>
  <c r="H15" i="15" s="1"/>
  <c r="AH11" i="1"/>
  <c r="AG11" i="1"/>
  <c r="AF11" i="1"/>
  <c r="EW11" i="1" s="1"/>
  <c r="X11" i="1"/>
  <c r="AM8" i="3"/>
  <c r="AN8" i="3" s="1"/>
  <c r="AQ8" i="3" s="1"/>
  <c r="AO8" i="3"/>
  <c r="AC5" i="4"/>
  <c r="H6" i="15" s="1"/>
  <c r="AN5" i="4"/>
  <c r="R5" i="4"/>
  <c r="T5" i="4" s="1"/>
  <c r="AE5" i="4"/>
  <c r="F6" i="15" s="1"/>
  <c r="AD5" i="4"/>
  <c r="J6" i="15" s="1"/>
  <c r="V5" i="4"/>
  <c r="BX19" i="3"/>
  <c r="CB19" i="3"/>
  <c r="CI19" i="3" s="1"/>
  <c r="Q7" i="4"/>
  <c r="N35" i="1"/>
  <c r="CF19" i="4"/>
  <c r="CE9" i="3"/>
  <c r="AL4" i="2"/>
  <c r="V4" i="2"/>
  <c r="R4" i="2"/>
  <c r="T4" i="2" s="1"/>
  <c r="AD4" i="2"/>
  <c r="AC4" i="2"/>
  <c r="AE4" i="2"/>
  <c r="CI4" i="2" s="1"/>
  <c r="AO21" i="2"/>
  <c r="AM21" i="2"/>
  <c r="AN21" i="2" s="1"/>
  <c r="AQ21" i="2" s="1"/>
  <c r="CF20" i="4"/>
  <c r="CE20" i="4"/>
  <c r="CC20" i="4"/>
  <c r="CB20" i="4"/>
  <c r="BY20" i="4"/>
  <c r="CH20" i="4"/>
  <c r="CG20" i="4"/>
  <c r="N30" i="4"/>
  <c r="Q3" i="4" s="1"/>
  <c r="CF23" i="3"/>
  <c r="CE23" i="3"/>
  <c r="CD23" i="3"/>
  <c r="CK23" i="3" s="1"/>
  <c r="CC23" i="3"/>
  <c r="CJ23" i="3" s="1"/>
  <c r="CA23" i="3"/>
  <c r="CH23" i="3" s="1"/>
  <c r="BZ23" i="3"/>
  <c r="BW23" i="3"/>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X14" i="1"/>
  <c r="AG14" i="1"/>
  <c r="AF14" i="1"/>
  <c r="EW14" i="1" s="1"/>
  <c r="AH14" i="1"/>
  <c r="M39" i="2"/>
  <c r="AC15" i="2"/>
  <c r="AL15" i="2"/>
  <c r="V15" i="2"/>
  <c r="AE15" i="2"/>
  <c r="AD15" i="2"/>
  <c r="R15" i="2"/>
  <c r="T15" i="2" s="1"/>
  <c r="CC8" i="1"/>
  <c r="BX8" i="1"/>
  <c r="BU8" i="1"/>
  <c r="CD8" i="1"/>
  <c r="CB8" i="1"/>
  <c r="CA8" i="1"/>
  <c r="CH8" i="1" s="1"/>
  <c r="BY8" i="1"/>
  <c r="CF8" i="1" s="1"/>
  <c r="N39" i="2"/>
  <c r="AE22" i="4"/>
  <c r="F23" i="15" s="1"/>
  <c r="AD22" i="4"/>
  <c r="J23" i="15" s="1"/>
  <c r="R22" i="4"/>
  <c r="T22" i="4" s="1"/>
  <c r="AC22" i="4"/>
  <c r="H23" i="15" s="1"/>
  <c r="AN22" i="4"/>
  <c r="V22" i="4"/>
  <c r="BZ9" i="3"/>
  <c r="V19" i="4"/>
  <c r="AE19" i="4"/>
  <c r="F20" i="15" s="1"/>
  <c r="AD19" i="4"/>
  <c r="J20" i="15" s="1"/>
  <c r="R19" i="4"/>
  <c r="T19" i="4" s="1"/>
  <c r="AN19" i="4"/>
  <c r="AC19" i="4"/>
  <c r="H20" i="15" s="1"/>
  <c r="CB17" i="3"/>
  <c r="CI17" i="3" s="1"/>
  <c r="BX17" i="3"/>
  <c r="CB8" i="4"/>
  <c r="BY8" i="4"/>
  <c r="CG8" i="4"/>
  <c r="CF8" i="4"/>
  <c r="CH8" i="4"/>
  <c r="CE8" i="4"/>
  <c r="CC8" i="4"/>
  <c r="N39" i="1"/>
  <c r="AL21" i="1"/>
  <c r="AM21" i="1" s="1"/>
  <c r="AP21" i="1" s="1"/>
  <c r="AN21" i="1"/>
  <c r="N41" i="4"/>
  <c r="AE14" i="2"/>
  <c r="AD14" i="2"/>
  <c r="R14" i="2"/>
  <c r="T14" i="2" s="1"/>
  <c r="AC14" i="2"/>
  <c r="V14" i="2"/>
  <c r="AL14" i="2"/>
  <c r="CD19" i="4"/>
  <c r="BZ19" i="4"/>
  <c r="M35" i="1"/>
  <c r="BX12" i="1"/>
  <c r="N50" i="4"/>
  <c r="S19" i="1"/>
  <c r="AA19" i="1"/>
  <c r="Z19" i="1"/>
  <c r="Y19" i="1"/>
  <c r="W19" i="1"/>
  <c r="CG19" i="4"/>
  <c r="CC9" i="3"/>
  <c r="AE3" i="4"/>
  <c r="AD3" i="4"/>
  <c r="J4" i="15" s="1"/>
  <c r="R3" i="4"/>
  <c r="T3" i="4" s="1"/>
  <c r="AC3" i="4"/>
  <c r="H4" i="15" s="1"/>
  <c r="AN3" i="4"/>
  <c r="V3" i="4"/>
  <c r="BX5" i="3"/>
  <c r="CB5" i="3"/>
  <c r="CI5" i="3" s="1"/>
  <c r="AO3" i="1"/>
  <c r="AW3" i="1" s="1"/>
  <c r="U11" i="2"/>
  <c r="N33" i="4"/>
  <c r="CG20"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N48" i="1"/>
  <c r="AL15" i="1"/>
  <c r="AM15" i="1" s="1"/>
  <c r="AP15" i="1" s="1"/>
  <c r="AN15" i="1"/>
  <c r="CB6" i="3"/>
  <c r="CI6" i="3" s="1"/>
  <c r="BX6" i="3"/>
  <c r="AL17" i="2"/>
  <c r="V17" i="2"/>
  <c r="AD17" i="2"/>
  <c r="R17" i="2"/>
  <c r="T17" i="2" s="1"/>
  <c r="AE17" i="2"/>
  <c r="CI17" i="2" s="1"/>
  <c r="AC17" i="2"/>
  <c r="Q13" i="3"/>
  <c r="O34" i="1"/>
  <c r="N34" i="1"/>
  <c r="N35" i="2"/>
  <c r="AD8" i="2"/>
  <c r="R8" i="2"/>
  <c r="T8" i="2" s="1"/>
  <c r="AC8" i="2"/>
  <c r="AE8" i="2"/>
  <c r="AL8" i="2"/>
  <c r="V8" i="2"/>
  <c r="BZ7" i="4"/>
  <c r="CD7" i="4"/>
  <c r="AH21" i="1"/>
  <c r="AG21" i="1"/>
  <c r="AF21" i="1"/>
  <c r="EW21" i="1" s="1"/>
  <c r="X21" i="1"/>
  <c r="BZ3" i="3"/>
  <c r="N40" i="4"/>
  <c r="CB16" i="2"/>
  <c r="BZ2" i="3"/>
  <c r="CF2" i="3"/>
  <c r="CE2" i="3"/>
  <c r="CD2" i="3"/>
  <c r="CK2" i="3" s="1"/>
  <c r="CC2" i="3"/>
  <c r="CJ2" i="3" s="1"/>
  <c r="CA2" i="3"/>
  <c r="CH2" i="3" s="1"/>
  <c r="BW2" i="3"/>
  <c r="M42" i="2"/>
  <c r="CB15" i="3"/>
  <c r="CI15" i="3" s="1"/>
  <c r="BX15" i="3"/>
  <c r="CI3" i="2"/>
  <c r="AE7" i="4"/>
  <c r="F8" i="15" s="1"/>
  <c r="AC7" i="4"/>
  <c r="H8" i="15" s="1"/>
  <c r="AN7" i="4"/>
  <c r="V7" i="4"/>
  <c r="R7" i="4"/>
  <c r="T7" i="4" s="1"/>
  <c r="AD7" i="4"/>
  <c r="J8" i="15" s="1"/>
  <c r="X3" i="2"/>
  <c r="AG3" i="2"/>
  <c r="AI3" i="2"/>
  <c r="AH3" i="2"/>
  <c r="AF3" i="2"/>
  <c r="EW3" i="2" s="1"/>
  <c r="CA12" i="1"/>
  <c r="CH12" i="1" s="1"/>
  <c r="AD23" i="4"/>
  <c r="J24" i="15" s="1"/>
  <c r="R23" i="4"/>
  <c r="T23" i="4" s="1"/>
  <c r="AN23" i="4"/>
  <c r="V23" i="4"/>
  <c r="AC23" i="4"/>
  <c r="H24" i="15" s="1"/>
  <c r="AE23" i="4"/>
  <c r="F24" i="15" s="1"/>
  <c r="AE23" i="2"/>
  <c r="CI23" i="2" s="1"/>
  <c r="AD23" i="2"/>
  <c r="CH23" i="2" s="1"/>
  <c r="R23" i="2"/>
  <c r="T23" i="2" s="1"/>
  <c r="V23" i="2"/>
  <c r="AL23" i="2"/>
  <c r="AC23" i="2"/>
  <c r="M38" i="1"/>
  <c r="CF23" i="1"/>
  <c r="CH19" i="4"/>
  <c r="CF9" i="3"/>
  <c r="M45" i="4"/>
  <c r="AH21" i="2"/>
  <c r="X21" i="2"/>
  <c r="AG21" i="2"/>
  <c r="AI21" i="2"/>
  <c r="AF21" i="2"/>
  <c r="EW21" i="2" s="1"/>
  <c r="CE5" i="3"/>
  <c r="N46" i="2"/>
  <c r="Q21" i="2"/>
  <c r="AN7" i="1"/>
  <c r="AL7" i="1"/>
  <c r="AM7" i="1" s="1"/>
  <c r="AP7" i="1" s="1"/>
  <c r="M33" i="4"/>
  <c r="AO5" i="3"/>
  <c r="AM5" i="3"/>
  <c r="AN5" i="3" s="1"/>
  <c r="AQ5" i="3" s="1"/>
  <c r="AL16" i="2"/>
  <c r="V16" i="2"/>
  <c r="AC16" i="2"/>
  <c r="R16" i="2"/>
  <c r="T16" i="2" s="1"/>
  <c r="AD16" i="2"/>
  <c r="AE16" i="2"/>
  <c r="CE6" i="3"/>
  <c r="AA3" i="3" l="1"/>
  <c r="U3" i="3"/>
  <c r="Z3" i="3"/>
  <c r="S3" i="3"/>
  <c r="Y3" i="3"/>
  <c r="W3" i="3"/>
  <c r="Y13" i="1"/>
  <c r="S13" i="1"/>
  <c r="Y3" i="1"/>
  <c r="CK3" i="4"/>
  <c r="F4" i="15"/>
  <c r="Q5" i="4"/>
  <c r="C4" i="15"/>
  <c r="E4" i="15"/>
  <c r="U22" i="1"/>
  <c r="U3" i="1"/>
  <c r="FA2" i="4"/>
  <c r="L3" i="15"/>
  <c r="CH11" i="3"/>
  <c r="CK16" i="3"/>
  <c r="W18" i="1"/>
  <c r="AG16" i="3"/>
  <c r="AM11" i="3"/>
  <c r="AN11" i="3" s="1"/>
  <c r="AQ11" i="3" s="1"/>
  <c r="AP11" i="3" s="1"/>
  <c r="AX11" i="3" s="1"/>
  <c r="Z18" i="1"/>
  <c r="C16" i="15"/>
  <c r="E16" i="15"/>
  <c r="CK12" i="4"/>
  <c r="F13" i="15"/>
  <c r="Y18" i="1"/>
  <c r="AM16" i="3"/>
  <c r="AN16" i="3" s="1"/>
  <c r="AQ16" i="3" s="1"/>
  <c r="S18" i="1"/>
  <c r="FA3" i="1"/>
  <c r="Y17" i="4"/>
  <c r="C18" i="15"/>
  <c r="E18" i="15"/>
  <c r="FB4" i="1"/>
  <c r="U18" i="1"/>
  <c r="Q15" i="2"/>
  <c r="C8" i="15"/>
  <c r="E8" i="15"/>
  <c r="C11" i="15"/>
  <c r="E11" i="15"/>
  <c r="Q20" i="1"/>
  <c r="Y20" i="1" s="1"/>
  <c r="AA3" i="1"/>
  <c r="EX5" i="1"/>
  <c r="FI5" i="1" s="1"/>
  <c r="AH16" i="3"/>
  <c r="Q18" i="2"/>
  <c r="Y18" i="2" s="1"/>
  <c r="X16" i="3"/>
  <c r="Q23" i="4"/>
  <c r="Q4" i="2"/>
  <c r="AB4" i="2" s="1"/>
  <c r="AF16" i="3"/>
  <c r="EV16" i="3" s="1"/>
  <c r="AH13" i="3"/>
  <c r="AF11" i="3"/>
  <c r="EV11" i="3" s="1"/>
  <c r="AG13" i="3"/>
  <c r="EW13" i="3" s="1"/>
  <c r="AO13" i="3"/>
  <c r="AH11" i="3"/>
  <c r="EU11" i="3" s="1"/>
  <c r="Q9" i="4"/>
  <c r="EX4" i="1"/>
  <c r="Q13" i="4"/>
  <c r="ET13" i="4" s="1"/>
  <c r="Q23" i="2"/>
  <c r="AB23" i="2" s="1"/>
  <c r="Q8" i="4"/>
  <c r="EZ18" i="1"/>
  <c r="FK18" i="1" s="1"/>
  <c r="ET6" i="1"/>
  <c r="FB6" i="1" s="1"/>
  <c r="S6" i="1"/>
  <c r="Z6" i="1"/>
  <c r="W6" i="1"/>
  <c r="Y6" i="1"/>
  <c r="AA6" i="1"/>
  <c r="U6" i="1"/>
  <c r="FL2" i="2"/>
  <c r="N43" i="3"/>
  <c r="O43" i="3"/>
  <c r="Q12" i="4"/>
  <c r="FN2" i="2"/>
  <c r="FO2" i="2"/>
  <c r="CJ13" i="3"/>
  <c r="ET15" i="1"/>
  <c r="Y15" i="1"/>
  <c r="S15" i="1"/>
  <c r="AA15" i="1"/>
  <c r="U15" i="1"/>
  <c r="Z15" i="1"/>
  <c r="W15" i="1"/>
  <c r="FE5" i="1"/>
  <c r="FH5" i="1" s="1"/>
  <c r="U17" i="4"/>
  <c r="CM8" i="4"/>
  <c r="U16" i="2"/>
  <c r="Z17" i="4"/>
  <c r="G18" i="15" s="1"/>
  <c r="EX3" i="1"/>
  <c r="FI3" i="1" s="1"/>
  <c r="Q16" i="1"/>
  <c r="U16" i="1" s="1"/>
  <c r="ET20" i="1"/>
  <c r="U20" i="1"/>
  <c r="W20" i="1"/>
  <c r="AA20" i="1"/>
  <c r="S20" i="1"/>
  <c r="Z20" i="1"/>
  <c r="M34" i="3"/>
  <c r="FC3" i="1"/>
  <c r="FD3" i="1"/>
  <c r="FF3" i="1" s="1"/>
  <c r="CK17" i="4"/>
  <c r="CH16" i="2"/>
  <c r="CK22" i="2"/>
  <c r="M49" i="3"/>
  <c r="W3" i="1"/>
  <c r="Q10" i="3"/>
  <c r="W10" i="3" s="1"/>
  <c r="FA18" i="1"/>
  <c r="FE18" i="1"/>
  <c r="FH18" i="1" s="1"/>
  <c r="FO2" i="3"/>
  <c r="FC6" i="1"/>
  <c r="EY6" i="1"/>
  <c r="FJ6" i="1" s="1"/>
  <c r="U13" i="1"/>
  <c r="ET13" i="1"/>
  <c r="FC13" i="1" s="1"/>
  <c r="Q8" i="1"/>
  <c r="S8" i="1" s="1"/>
  <c r="AJ11" i="2"/>
  <c r="FE11" i="2" s="1"/>
  <c r="FH11" i="2" s="1"/>
  <c r="EU11" i="2"/>
  <c r="EX11" i="2" s="1"/>
  <c r="FB11" i="2"/>
  <c r="FA11" i="2"/>
  <c r="EU10" i="3"/>
  <c r="EV20" i="1"/>
  <c r="Q23" i="3"/>
  <c r="CK11" i="4"/>
  <c r="Q21" i="4"/>
  <c r="FI19" i="1"/>
  <c r="EX18" i="1"/>
  <c r="EZ3" i="1"/>
  <c r="FK3" i="1" s="1"/>
  <c r="EU16" i="3"/>
  <c r="EU20" i="1"/>
  <c r="EX20" i="1" s="1"/>
  <c r="FB20" i="1"/>
  <c r="ET21" i="2"/>
  <c r="AB21" i="2"/>
  <c r="CI16" i="2"/>
  <c r="AB10" i="4"/>
  <c r="K11" i="15" s="1"/>
  <c r="ET10" i="4"/>
  <c r="BY11" i="2"/>
  <c r="EV11" i="2"/>
  <c r="EZ11" i="2" s="1"/>
  <c r="FK11" i="2" s="1"/>
  <c r="Q19" i="4"/>
  <c r="EV22" i="1"/>
  <c r="EZ22" i="1" s="1"/>
  <c r="FK22" i="1" s="1"/>
  <c r="EU8" i="1"/>
  <c r="EU16" i="1"/>
  <c r="FC4" i="1"/>
  <c r="FA19" i="1"/>
  <c r="AB3" i="4"/>
  <c r="K4" i="15" s="1"/>
  <c r="ET3" i="4"/>
  <c r="AI13" i="3"/>
  <c r="AJ13" i="3" s="1"/>
  <c r="EU22" i="1"/>
  <c r="EX22" i="1" s="1"/>
  <c r="FB22" i="1"/>
  <c r="EU23" i="1"/>
  <c r="EV16" i="1"/>
  <c r="CH13" i="2"/>
  <c r="FE2" i="4"/>
  <c r="FH2" i="4" s="1"/>
  <c r="FB2" i="4"/>
  <c r="EX2" i="4"/>
  <c r="FD2" i="4"/>
  <c r="FD6" i="1"/>
  <c r="FA6" i="1"/>
  <c r="FG18" i="1"/>
  <c r="FF18" i="1"/>
  <c r="ET4" i="2"/>
  <c r="AB8" i="4"/>
  <c r="K9" i="15" s="1"/>
  <c r="ET8" i="4"/>
  <c r="EU13" i="3"/>
  <c r="EV23" i="1"/>
  <c r="EU3" i="3"/>
  <c r="EV8" i="1"/>
  <c r="CL13" i="4"/>
  <c r="S5" i="2"/>
  <c r="ET5" i="2"/>
  <c r="AB5" i="2"/>
  <c r="ET10" i="3"/>
  <c r="M42" i="3"/>
  <c r="O42" i="3"/>
  <c r="N42" i="3"/>
  <c r="FE6" i="1"/>
  <c r="FH6" i="1" s="1"/>
  <c r="U4" i="2"/>
  <c r="EU23" i="3"/>
  <c r="AB9" i="2"/>
  <c r="ET9" i="2"/>
  <c r="ET17" i="4"/>
  <c r="AB17" i="4"/>
  <c r="K18" i="15" s="1"/>
  <c r="EU3" i="2"/>
  <c r="EX3" i="2" s="1"/>
  <c r="AB7" i="4"/>
  <c r="K8" i="15" s="1"/>
  <c r="ET7" i="4"/>
  <c r="EU8" i="3"/>
  <c r="AI4" i="3"/>
  <c r="EW4" i="3"/>
  <c r="ET12" i="4"/>
  <c r="AB12" i="4"/>
  <c r="K13" i="15" s="1"/>
  <c r="BY21" i="2"/>
  <c r="EV21" i="2"/>
  <c r="BY3" i="2"/>
  <c r="EV3" i="2"/>
  <c r="EZ3" i="2" s="1"/>
  <c r="FK3" i="2" s="1"/>
  <c r="ET15" i="2"/>
  <c r="AB15" i="2"/>
  <c r="EV9" i="1"/>
  <c r="EU12" i="1"/>
  <c r="EV17" i="1"/>
  <c r="ET9" i="4"/>
  <c r="AB9" i="4"/>
  <c r="K10" i="15" s="1"/>
  <c r="FB15" i="1"/>
  <c r="EU15" i="1"/>
  <c r="N47" i="3"/>
  <c r="Q11" i="4"/>
  <c r="FA5" i="1"/>
  <c r="EY4" i="1"/>
  <c r="FJ4" i="1" s="1"/>
  <c r="FD4" i="1"/>
  <c r="S10" i="1"/>
  <c r="ET10" i="1"/>
  <c r="FB10" i="1" s="1"/>
  <c r="EZ5" i="1"/>
  <c r="FK5" i="1" s="1"/>
  <c r="FB5" i="1"/>
  <c r="FD13" i="1"/>
  <c r="FI4" i="1"/>
  <c r="EU21" i="1"/>
  <c r="FC19" i="1"/>
  <c r="EY19" i="1"/>
  <c r="FJ19" i="1" s="1"/>
  <c r="EV11" i="1"/>
  <c r="EU7" i="1"/>
  <c r="EU15" i="3"/>
  <c r="EU17" i="1"/>
  <c r="S17" i="4"/>
  <c r="EU5" i="3"/>
  <c r="AB14" i="2"/>
  <c r="ET14" i="2"/>
  <c r="M47" i="3"/>
  <c r="FG5" i="1"/>
  <c r="FF5" i="1"/>
  <c r="FA4" i="1"/>
  <c r="EV14" i="1"/>
  <c r="EU11" i="1"/>
  <c r="EU4" i="3"/>
  <c r="EV21" i="1"/>
  <c r="ET15" i="4"/>
  <c r="AB15" i="4"/>
  <c r="K16" i="15" s="1"/>
  <c r="EU21" i="2"/>
  <c r="FB21" i="2"/>
  <c r="AB13" i="3"/>
  <c r="ET13" i="3"/>
  <c r="EX13" i="3" s="1"/>
  <c r="EU14" i="1"/>
  <c r="FB9" i="1"/>
  <c r="EU9" i="1"/>
  <c r="EX9" i="1" s="1"/>
  <c r="EV7" i="1"/>
  <c r="EV12" i="1"/>
  <c r="AB10" i="2"/>
  <c r="ET10" i="2"/>
  <c r="EV10" i="1"/>
  <c r="ET5" i="4"/>
  <c r="AA13" i="1"/>
  <c r="EV15" i="1"/>
  <c r="Q23" i="1"/>
  <c r="Y23" i="1" s="1"/>
  <c r="FC5" i="1"/>
  <c r="EY5" i="1"/>
  <c r="FJ5" i="1" s="1"/>
  <c r="FD19" i="1"/>
  <c r="Q22" i="4"/>
  <c r="Q6" i="4"/>
  <c r="W6" i="4" s="1"/>
  <c r="Q18" i="4"/>
  <c r="W13" i="1"/>
  <c r="W17" i="4"/>
  <c r="N33" i="3"/>
  <c r="AB3" i="3"/>
  <c r="ET3" i="3"/>
  <c r="ET16" i="2"/>
  <c r="AB16" i="2"/>
  <c r="AB23" i="4"/>
  <c r="K24" i="15" s="1"/>
  <c r="ET23" i="4"/>
  <c r="CM20" i="4"/>
  <c r="EU10" i="1"/>
  <c r="Z13" i="1"/>
  <c r="EW16" i="3"/>
  <c r="Q8" i="3"/>
  <c r="AA8" i="3" s="1"/>
  <c r="EY18" i="1"/>
  <c r="FJ18" i="1" s="1"/>
  <c r="FC18" i="1"/>
  <c r="EY3" i="1"/>
  <c r="FJ3" i="1" s="1"/>
  <c r="FB3" i="2"/>
  <c r="O38" i="3"/>
  <c r="M38" i="3"/>
  <c r="AW2" i="4"/>
  <c r="W10" i="1"/>
  <c r="Q7" i="1"/>
  <c r="ET7" i="1" s="1"/>
  <c r="FB7" i="1" s="1"/>
  <c r="Q12" i="1"/>
  <c r="Z12" i="1" s="1"/>
  <c r="AA10" i="1"/>
  <c r="AI23" i="1"/>
  <c r="Q17" i="1"/>
  <c r="ET17" i="1" s="1"/>
  <c r="AI9" i="1"/>
  <c r="FE9" i="1" s="1"/>
  <c r="FH9" i="1" s="1"/>
  <c r="AI7" i="1"/>
  <c r="FE7" i="1" s="1"/>
  <c r="FH7" i="1" s="1"/>
  <c r="U23" i="1"/>
  <c r="Q14" i="1"/>
  <c r="AA14" i="1" s="1"/>
  <c r="Y10" i="1"/>
  <c r="AI11" i="1"/>
  <c r="FE11" i="1" s="1"/>
  <c r="FH11" i="1" s="1"/>
  <c r="AI10" i="1"/>
  <c r="Z10" i="1"/>
  <c r="U10" i="1"/>
  <c r="Q14" i="4"/>
  <c r="Q16" i="4"/>
  <c r="CK22" i="4"/>
  <c r="CL18" i="4"/>
  <c r="Q20" i="4"/>
  <c r="U12" i="4"/>
  <c r="CK21" i="4"/>
  <c r="U9" i="4"/>
  <c r="CK10" i="4"/>
  <c r="CK9" i="4"/>
  <c r="CM14" i="4"/>
  <c r="CL23" i="4"/>
  <c r="CM19" i="4"/>
  <c r="CL11" i="4"/>
  <c r="U15" i="4"/>
  <c r="CM17" i="4"/>
  <c r="CK20" i="4"/>
  <c r="CL8" i="4"/>
  <c r="O39" i="3"/>
  <c r="M39" i="3"/>
  <c r="AD14" i="3"/>
  <c r="CK14" i="3" s="1"/>
  <c r="AC14" i="3"/>
  <c r="CJ14" i="3" s="1"/>
  <c r="AE14" i="3"/>
  <c r="CH14" i="3" s="1"/>
  <c r="AL14" i="3"/>
  <c r="V14" i="3"/>
  <c r="R14" i="3"/>
  <c r="T14" i="3" s="1"/>
  <c r="O44" i="3"/>
  <c r="N44" i="3"/>
  <c r="AL12" i="3"/>
  <c r="R12" i="3"/>
  <c r="T12" i="3" s="1"/>
  <c r="AC12" i="3"/>
  <c r="CJ12" i="3" s="1"/>
  <c r="AD12" i="3"/>
  <c r="CK12" i="3" s="1"/>
  <c r="V12" i="3"/>
  <c r="AE12" i="3"/>
  <c r="CH12" i="3" s="1"/>
  <c r="M36" i="3"/>
  <c r="O36" i="3"/>
  <c r="M44" i="3"/>
  <c r="V6" i="3"/>
  <c r="R6" i="3"/>
  <c r="T6" i="3" s="1"/>
  <c r="AL6" i="3"/>
  <c r="AE6" i="3"/>
  <c r="CH6" i="3" s="1"/>
  <c r="AD6" i="3"/>
  <c r="CK6" i="3" s="1"/>
  <c r="AC6" i="3"/>
  <c r="CJ6" i="3" s="1"/>
  <c r="AE9" i="3"/>
  <c r="CH9" i="3" s="1"/>
  <c r="AD9" i="3"/>
  <c r="CK9" i="3" s="1"/>
  <c r="R9" i="3"/>
  <c r="T9" i="3" s="1"/>
  <c r="V9" i="3"/>
  <c r="AL9" i="3"/>
  <c r="AC9" i="3"/>
  <c r="CJ9" i="3" s="1"/>
  <c r="AD17" i="3"/>
  <c r="CK17" i="3" s="1"/>
  <c r="AL17" i="3"/>
  <c r="AC17" i="3"/>
  <c r="CJ17" i="3" s="1"/>
  <c r="V17" i="3"/>
  <c r="R17" i="3"/>
  <c r="T17" i="3" s="1"/>
  <c r="AE17" i="3"/>
  <c r="CH17" i="3" s="1"/>
  <c r="N49" i="3"/>
  <c r="Q22" i="3" s="1"/>
  <c r="V21" i="3"/>
  <c r="AE21" i="3"/>
  <c r="CH21" i="3" s="1"/>
  <c r="R21" i="3"/>
  <c r="T21" i="3" s="1"/>
  <c r="AD21" i="3"/>
  <c r="CK21" i="3" s="1"/>
  <c r="AC21" i="3"/>
  <c r="CJ21" i="3" s="1"/>
  <c r="AL21" i="3"/>
  <c r="S10" i="3"/>
  <c r="Y10" i="3"/>
  <c r="AE22" i="3"/>
  <c r="CH22" i="3" s="1"/>
  <c r="AC22" i="3"/>
  <c r="CJ22" i="3" s="1"/>
  <c r="V22" i="3"/>
  <c r="AL22" i="3"/>
  <c r="R22" i="3"/>
  <c r="T22" i="3" s="1"/>
  <c r="AD22" i="3"/>
  <c r="CK22" i="3" s="1"/>
  <c r="N34" i="3"/>
  <c r="Q7" i="3" s="1"/>
  <c r="M33" i="3"/>
  <c r="Z10" i="3"/>
  <c r="N48" i="3"/>
  <c r="M48" i="3"/>
  <c r="O48" i="3"/>
  <c r="AA10" i="3"/>
  <c r="O45" i="3"/>
  <c r="M45" i="3"/>
  <c r="V7" i="3"/>
  <c r="AC7" i="3"/>
  <c r="AD7" i="3"/>
  <c r="CK7" i="3" s="1"/>
  <c r="AL7" i="3"/>
  <c r="AE7" i="3"/>
  <c r="CH7" i="3" s="1"/>
  <c r="R7" i="3"/>
  <c r="T7" i="3" s="1"/>
  <c r="AE20" i="3"/>
  <c r="AD20" i="3"/>
  <c r="CK20" i="3" s="1"/>
  <c r="R20" i="3"/>
  <c r="T20" i="3" s="1"/>
  <c r="AC20" i="3"/>
  <c r="AL20" i="3"/>
  <c r="V20" i="3"/>
  <c r="AE18" i="3"/>
  <c r="CH18" i="3" s="1"/>
  <c r="AD18" i="3"/>
  <c r="CK18" i="3" s="1"/>
  <c r="AC18" i="3"/>
  <c r="CJ18" i="3" s="1"/>
  <c r="R18" i="3"/>
  <c r="T18" i="3" s="1"/>
  <c r="AL18" i="3"/>
  <c r="V18" i="3"/>
  <c r="M41" i="3"/>
  <c r="N46" i="3"/>
  <c r="O46" i="3"/>
  <c r="AI15" i="3"/>
  <c r="AJ15" i="3" s="1"/>
  <c r="FE15" i="3" s="1"/>
  <c r="FH15" i="3" s="1"/>
  <c r="N39" i="3"/>
  <c r="N41" i="3"/>
  <c r="V19" i="3"/>
  <c r="AE19" i="3"/>
  <c r="CH19" i="3" s="1"/>
  <c r="AD19" i="3"/>
  <c r="CK19" i="3" s="1"/>
  <c r="AC19" i="3"/>
  <c r="CJ19" i="3" s="1"/>
  <c r="AL19" i="3"/>
  <c r="R19" i="3"/>
  <c r="T19" i="3" s="1"/>
  <c r="N36" i="3"/>
  <c r="AA9" i="2"/>
  <c r="Z9" i="2"/>
  <c r="Y9" i="2"/>
  <c r="S14" i="2"/>
  <c r="AA14" i="2"/>
  <c r="CK4" i="2"/>
  <c r="CK16" i="2"/>
  <c r="CH19" i="2"/>
  <c r="U14" i="2"/>
  <c r="Q6" i="2"/>
  <c r="CK6" i="2"/>
  <c r="CK7" i="2"/>
  <c r="Y14" i="2"/>
  <c r="CK10" i="2"/>
  <c r="CH8" i="2"/>
  <c r="U5" i="2"/>
  <c r="Q22" i="2"/>
  <c r="S22" i="2" s="1"/>
  <c r="CK18" i="2"/>
  <c r="CK23" i="2"/>
  <c r="U15" i="2"/>
  <c r="CK19" i="2"/>
  <c r="Z14" i="2"/>
  <c r="CI14" i="2"/>
  <c r="U10" i="2"/>
  <c r="U9" i="2"/>
  <c r="Q20" i="2"/>
  <c r="U20" i="2" s="1"/>
  <c r="CK17"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I14" i="15" s="1"/>
  <c r="Z13" i="4"/>
  <c r="G14" i="15" s="1"/>
  <c r="S3" i="4"/>
  <c r="AA3" i="4"/>
  <c r="I4" i="15" s="1"/>
  <c r="Z3" i="4"/>
  <c r="G4" i="15" s="1"/>
  <c r="Y3" i="4"/>
  <c r="W3"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AJ21" i="2"/>
  <c r="S13" i="3"/>
  <c r="AA13" i="3"/>
  <c r="Z13" i="3"/>
  <c r="Y13" i="3"/>
  <c r="W13" i="3"/>
  <c r="AQ3" i="1"/>
  <c r="AT3" i="1" s="1"/>
  <c r="CI19" i="4"/>
  <c r="AQ19" i="4"/>
  <c r="AO19" i="4"/>
  <c r="AP19" i="4" s="1"/>
  <c r="AS19" i="4" s="1"/>
  <c r="AP11" i="2"/>
  <c r="CI20" i="4"/>
  <c r="W23" i="2"/>
  <c r="AJ15" i="4"/>
  <c r="N16" i="15" s="1"/>
  <c r="AI15" i="4"/>
  <c r="EW15" i="4" s="1"/>
  <c r="AH15" i="4"/>
  <c r="EV15" i="4" s="1"/>
  <c r="AG15" i="4"/>
  <c r="AF15" i="4"/>
  <c r="X15" i="4"/>
  <c r="AJ6" i="4"/>
  <c r="N7" i="15" s="1"/>
  <c r="X6" i="4"/>
  <c r="AH6" i="4"/>
  <c r="EV6" i="4" s="1"/>
  <c r="AF6" i="4"/>
  <c r="AI6" i="4"/>
  <c r="EW6" i="4" s="1"/>
  <c r="AG6" i="4"/>
  <c r="AI10" i="3"/>
  <c r="AJ10" i="3" s="1"/>
  <c r="Y5" i="2"/>
  <c r="AI22" i="1"/>
  <c r="FC22" i="1" s="1"/>
  <c r="AI11" i="4"/>
  <c r="EW11" i="4" s="1"/>
  <c r="AG11" i="4"/>
  <c r="AF11" i="4"/>
  <c r="X11" i="4"/>
  <c r="AJ11" i="4"/>
  <c r="N12" i="15" s="1"/>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CM22" i="4"/>
  <c r="AP3" i="3"/>
  <c r="AX3" i="3" s="1"/>
  <c r="AA16" i="2"/>
  <c r="Z16" i="2"/>
  <c r="Y16" i="2"/>
  <c r="S16" i="2"/>
  <c r="W16" i="2"/>
  <c r="AR3" i="1"/>
  <c r="AU3" i="1" s="1"/>
  <c r="U3" i="4"/>
  <c r="CK19" i="4"/>
  <c r="AF4" i="2"/>
  <c r="EW4" i="2" s="1"/>
  <c r="X4" i="2"/>
  <c r="AI4" i="2"/>
  <c r="AH4" i="2"/>
  <c r="AG4" i="2"/>
  <c r="AO5" i="4"/>
  <c r="AP5" i="4" s="1"/>
  <c r="AS5" i="4" s="1"/>
  <c r="AQ5" i="4"/>
  <c r="AQ15" i="4"/>
  <c r="AO15" i="4"/>
  <c r="AP15" i="4" s="1"/>
  <c r="AS15" i="4" s="1"/>
  <c r="BD37" i="4"/>
  <c r="CM16" i="4"/>
  <c r="AM20" i="2"/>
  <c r="AN20" i="2" s="1"/>
  <c r="AQ20" i="2" s="1"/>
  <c r="AO20" i="2"/>
  <c r="AJ4" i="3"/>
  <c r="CL12" i="4"/>
  <c r="Z5" i="2"/>
  <c r="AQ11" i="4"/>
  <c r="AO11" i="4"/>
  <c r="AP11" i="4" s="1"/>
  <c r="AS11" i="4" s="1"/>
  <c r="W21" i="4"/>
  <c r="Q21" i="1"/>
  <c r="ET21" i="1" s="1"/>
  <c r="EZ21" i="1" s="1"/>
  <c r="FK21" i="1" s="1"/>
  <c r="AO16" i="1"/>
  <c r="AW16" i="1" s="1"/>
  <c r="Y6" i="2"/>
  <c r="AH9" i="2"/>
  <c r="AI9" i="2"/>
  <c r="AG9" i="2"/>
  <c r="AF9" i="2"/>
  <c r="EW9" i="2" s="1"/>
  <c r="X9" i="2"/>
  <c r="AO6" i="4"/>
  <c r="AP6" i="4" s="1"/>
  <c r="AS6" i="4" s="1"/>
  <c r="AQ6" i="4"/>
  <c r="AQ20" i="4"/>
  <c r="AO20" i="4"/>
  <c r="AP20" i="4" s="1"/>
  <c r="AS20" i="4" s="1"/>
  <c r="AQ4" i="4"/>
  <c r="AO4" i="4"/>
  <c r="AP4" i="4" s="1"/>
  <c r="AS4" i="4" s="1"/>
  <c r="AO5" i="2"/>
  <c r="AM5" i="2"/>
  <c r="AN5" i="2" s="1"/>
  <c r="AQ5" i="2" s="1"/>
  <c r="AQ12" i="4"/>
  <c r="AO12" i="4"/>
  <c r="AP12" i="4" s="1"/>
  <c r="AS12" i="4" s="1"/>
  <c r="CE7" i="1"/>
  <c r="AJ4" i="4"/>
  <c r="N5" i="15" s="1"/>
  <c r="X4" i="4"/>
  <c r="AI4" i="4"/>
  <c r="EW4" i="4" s="1"/>
  <c r="AH4" i="4"/>
  <c r="EV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CL19" i="4"/>
  <c r="CI16" i="4"/>
  <c r="S5" i="1"/>
  <c r="Z5" i="1"/>
  <c r="Y5" i="1"/>
  <c r="W5" i="1"/>
  <c r="AA5" i="1"/>
  <c r="U5" i="1"/>
  <c r="S15" i="4"/>
  <c r="AA15" i="4"/>
  <c r="I16" i="15" s="1"/>
  <c r="Z15" i="4"/>
  <c r="G16" i="15" s="1"/>
  <c r="Y15" i="4"/>
  <c r="W15" i="4"/>
  <c r="AO8" i="1"/>
  <c r="AW8" i="1" s="1"/>
  <c r="AP4" i="3"/>
  <c r="AX4" i="3" s="1"/>
  <c r="AJ13" i="4"/>
  <c r="N14" i="15" s="1"/>
  <c r="AH13" i="4"/>
  <c r="EV13" i="4" s="1"/>
  <c r="AG13" i="4"/>
  <c r="AF13" i="4"/>
  <c r="X13" i="4"/>
  <c r="AI13" i="4"/>
  <c r="EW13" i="4" s="1"/>
  <c r="S12" i="4"/>
  <c r="Z12" i="4"/>
  <c r="G13" i="15" s="1"/>
  <c r="Y12" i="4"/>
  <c r="AA12" i="4"/>
  <c r="I13" i="15" s="1"/>
  <c r="W12" i="4"/>
  <c r="CL9" i="4"/>
  <c r="CE6" i="1"/>
  <c r="AJ14" i="4"/>
  <c r="N15" i="15" s="1"/>
  <c r="X14" i="4"/>
  <c r="AH14" i="4"/>
  <c r="EV14" i="4" s="1"/>
  <c r="AG14" i="4"/>
  <c r="AF14" i="4"/>
  <c r="AI14" i="4"/>
  <c r="EW14" i="4" s="1"/>
  <c r="X3" i="4"/>
  <c r="AJ3" i="4"/>
  <c r="N4" i="15" s="1"/>
  <c r="AI3" i="4"/>
  <c r="EW3" i="4" s="1"/>
  <c r="AG3" i="4"/>
  <c r="AF3" i="4"/>
  <c r="AH3" i="4"/>
  <c r="EV3" i="4" s="1"/>
  <c r="Y14" i="4"/>
  <c r="W14" i="4"/>
  <c r="AJ3" i="2"/>
  <c r="FA3" i="2" s="1"/>
  <c r="AO9" i="1"/>
  <c r="AW9" i="1" s="1"/>
  <c r="AJ23" i="4"/>
  <c r="N24" i="15" s="1"/>
  <c r="X23" i="4"/>
  <c r="AI23" i="4"/>
  <c r="EW23" i="4" s="1"/>
  <c r="AH23" i="4"/>
  <c r="EV23" i="4" s="1"/>
  <c r="AF23" i="4"/>
  <c r="AG23" i="4"/>
  <c r="CI5" i="4"/>
  <c r="AQ8" i="4"/>
  <c r="AO8" i="4"/>
  <c r="AP8" i="4" s="1"/>
  <c r="AS8" i="4" s="1"/>
  <c r="AI12" i="1"/>
  <c r="FD12" i="1" s="1"/>
  <c r="CK14" i="4"/>
  <c r="AH12" i="4"/>
  <c r="EV12" i="4" s="1"/>
  <c r="AF12" i="4"/>
  <c r="X12" i="4"/>
  <c r="AJ12" i="4"/>
  <c r="N13" i="15" s="1"/>
  <c r="AI12" i="4"/>
  <c r="EW12" i="4" s="1"/>
  <c r="AG12" i="4"/>
  <c r="AR18" i="1"/>
  <c r="AU18" i="1" s="1"/>
  <c r="AR6" i="1"/>
  <c r="AU6" i="1" s="1"/>
  <c r="CH15" i="2"/>
  <c r="AO10" i="4"/>
  <c r="AP10" i="4" s="1"/>
  <c r="AS10" i="4" s="1"/>
  <c r="AQ10" i="4"/>
  <c r="AI20" i="1"/>
  <c r="AO6" i="2"/>
  <c r="AM6" i="2"/>
  <c r="AN6" i="2" s="1"/>
  <c r="AQ6" i="2" s="1"/>
  <c r="CM9" i="4"/>
  <c r="BA36" i="1"/>
  <c r="Q4" i="3"/>
  <c r="AI12" i="2"/>
  <c r="AH12" i="2"/>
  <c r="AG12" i="2"/>
  <c r="AF12" i="2"/>
  <c r="EW12" i="2" s="1"/>
  <c r="X12" i="2"/>
  <c r="AI23" i="3"/>
  <c r="AJ5" i="4"/>
  <c r="N6" i="15" s="1"/>
  <c r="X5" i="4"/>
  <c r="AI5" i="4"/>
  <c r="EW5" i="4" s="1"/>
  <c r="AH5" i="4"/>
  <c r="EV5" i="4" s="1"/>
  <c r="AG5" i="4"/>
  <c r="AF5" i="4"/>
  <c r="AO15" i="2"/>
  <c r="AM15" i="2"/>
  <c r="AN15" i="2" s="1"/>
  <c r="AQ15" i="2" s="1"/>
  <c r="AQ23" i="4"/>
  <c r="AO23" i="4"/>
  <c r="AP23" i="4" s="1"/>
  <c r="AS23" i="4" s="1"/>
  <c r="U7" i="4"/>
  <c r="AI19" i="4"/>
  <c r="EW19" i="4" s="1"/>
  <c r="AH19" i="4"/>
  <c r="EV19" i="4" s="1"/>
  <c r="AG19" i="4"/>
  <c r="AF19" i="4"/>
  <c r="AJ19" i="4"/>
  <c r="N20" i="15" s="1"/>
  <c r="X19" i="4"/>
  <c r="U8" i="4"/>
  <c r="Y9" i="1"/>
  <c r="W9" i="1"/>
  <c r="AA9" i="1"/>
  <c r="Z9" i="1"/>
  <c r="S9" i="1"/>
  <c r="CM6" i="4"/>
  <c r="AP15" i="3"/>
  <c r="AX15" i="3" s="1"/>
  <c r="CK15" i="4"/>
  <c r="AP13" i="3"/>
  <c r="AX13" i="3" s="1"/>
  <c r="S8" i="3"/>
  <c r="Z8" i="3"/>
  <c r="Y8" i="3"/>
  <c r="W8" i="3"/>
  <c r="AO21" i="4"/>
  <c r="AP21" i="4" s="1"/>
  <c r="AS21" i="4" s="1"/>
  <c r="AQ21" i="4"/>
  <c r="CI18" i="4"/>
  <c r="AJ10" i="4"/>
  <c r="N11" i="15" s="1"/>
  <c r="X10" i="4"/>
  <c r="AI10" i="4"/>
  <c r="EW10" i="4" s="1"/>
  <c r="AH10" i="4"/>
  <c r="EV10" i="4" s="1"/>
  <c r="AG10" i="4"/>
  <c r="AF10" i="4"/>
  <c r="AH6" i="2"/>
  <c r="AG6" i="2"/>
  <c r="X6" i="2"/>
  <c r="AI6" i="2"/>
  <c r="AF6" i="2"/>
  <c r="EW6" i="2" s="1"/>
  <c r="CI9" i="4"/>
  <c r="AO20" i="1"/>
  <c r="AW20" i="1" s="1"/>
  <c r="U18" i="2"/>
  <c r="Q7" i="2"/>
  <c r="AA22" i="1"/>
  <c r="Y22" i="1"/>
  <c r="S22" i="1"/>
  <c r="Z22" i="1"/>
  <c r="W22" i="1"/>
  <c r="Q19" i="2"/>
  <c r="U19" i="2" s="1"/>
  <c r="AG13" i="2"/>
  <c r="AF13" i="2"/>
  <c r="EW13" i="2" s="1"/>
  <c r="AI13" i="2"/>
  <c r="X13" i="2"/>
  <c r="AH13" i="2"/>
  <c r="AO21" i="1"/>
  <c r="AW21" i="1" s="1"/>
  <c r="Z20" i="4"/>
  <c r="G21" i="15" s="1"/>
  <c r="S20" i="4"/>
  <c r="W20" i="4"/>
  <c r="AI8" i="1"/>
  <c r="FE8" i="1" s="1"/>
  <c r="FH8" i="1" s="1"/>
  <c r="X14" i="2"/>
  <c r="AG14" i="2"/>
  <c r="AH14" i="2"/>
  <c r="AF14" i="2"/>
  <c r="EW14" i="2" s="1"/>
  <c r="AI14" i="2"/>
  <c r="Z10" i="4"/>
  <c r="G11" i="15" s="1"/>
  <c r="Y10" i="4"/>
  <c r="AA10" i="4"/>
  <c r="I11" i="15" s="1"/>
  <c r="S10" i="4"/>
  <c r="W10" i="4"/>
  <c r="Q8" i="2"/>
  <c r="X16" i="2"/>
  <c r="AI16" i="2"/>
  <c r="AH16" i="2"/>
  <c r="AF16" i="2"/>
  <c r="EW16" i="2" s="1"/>
  <c r="AG16" i="2"/>
  <c r="S21" i="2"/>
  <c r="Y21" i="2"/>
  <c r="AA21" i="2"/>
  <c r="Z21" i="2"/>
  <c r="W21" i="2"/>
  <c r="U23" i="4"/>
  <c r="AJ7" i="4"/>
  <c r="N8" i="15" s="1"/>
  <c r="X7" i="4"/>
  <c r="AI7" i="4"/>
  <c r="EW7" i="4" s="1"/>
  <c r="AH7" i="4"/>
  <c r="EV7" i="4" s="1"/>
  <c r="AG7" i="4"/>
  <c r="AF7" i="4"/>
  <c r="CK7" i="4"/>
  <c r="Z18" i="2"/>
  <c r="CI8" i="4"/>
  <c r="Q12" i="2"/>
  <c r="X10" i="2"/>
  <c r="AH10" i="2"/>
  <c r="AF10" i="2"/>
  <c r="EW10" i="2" s="1"/>
  <c r="AG10" i="2"/>
  <c r="AI10" i="2"/>
  <c r="CL20" i="4"/>
  <c r="AP8" i="3"/>
  <c r="AX8" i="3" s="1"/>
  <c r="CL6" i="4"/>
  <c r="W14" i="2"/>
  <c r="CL16" i="4"/>
  <c r="AO22" i="1"/>
  <c r="AW22" i="1" s="1"/>
  <c r="W22" i="2"/>
  <c r="AS19" i="1"/>
  <c r="AV19" i="1" s="1"/>
  <c r="CM12" i="4"/>
  <c r="AJ18" i="4"/>
  <c r="N19" i="15" s="1"/>
  <c r="X18" i="4"/>
  <c r="AI18" i="4"/>
  <c r="EW18" i="4" s="1"/>
  <c r="AH18" i="4"/>
  <c r="EV18" i="4" s="1"/>
  <c r="AG18" i="4"/>
  <c r="AF18" i="4"/>
  <c r="CE13" i="1"/>
  <c r="CE3" i="1"/>
  <c r="CG4" i="3"/>
  <c r="S9" i="4"/>
  <c r="AA9" i="4"/>
  <c r="I10" i="15" s="1"/>
  <c r="Z9" i="4"/>
  <c r="G10" i="15" s="1"/>
  <c r="Y9" i="4"/>
  <c r="W9" i="4"/>
  <c r="CK15" i="2"/>
  <c r="U13" i="4"/>
  <c r="CK18" i="4"/>
  <c r="AJ16" i="4"/>
  <c r="N17" i="15" s="1"/>
  <c r="X16" i="4"/>
  <c r="AI16" i="4"/>
  <c r="EW16" i="4" s="1"/>
  <c r="AH16" i="4"/>
  <c r="EV16" i="4" s="1"/>
  <c r="AG16" i="4"/>
  <c r="AF16" i="4"/>
  <c r="CM5" i="4"/>
  <c r="AA15" i="2"/>
  <c r="Z15" i="2"/>
  <c r="Y15" i="2"/>
  <c r="S15" i="2"/>
  <c r="W15" i="2"/>
  <c r="AO11" i="1"/>
  <c r="AW11" i="1" s="1"/>
  <c r="S7" i="4"/>
  <c r="AA7" i="4"/>
  <c r="I8" i="15" s="1"/>
  <c r="Z7" i="4"/>
  <c r="G8" i="15" s="1"/>
  <c r="Y7" i="4"/>
  <c r="W7" i="4"/>
  <c r="U14" i="4"/>
  <c r="AO9" i="2"/>
  <c r="AM9" i="2"/>
  <c r="AN9" i="2" s="1"/>
  <c r="AQ9" i="2" s="1"/>
  <c r="Z14" i="1"/>
  <c r="Y14" i="1"/>
  <c r="S14" i="1"/>
  <c r="W14" i="1"/>
  <c r="AQ16" i="4"/>
  <c r="AO16" i="4"/>
  <c r="AP16" i="4" s="1"/>
  <c r="AS16" i="4" s="1"/>
  <c r="AM22" i="2"/>
  <c r="AN22" i="2" s="1"/>
  <c r="AQ22" i="2" s="1"/>
  <c r="AO22" i="2"/>
  <c r="CM15" i="4"/>
  <c r="CI12" i="4"/>
  <c r="Q17" i="2"/>
  <c r="AA17" i="4"/>
  <c r="I18" i="15" s="1"/>
  <c r="W9" i="2"/>
  <c r="CG7" i="3"/>
  <c r="AQ13" i="4"/>
  <c r="AO13" i="4"/>
  <c r="AP13" i="4" s="1"/>
  <c r="AS13" i="4" s="1"/>
  <c r="AG9" i="4"/>
  <c r="AJ9" i="4"/>
  <c r="N10" i="15" s="1"/>
  <c r="AI9" i="4"/>
  <c r="EW9" i="4" s="1"/>
  <c r="AH9" i="4"/>
  <c r="EV9" i="4" s="1"/>
  <c r="AF9" i="4"/>
  <c r="X9" i="4"/>
  <c r="S23" i="3"/>
  <c r="AA23" i="3"/>
  <c r="Y23" i="3"/>
  <c r="Z23" i="3"/>
  <c r="W23" i="3"/>
  <c r="CE15" i="1"/>
  <c r="AO18" i="2"/>
  <c r="AM18" i="2"/>
  <c r="AN18" i="2" s="1"/>
  <c r="AQ18" i="2" s="1"/>
  <c r="AP23" i="3"/>
  <c r="AX23" i="3" s="1"/>
  <c r="Q4" i="4"/>
  <c r="S20" i="2"/>
  <c r="Z20" i="2"/>
  <c r="Y20" i="2"/>
  <c r="W20" i="2"/>
  <c r="AO18" i="4"/>
  <c r="AP18" i="4" s="1"/>
  <c r="AS18" i="4" s="1"/>
  <c r="AQ18" i="4"/>
  <c r="AJ17" i="4"/>
  <c r="N18" i="15" s="1"/>
  <c r="X17" i="4"/>
  <c r="AG17" i="4"/>
  <c r="AF17" i="4"/>
  <c r="AH17" i="4"/>
  <c r="EV17" i="4" s="1"/>
  <c r="AI17" i="4"/>
  <c r="EW17" i="4" s="1"/>
  <c r="AA23" i="4"/>
  <c r="I24" i="15" s="1"/>
  <c r="Z23" i="4"/>
  <c r="G24" i="15" s="1"/>
  <c r="Y23" i="4"/>
  <c r="S23" i="4"/>
  <c r="W23" i="4"/>
  <c r="Q11" i="1"/>
  <c r="ET11" i="1" s="1"/>
  <c r="EX11" i="1" s="1"/>
  <c r="AI22" i="4"/>
  <c r="EW22" i="4" s="1"/>
  <c r="AF22" i="4"/>
  <c r="AJ22" i="4"/>
  <c r="N23" i="15" s="1"/>
  <c r="AH22" i="4"/>
  <c r="EV22" i="4" s="1"/>
  <c r="AG22" i="4"/>
  <c r="X22" i="4"/>
  <c r="AI14" i="1"/>
  <c r="FD14" i="1" s="1"/>
  <c r="CK5" i="4"/>
  <c r="AP21" i="2"/>
  <c r="Z8" i="4"/>
  <c r="G9" i="15" s="1"/>
  <c r="S8" i="4"/>
  <c r="AA8" i="4"/>
  <c r="I9" i="15" s="1"/>
  <c r="Y8" i="4"/>
  <c r="W8" i="4"/>
  <c r="AO14" i="4"/>
  <c r="AP14" i="4" s="1"/>
  <c r="AS14" i="4" s="1"/>
  <c r="AQ14" i="4"/>
  <c r="AJ8" i="4"/>
  <c r="N9" i="15" s="1"/>
  <c r="X8" i="4"/>
  <c r="AH8" i="4"/>
  <c r="EV8" i="4" s="1"/>
  <c r="AG8" i="4"/>
  <c r="AI8" i="4"/>
  <c r="EW8" i="4" s="1"/>
  <c r="AF8" i="4"/>
  <c r="CK8" i="2"/>
  <c r="AQ5" i="1"/>
  <c r="AT5" i="1" s="1"/>
  <c r="U16" i="4"/>
  <c r="AI8" i="3"/>
  <c r="AF22" i="2"/>
  <c r="EW22" i="2" s="1"/>
  <c r="AI22" i="2"/>
  <c r="X22" i="2"/>
  <c r="AH22" i="2"/>
  <c r="AG22" i="2"/>
  <c r="AG20" i="4"/>
  <c r="AI20" i="4"/>
  <c r="EW20" i="4" s="1"/>
  <c r="X20" i="4"/>
  <c r="AJ20" i="4"/>
  <c r="N21" i="15" s="1"/>
  <c r="AH20" i="4"/>
  <c r="EV20" i="4" s="1"/>
  <c r="AF20" i="4"/>
  <c r="CK8" i="4"/>
  <c r="U21" i="2"/>
  <c r="U13" i="3"/>
  <c r="AJ21" i="4"/>
  <c r="N22" i="15" s="1"/>
  <c r="X21" i="4"/>
  <c r="AI21" i="4"/>
  <c r="EW21" i="4" s="1"/>
  <c r="AH21" i="4"/>
  <c r="EV21" i="4" s="1"/>
  <c r="AG21" i="4"/>
  <c r="AF21" i="4"/>
  <c r="AQ9" i="4"/>
  <c r="AO9" i="4"/>
  <c r="AP9" i="4" s="1"/>
  <c r="AS9" i="4" s="1"/>
  <c r="S11" i="4"/>
  <c r="AA11" i="4"/>
  <c r="I12" i="15" s="1"/>
  <c r="Y11" i="4"/>
  <c r="Z11" i="4"/>
  <c r="G12" i="15" s="1"/>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AR5" i="1"/>
  <c r="AU5" i="1" s="1"/>
  <c r="Z10" i="2"/>
  <c r="Y10" i="2"/>
  <c r="S10" i="2"/>
  <c r="AA10" i="2"/>
  <c r="W10" i="2"/>
  <c r="Z4" i="2"/>
  <c r="Y4" i="2"/>
  <c r="AA4" i="2"/>
  <c r="S4" i="2"/>
  <c r="W4" i="2"/>
  <c r="AI17" i="1"/>
  <c r="FA17" i="1" s="1"/>
  <c r="BA38" i="1"/>
  <c r="S9" i="2"/>
  <c r="U9" i="1"/>
  <c r="AO13" i="2"/>
  <c r="AM13" i="2"/>
  <c r="AN13" i="2" s="1"/>
  <c r="AQ13" i="2" s="1"/>
  <c r="AF7" i="2"/>
  <c r="EW7" i="2" s="1"/>
  <c r="AI7" i="2"/>
  <c r="AH7" i="2"/>
  <c r="AG7" i="2"/>
  <c r="X7" i="2"/>
  <c r="AI3" i="3"/>
  <c r="Q13" i="2"/>
  <c r="CI15" i="2"/>
  <c r="AI16" i="1"/>
  <c r="AP16" i="3"/>
  <c r="AX16" i="3" s="1"/>
  <c r="CL14" i="4"/>
  <c r="Z23" i="2" l="1"/>
  <c r="ET18" i="2"/>
  <c r="Y23" i="2"/>
  <c r="AA23" i="2"/>
  <c r="AB18" i="2"/>
  <c r="C10" i="15"/>
  <c r="E10" i="15"/>
  <c r="C6" i="15"/>
  <c r="E6" i="15"/>
  <c r="AB5" i="4"/>
  <c r="K6" i="15" s="1"/>
  <c r="W5" i="4"/>
  <c r="E21" i="15"/>
  <c r="C21" i="15"/>
  <c r="E23" i="15"/>
  <c r="C23" i="15"/>
  <c r="S23" i="2"/>
  <c r="AA20" i="2"/>
  <c r="S22" i="4"/>
  <c r="AA22" i="4"/>
  <c r="I23" i="15" s="1"/>
  <c r="Z5" i="4"/>
  <c r="G6" i="15" s="1"/>
  <c r="AB13" i="4"/>
  <c r="K14" i="15" s="1"/>
  <c r="U18" i="4"/>
  <c r="C19" i="15"/>
  <c r="E19" i="15"/>
  <c r="U6" i="4"/>
  <c r="C7" i="15"/>
  <c r="E7" i="15"/>
  <c r="C5" i="15"/>
  <c r="E5" i="15"/>
  <c r="S5" i="4"/>
  <c r="Z6" i="4"/>
  <c r="G7" i="15" s="1"/>
  <c r="AA23" i="1"/>
  <c r="AA18" i="2"/>
  <c r="C14" i="15"/>
  <c r="E14" i="15"/>
  <c r="Y5" i="4"/>
  <c r="AA16" i="4"/>
  <c r="I17" i="15" s="1"/>
  <c r="C17" i="15"/>
  <c r="E17" i="15"/>
  <c r="Z19" i="4"/>
  <c r="G20" i="15" s="1"/>
  <c r="C20" i="15"/>
  <c r="E20" i="15"/>
  <c r="AA5" i="4"/>
  <c r="I6" i="15" s="1"/>
  <c r="U23" i="2"/>
  <c r="E15" i="15"/>
  <c r="C15" i="15"/>
  <c r="FL4" i="1"/>
  <c r="W18" i="2"/>
  <c r="W13" i="4"/>
  <c r="U11" i="4"/>
  <c r="C12" i="15"/>
  <c r="E12" i="15"/>
  <c r="U21" i="4"/>
  <c r="C22" i="15"/>
  <c r="E22" i="15"/>
  <c r="S18" i="2"/>
  <c r="S13" i="4"/>
  <c r="ET23" i="2"/>
  <c r="EY20" i="1"/>
  <c r="FJ20" i="1" s="1"/>
  <c r="U5" i="4"/>
  <c r="Y13" i="4"/>
  <c r="S23" i="1"/>
  <c r="AI16" i="3"/>
  <c r="AJ16" i="3" s="1"/>
  <c r="FD16" i="3" s="1"/>
  <c r="C13" i="15"/>
  <c r="E13" i="15"/>
  <c r="C9" i="15"/>
  <c r="E9" i="15"/>
  <c r="C24" i="15"/>
  <c r="E24" i="15"/>
  <c r="Z22" i="2"/>
  <c r="U19" i="4"/>
  <c r="W19" i="4"/>
  <c r="Z21" i="4"/>
  <c r="G22" i="15" s="1"/>
  <c r="AA6" i="4"/>
  <c r="I7" i="15" s="1"/>
  <c r="FC16" i="1"/>
  <c r="Y19" i="4"/>
  <c r="AA12" i="1"/>
  <c r="AA21" i="4"/>
  <c r="I22" i="15" s="1"/>
  <c r="AA18" i="4"/>
  <c r="I19" i="15" s="1"/>
  <c r="S6" i="4"/>
  <c r="AA19" i="4"/>
  <c r="I20" i="15" s="1"/>
  <c r="W8" i="1"/>
  <c r="Y21" i="4"/>
  <c r="EX6" i="1"/>
  <c r="FI6" i="1" s="1"/>
  <c r="Y8" i="1"/>
  <c r="EZ6" i="1"/>
  <c r="FK6" i="1" s="1"/>
  <c r="AI11" i="3"/>
  <c r="AA8" i="1"/>
  <c r="Z7" i="1"/>
  <c r="S21" i="4"/>
  <c r="U22" i="2"/>
  <c r="S19" i="4"/>
  <c r="Z8" i="1"/>
  <c r="EX17" i="1"/>
  <c r="EX3" i="3"/>
  <c r="FI3" i="3" s="1"/>
  <c r="Q16" i="3"/>
  <c r="Y16" i="3" s="1"/>
  <c r="ET16" i="1"/>
  <c r="FB16" i="1" s="1"/>
  <c r="FB13" i="3"/>
  <c r="FD11" i="2"/>
  <c r="EX10" i="3"/>
  <c r="FI10" i="3" s="1"/>
  <c r="AB10" i="3"/>
  <c r="EZ20" i="1"/>
  <c r="FK20" i="1" s="1"/>
  <c r="U10" i="3"/>
  <c r="FA21" i="2"/>
  <c r="W16" i="4"/>
  <c r="EZ21" i="2"/>
  <c r="FK21" i="2" s="1"/>
  <c r="EZ10" i="1"/>
  <c r="FK10" i="1" s="1"/>
  <c r="FE12" i="1"/>
  <c r="FH12" i="1" s="1"/>
  <c r="Y22" i="2"/>
  <c r="AA22" i="2"/>
  <c r="S16" i="1"/>
  <c r="AA16" i="1"/>
  <c r="Z16" i="1"/>
  <c r="W16" i="1"/>
  <c r="Y16" i="1"/>
  <c r="EX10" i="1"/>
  <c r="FI10" i="1" s="1"/>
  <c r="EX21" i="2"/>
  <c r="FI21" i="2" s="1"/>
  <c r="FC15" i="1"/>
  <c r="FA9" i="1"/>
  <c r="FD21" i="1"/>
  <c r="FF21" i="1" s="1"/>
  <c r="FD9" i="1"/>
  <c r="FF9" i="1" s="1"/>
  <c r="FD20" i="1"/>
  <c r="FD21" i="2"/>
  <c r="FG21" i="2" s="1"/>
  <c r="Q18" i="3"/>
  <c r="ET18" i="3" s="1"/>
  <c r="FE21" i="2"/>
  <c r="FH21" i="2" s="1"/>
  <c r="FN5" i="1"/>
  <c r="Q9" i="3"/>
  <c r="ET9" i="3" s="1"/>
  <c r="FO5" i="1"/>
  <c r="FG3" i="1"/>
  <c r="FL19" i="1"/>
  <c r="Q12" i="3"/>
  <c r="FC10" i="1"/>
  <c r="Q20" i="3"/>
  <c r="Z20" i="3" s="1"/>
  <c r="FM19" i="1"/>
  <c r="FC9" i="1"/>
  <c r="AB7" i="3"/>
  <c r="ET7" i="3"/>
  <c r="AB22" i="3"/>
  <c r="ET22" i="3"/>
  <c r="FI22" i="1"/>
  <c r="FI13" i="3"/>
  <c r="ET5" i="3"/>
  <c r="EX5" i="3" s="1"/>
  <c r="AB5" i="3"/>
  <c r="FI17" i="1"/>
  <c r="AB18" i="4"/>
  <c r="K19" i="15" s="1"/>
  <c r="ET18" i="4"/>
  <c r="FG12" i="1"/>
  <c r="FF12" i="1"/>
  <c r="FG14" i="1"/>
  <c r="FF14" i="1"/>
  <c r="EY15" i="1"/>
  <c r="FJ15" i="1" s="1"/>
  <c r="FD16" i="1"/>
  <c r="FD22" i="1"/>
  <c r="FG20" i="1"/>
  <c r="FF20" i="1"/>
  <c r="U13" i="2"/>
  <c r="AB13" i="2"/>
  <c r="ET13" i="2"/>
  <c r="FB13" i="2" s="1"/>
  <c r="EU22" i="4"/>
  <c r="EU9" i="4"/>
  <c r="EZ9" i="4"/>
  <c r="FK9" i="4" s="1"/>
  <c r="O10" i="15" s="1"/>
  <c r="EU6" i="2"/>
  <c r="BX3" i="2"/>
  <c r="FC3" i="2"/>
  <c r="EY3" i="2"/>
  <c r="FJ3" i="2" s="1"/>
  <c r="BY9" i="2"/>
  <c r="EV9" i="2"/>
  <c r="EZ9" i="2" s="1"/>
  <c r="FK9" i="2" s="1"/>
  <c r="EU4" i="2"/>
  <c r="EX4" i="2" s="1"/>
  <c r="FB4" i="2"/>
  <c r="S18" i="4"/>
  <c r="S7" i="1"/>
  <c r="AB9" i="3"/>
  <c r="Q19" i="3"/>
  <c r="U19" i="3" s="1"/>
  <c r="Z14" i="4"/>
  <c r="G15" i="15" s="1"/>
  <c r="AB14" i="4"/>
  <c r="K15" i="15" s="1"/>
  <c r="ET14" i="4"/>
  <c r="ET6" i="4"/>
  <c r="AB6" i="4"/>
  <c r="K7" i="15" s="1"/>
  <c r="EZ15" i="1"/>
  <c r="FK15" i="1" s="1"/>
  <c r="EZ7" i="1"/>
  <c r="FK7" i="1" s="1"/>
  <c r="FC21" i="1"/>
  <c r="EX21" i="1"/>
  <c r="FI3" i="2"/>
  <c r="FD23" i="1"/>
  <c r="FD13" i="3"/>
  <c r="EZ13" i="3"/>
  <c r="FK13" i="3" s="1"/>
  <c r="FE16" i="1"/>
  <c r="FH16" i="1" s="1"/>
  <c r="FA20" i="1"/>
  <c r="EY22" i="1"/>
  <c r="FJ22" i="1" s="1"/>
  <c r="FC10" i="3"/>
  <c r="EY10" i="3"/>
  <c r="FJ10" i="3" s="1"/>
  <c r="AJ9" i="2"/>
  <c r="FE9" i="2" s="1"/>
  <c r="FH9" i="2" s="1"/>
  <c r="FB9" i="2"/>
  <c r="EU9" i="2"/>
  <c r="EX9" i="2" s="1"/>
  <c r="BY4" i="2"/>
  <c r="EV4" i="2"/>
  <c r="EZ4" i="2" s="1"/>
  <c r="FK4" i="2" s="1"/>
  <c r="FC13" i="3"/>
  <c r="Q6" i="3"/>
  <c r="U6" i="3" s="1"/>
  <c r="U12" i="3"/>
  <c r="FD15" i="1"/>
  <c r="FD7" i="1"/>
  <c r="FB21" i="1"/>
  <c r="EZ9" i="1"/>
  <c r="FK9" i="1" s="1"/>
  <c r="FN18" i="1"/>
  <c r="EZ16" i="1"/>
  <c r="FK16" i="1" s="1"/>
  <c r="ET19" i="4"/>
  <c r="AB19" i="4"/>
  <c r="K20" i="15" s="1"/>
  <c r="FI20" i="1"/>
  <c r="EU17" i="4"/>
  <c r="EZ17" i="4" s="1"/>
  <c r="FK17" i="4" s="1"/>
  <c r="O18" i="15" s="1"/>
  <c r="EU18" i="4"/>
  <c r="EU12" i="2"/>
  <c r="EU14" i="4"/>
  <c r="BY15" i="2"/>
  <c r="EV15" i="2"/>
  <c r="EZ15" i="2" s="1"/>
  <c r="FK15" i="2" s="1"/>
  <c r="BY19" i="2"/>
  <c r="EV19" i="2"/>
  <c r="FD10" i="3"/>
  <c r="EZ10" i="3"/>
  <c r="FK10" i="3" s="1"/>
  <c r="EU15" i="4"/>
  <c r="EZ15" i="4" s="1"/>
  <c r="FK15" i="4" s="1"/>
  <c r="O16" i="15" s="1"/>
  <c r="S6" i="2"/>
  <c r="ET6" i="2"/>
  <c r="AB6" i="2"/>
  <c r="U12" i="1"/>
  <c r="ET12" i="1"/>
  <c r="FA12" i="1" s="1"/>
  <c r="U8" i="3"/>
  <c r="AB8" i="3"/>
  <c r="ET8" i="3"/>
  <c r="FE3" i="2"/>
  <c r="FH3" i="2" s="1"/>
  <c r="FE13" i="3"/>
  <c r="FH13" i="3" s="1"/>
  <c r="FO18" i="1"/>
  <c r="EX16" i="1"/>
  <c r="FE20" i="1"/>
  <c r="FH20" i="1" s="1"/>
  <c r="FI11" i="2"/>
  <c r="EU7" i="4"/>
  <c r="EZ7" i="4" s="1"/>
  <c r="FK7" i="4" s="1"/>
  <c r="O8" i="15" s="1"/>
  <c r="EU13" i="4"/>
  <c r="EZ13" i="4" s="1"/>
  <c r="FK13" i="4" s="1"/>
  <c r="O14" i="15" s="1"/>
  <c r="FB15" i="2"/>
  <c r="EU15" i="2"/>
  <c r="EX15" i="2"/>
  <c r="EU4" i="4"/>
  <c r="ET12" i="3"/>
  <c r="AB12" i="3"/>
  <c r="AB22" i="4"/>
  <c r="K23" i="15" s="1"/>
  <c r="ET22" i="4"/>
  <c r="Y22" i="4"/>
  <c r="FI9" i="1"/>
  <c r="FB17" i="1"/>
  <c r="FA7" i="1"/>
  <c r="FA21" i="1"/>
  <c r="FG4" i="1"/>
  <c r="FF4" i="1"/>
  <c r="FN4" i="1"/>
  <c r="EY13" i="3"/>
  <c r="FJ13" i="3" s="1"/>
  <c r="Z22" i="4"/>
  <c r="G23" i="15" s="1"/>
  <c r="FA16" i="1"/>
  <c r="AJ19" i="2"/>
  <c r="FE19" i="2" s="1"/>
  <c r="FH19" i="2" s="1"/>
  <c r="EU19" i="2"/>
  <c r="AJ3" i="3"/>
  <c r="FD3" i="3" s="1"/>
  <c r="EZ3" i="3"/>
  <c r="FK3" i="3" s="1"/>
  <c r="U20" i="3"/>
  <c r="FC11" i="1"/>
  <c r="EY11" i="1"/>
  <c r="FJ11" i="1" s="1"/>
  <c r="FG19" i="1"/>
  <c r="FF19" i="1"/>
  <c r="FN19" i="1"/>
  <c r="FE4" i="3"/>
  <c r="FH4" i="3" s="1"/>
  <c r="FE17" i="1"/>
  <c r="FH17" i="1" s="1"/>
  <c r="EX7" i="1"/>
  <c r="FD17" i="1"/>
  <c r="FD4" i="3"/>
  <c r="FE23" i="1"/>
  <c r="FH23" i="1" s="1"/>
  <c r="FG11" i="2"/>
  <c r="FF11" i="2"/>
  <c r="BX11" i="2"/>
  <c r="EY11" i="2"/>
  <c r="FJ11" i="2" s="1"/>
  <c r="FC11" i="2"/>
  <c r="BY22" i="2"/>
  <c r="EV22" i="2"/>
  <c r="FI11" i="1"/>
  <c r="BY12" i="2"/>
  <c r="EV12" i="2"/>
  <c r="EU7" i="2"/>
  <c r="EU8" i="2"/>
  <c r="U7" i="2"/>
  <c r="ET7" i="2"/>
  <c r="FB7" i="2" s="1"/>
  <c r="AB7" i="2"/>
  <c r="ET4" i="3"/>
  <c r="EZ4" i="3" s="1"/>
  <c r="FK4" i="3" s="1"/>
  <c r="AB4" i="3"/>
  <c r="FB5" i="2"/>
  <c r="EU5" i="2"/>
  <c r="BY7" i="2"/>
  <c r="EV7" i="2"/>
  <c r="BY8" i="2"/>
  <c r="EV8" i="2"/>
  <c r="BY10" i="2"/>
  <c r="EV10" i="2"/>
  <c r="EZ10" i="2" s="1"/>
  <c r="FK10" i="2" s="1"/>
  <c r="BY14" i="2"/>
  <c r="EV14" i="2"/>
  <c r="EZ14" i="2" s="1"/>
  <c r="FK14" i="2" s="1"/>
  <c r="AJ13" i="2"/>
  <c r="FE13" i="2" s="1"/>
  <c r="FH13" i="2" s="1"/>
  <c r="EU13" i="2"/>
  <c r="AK11" i="4"/>
  <c r="P12" i="15" s="1"/>
  <c r="EV11" i="4"/>
  <c r="BY5" i="2"/>
  <c r="EV5" i="2"/>
  <c r="EZ5" i="2" s="1"/>
  <c r="FK5" i="2" s="1"/>
  <c r="FL3" i="1"/>
  <c r="EY9" i="1"/>
  <c r="FJ9" i="1" s="1"/>
  <c r="FC20" i="1"/>
  <c r="FM4" i="1"/>
  <c r="Q15" i="3"/>
  <c r="FD8" i="1"/>
  <c r="FA13" i="3"/>
  <c r="FG6" i="1"/>
  <c r="FF6" i="1"/>
  <c r="FO6" i="1" s="1"/>
  <c r="FN3" i="1"/>
  <c r="AB21" i="4"/>
  <c r="K22" i="15" s="1"/>
  <c r="ET21" i="4"/>
  <c r="U8" i="1"/>
  <c r="ET8" i="1"/>
  <c r="U8" i="2"/>
  <c r="AB8" i="2"/>
  <c r="ET8" i="2"/>
  <c r="FB8" i="2" s="1"/>
  <c r="EU12" i="4"/>
  <c r="EZ12" i="4" s="1"/>
  <c r="FK12" i="4" s="1"/>
  <c r="O13" i="15" s="1"/>
  <c r="EU11" i="4"/>
  <c r="Q17" i="3"/>
  <c r="S17" i="3" s="1"/>
  <c r="U14" i="1"/>
  <c r="ET14" i="1"/>
  <c r="EY14" i="1" s="1"/>
  <c r="FJ14" i="1" s="1"/>
  <c r="AB20" i="3"/>
  <c r="ET20" i="3"/>
  <c r="AB11" i="4"/>
  <c r="K12" i="15" s="1"/>
  <c r="ET11" i="4"/>
  <c r="EZ17" i="1"/>
  <c r="FK17" i="1" s="1"/>
  <c r="FG2" i="4"/>
  <c r="FF2" i="4"/>
  <c r="FN2" i="4"/>
  <c r="FA22" i="1"/>
  <c r="FA10" i="3"/>
  <c r="FB13" i="1"/>
  <c r="EX13" i="1"/>
  <c r="EZ13" i="1"/>
  <c r="FK13" i="1" s="1"/>
  <c r="FA13" i="1"/>
  <c r="EU19" i="4"/>
  <c r="U17" i="2"/>
  <c r="AB17" i="2"/>
  <c r="ET17" i="2"/>
  <c r="FB14" i="2"/>
  <c r="EU14" i="2"/>
  <c r="EX14" i="2" s="1"/>
  <c r="BY13" i="2"/>
  <c r="EV13" i="2"/>
  <c r="EU3" i="4"/>
  <c r="EZ3" i="4" s="1"/>
  <c r="FK3" i="4" s="1"/>
  <c r="O4" i="15" s="1"/>
  <c r="AJ23" i="2"/>
  <c r="FE23" i="2" s="1"/>
  <c r="FH23" i="2" s="1"/>
  <c r="EU23" i="2"/>
  <c r="EX23" i="2" s="1"/>
  <c r="FB23" i="2"/>
  <c r="U7" i="1"/>
  <c r="AB22" i="2"/>
  <c r="ET22" i="2"/>
  <c r="Q21" i="3"/>
  <c r="AA21" i="3" s="1"/>
  <c r="U20" i="4"/>
  <c r="ET20" i="4"/>
  <c r="AB20" i="4"/>
  <c r="K21" i="15" s="1"/>
  <c r="FM3" i="1"/>
  <c r="FD10" i="1"/>
  <c r="FL5" i="1"/>
  <c r="FG13" i="1"/>
  <c r="FF13" i="1"/>
  <c r="FD3" i="2"/>
  <c r="FI2" i="4"/>
  <c r="M3" i="15" s="1"/>
  <c r="FM2" i="4"/>
  <c r="FL2" i="4"/>
  <c r="FO3" i="1"/>
  <c r="EY16" i="1"/>
  <c r="FJ16" i="1" s="1"/>
  <c r="BY20" i="2"/>
  <c r="EV20" i="2"/>
  <c r="EU17" i="2"/>
  <c r="EU16" i="4"/>
  <c r="EU10" i="2"/>
  <c r="EX10" i="2" s="1"/>
  <c r="FB10" i="2"/>
  <c r="EU16" i="2"/>
  <c r="FB16" i="2"/>
  <c r="EX16" i="2"/>
  <c r="W18" i="4"/>
  <c r="AJ5" i="3"/>
  <c r="FD5" i="3" s="1"/>
  <c r="EZ5" i="3"/>
  <c r="FK5" i="3" s="1"/>
  <c r="EU6" i="4"/>
  <c r="BX21" i="2"/>
  <c r="FC21" i="2"/>
  <c r="EY21" i="2"/>
  <c r="FJ21" i="2" s="1"/>
  <c r="AA7" i="1"/>
  <c r="FC7" i="1"/>
  <c r="EY7" i="1"/>
  <c r="FJ7" i="1" s="1"/>
  <c r="Q11" i="3"/>
  <c r="FA10" i="1"/>
  <c r="FA11" i="1"/>
  <c r="FM5" i="1"/>
  <c r="EZ11" i="1"/>
  <c r="FK11" i="1" s="1"/>
  <c r="EX15" i="1"/>
  <c r="FE22" i="1"/>
  <c r="FH22" i="1" s="1"/>
  <c r="U23" i="3"/>
  <c r="ET23" i="3"/>
  <c r="EZ23" i="3" s="1"/>
  <c r="FK23" i="3" s="1"/>
  <c r="AB23" i="3"/>
  <c r="EY17" i="1"/>
  <c r="FJ17" i="1" s="1"/>
  <c r="FC17" i="1"/>
  <c r="BY18" i="2"/>
  <c r="EV18" i="2"/>
  <c r="EZ18" i="2" s="1"/>
  <c r="FK18" i="2" s="1"/>
  <c r="AJ8" i="3"/>
  <c r="FB18" i="2"/>
  <c r="EU18" i="2"/>
  <c r="EX18" i="2" s="1"/>
  <c r="EU20" i="4"/>
  <c r="BY17" i="2"/>
  <c r="EV17" i="2"/>
  <c r="EU21" i="4"/>
  <c r="EU22" i="2"/>
  <c r="BY16" i="2"/>
  <c r="EV16" i="2"/>
  <c r="EZ16" i="2" s="1"/>
  <c r="FK16" i="2" s="1"/>
  <c r="BY6" i="2"/>
  <c r="EV6" i="2"/>
  <c r="EU10" i="4"/>
  <c r="EZ10" i="4" s="1"/>
  <c r="FK10" i="4" s="1"/>
  <c r="O11" i="15" s="1"/>
  <c r="AJ11" i="3"/>
  <c r="FD11" i="3" s="1"/>
  <c r="EU5" i="4"/>
  <c r="EZ5" i="4" s="1"/>
  <c r="FK5" i="4" s="1"/>
  <c r="O6" i="15" s="1"/>
  <c r="EY21" i="1"/>
  <c r="FJ21" i="1" s="1"/>
  <c r="Y18" i="4"/>
  <c r="BY23" i="2"/>
  <c r="FD23" i="2"/>
  <c r="EV23" i="2"/>
  <c r="EZ23" i="2" s="1"/>
  <c r="FK23" i="2" s="1"/>
  <c r="W7" i="1"/>
  <c r="AB20" i="2"/>
  <c r="ET20" i="2"/>
  <c r="U7" i="3"/>
  <c r="EY10" i="1"/>
  <c r="FJ10" i="1" s="1"/>
  <c r="FB11" i="1"/>
  <c r="FB5" i="3"/>
  <c r="FD11" i="1"/>
  <c r="FA15" i="1"/>
  <c r="FB3" i="3"/>
  <c r="FL18" i="1"/>
  <c r="FI18" i="1"/>
  <c r="FM18" i="1"/>
  <c r="FB10" i="3"/>
  <c r="EU8" i="4"/>
  <c r="EZ8" i="4" s="1"/>
  <c r="FK8" i="4" s="1"/>
  <c r="O9" i="15" s="1"/>
  <c r="U4" i="4"/>
  <c r="AB4" i="4"/>
  <c r="K5" i="15" s="1"/>
  <c r="ET4" i="4"/>
  <c r="U12" i="2"/>
  <c r="AB12" i="2"/>
  <c r="ET12" i="2"/>
  <c r="FB12" i="2" s="1"/>
  <c r="AB19" i="2"/>
  <c r="ET19" i="2"/>
  <c r="AJ23" i="3"/>
  <c r="FD23" i="3" s="1"/>
  <c r="EU23" i="4"/>
  <c r="EZ23" i="4" s="1"/>
  <c r="FK23" i="4" s="1"/>
  <c r="O24" i="15" s="1"/>
  <c r="Z18" i="4"/>
  <c r="G19" i="15" s="1"/>
  <c r="Y6" i="4"/>
  <c r="EU20" i="2"/>
  <c r="Y7" i="1"/>
  <c r="FD15" i="3"/>
  <c r="Z16" i="4"/>
  <c r="G17" i="15" s="1"/>
  <c r="ET16" i="4"/>
  <c r="AB16" i="4"/>
  <c r="K17" i="15" s="1"/>
  <c r="FE10" i="1"/>
  <c r="FH10" i="1" s="1"/>
  <c r="U22" i="4"/>
  <c r="W23" i="1"/>
  <c r="ET23" i="1"/>
  <c r="FA23" i="1" s="1"/>
  <c r="Z23" i="1"/>
  <c r="FE14" i="1"/>
  <c r="FH14" i="1" s="1"/>
  <c r="EY13" i="1"/>
  <c r="FJ13" i="1" s="1"/>
  <c r="FE10" i="3"/>
  <c r="FH10" i="3" s="1"/>
  <c r="W22" i="4"/>
  <c r="AA17" i="1"/>
  <c r="Y17" i="1"/>
  <c r="W17" i="1"/>
  <c r="Z17" i="1"/>
  <c r="U17" i="1"/>
  <c r="S17" i="1"/>
  <c r="W12" i="1"/>
  <c r="S12" i="1"/>
  <c r="Y12" i="1"/>
  <c r="AK7" i="4"/>
  <c r="Y20" i="4"/>
  <c r="AA14" i="4"/>
  <c r="I15" i="15" s="1"/>
  <c r="S16" i="4"/>
  <c r="AK22" i="4"/>
  <c r="P23" i="15" s="1"/>
  <c r="AK9" i="4"/>
  <c r="P10" i="15" s="1"/>
  <c r="AA20" i="4"/>
  <c r="I21" i="15" s="1"/>
  <c r="S14" i="4"/>
  <c r="Y16" i="4"/>
  <c r="AK23" i="4"/>
  <c r="P24" i="15" s="1"/>
  <c r="AK3" i="4"/>
  <c r="AK21" i="4"/>
  <c r="P22" i="15" s="1"/>
  <c r="S19" i="3"/>
  <c r="Z19" i="3"/>
  <c r="AA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X21" i="3"/>
  <c r="AF21" i="3"/>
  <c r="EV21" i="3" s="1"/>
  <c r="AG21" i="3"/>
  <c r="EW21" i="3" s="1"/>
  <c r="AH21" i="3"/>
  <c r="CJ20" i="3"/>
  <c r="AF9" i="3"/>
  <c r="EV9" i="3" s="1"/>
  <c r="X9" i="3"/>
  <c r="AH9" i="3"/>
  <c r="AG9" i="3"/>
  <c r="EW9" i="3" s="1"/>
  <c r="CJ7" i="3"/>
  <c r="X18" i="3"/>
  <c r="AG18" i="3"/>
  <c r="EW18" i="3" s="1"/>
  <c r="AF18" i="3"/>
  <c r="EV18" i="3" s="1"/>
  <c r="AH18" i="3"/>
  <c r="U9" i="3"/>
  <c r="AH19" i="3"/>
  <c r="AG19" i="3"/>
  <c r="EW19" i="3" s="1"/>
  <c r="AF19" i="3"/>
  <c r="EV19" i="3" s="1"/>
  <c r="X19" i="3"/>
  <c r="AM18" i="3"/>
  <c r="AN18" i="3" s="1"/>
  <c r="AQ18" i="3" s="1"/>
  <c r="AP18" i="3" s="1"/>
  <c r="AX18" i="3" s="1"/>
  <c r="AO18" i="3"/>
  <c r="W12" i="3"/>
  <c r="AA12" i="3"/>
  <c r="Y12" i="3"/>
  <c r="S12" i="3"/>
  <c r="Z12" i="3"/>
  <c r="AM9" i="3"/>
  <c r="AN9" i="3" s="1"/>
  <c r="AQ9" i="3" s="1"/>
  <c r="AP9" i="3" s="1"/>
  <c r="AX9" i="3" s="1"/>
  <c r="AO9" i="3"/>
  <c r="S22" i="3"/>
  <c r="AA22" i="3"/>
  <c r="Z22" i="3"/>
  <c r="Y22" i="3"/>
  <c r="W22" i="3"/>
  <c r="U22" i="3"/>
  <c r="CH20" i="3"/>
  <c r="AM22" i="3"/>
  <c r="AN22" i="3" s="1"/>
  <c r="AQ22" i="3" s="1"/>
  <c r="AP22" i="3" s="1"/>
  <c r="AX22" i="3" s="1"/>
  <c r="AO22" i="3"/>
  <c r="Z7" i="3"/>
  <c r="W7" i="3"/>
  <c r="S7"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Y9" i="3"/>
  <c r="W9" i="3"/>
  <c r="S9" i="3"/>
  <c r="AA9" i="3"/>
  <c r="Z9" i="3"/>
  <c r="W21"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L21" i="4"/>
  <c r="AR14" i="4"/>
  <c r="AZ14" i="4" s="1"/>
  <c r="AA11" i="1"/>
  <c r="Z11" i="1"/>
  <c r="S11" i="1"/>
  <c r="Y11" i="1"/>
  <c r="W11" i="1"/>
  <c r="U11" i="1"/>
  <c r="AK17" i="4"/>
  <c r="P18" i="15" s="1"/>
  <c r="Z4" i="4"/>
  <c r="G5" i="15" s="1"/>
  <c r="Y4" i="4"/>
  <c r="S4" i="4"/>
  <c r="AA4" i="4"/>
  <c r="I5" i="15" s="1"/>
  <c r="W4" i="4"/>
  <c r="AR16" i="4"/>
  <c r="AZ16" i="4" s="1"/>
  <c r="AK16" i="4"/>
  <c r="P17" i="15" s="1"/>
  <c r="AK12" i="4"/>
  <c r="P13" i="15" s="1"/>
  <c r="AK14" i="4"/>
  <c r="P15" i="15" s="1"/>
  <c r="AR8" i="1"/>
  <c r="AU8" i="1" s="1"/>
  <c r="AR15" i="1"/>
  <c r="AU15" i="1" s="1"/>
  <c r="AR15" i="4"/>
  <c r="AZ15" i="4" s="1"/>
  <c r="AR3" i="4"/>
  <c r="AZ3" i="4" s="1"/>
  <c r="AK6" i="4"/>
  <c r="P7" i="15" s="1"/>
  <c r="AR23" i="4"/>
  <c r="AZ23" i="4" s="1"/>
  <c r="AS15" i="1"/>
  <c r="AV15" i="1" s="1"/>
  <c r="AR4" i="4"/>
  <c r="AZ4" i="4" s="1"/>
  <c r="AJ20" i="2"/>
  <c r="S4" i="3"/>
  <c r="Y4" i="3"/>
  <c r="AA4" i="3"/>
  <c r="Z4" i="3"/>
  <c r="W4" i="3"/>
  <c r="U4" i="3"/>
  <c r="AL9" i="4"/>
  <c r="AS13" i="3"/>
  <c r="AV13" i="3" s="1"/>
  <c r="AJ10" i="2"/>
  <c r="FD10" i="2" s="1"/>
  <c r="Z8" i="2"/>
  <c r="Y8" i="2"/>
  <c r="S8" i="2"/>
  <c r="AA8" i="2"/>
  <c r="W8" i="2"/>
  <c r="AP4" i="2"/>
  <c r="AR12" i="4"/>
  <c r="AZ12" i="4" s="1"/>
  <c r="AP13" i="2"/>
  <c r="AT5" i="3"/>
  <c r="AR10" i="1"/>
  <c r="AU10" i="1" s="1"/>
  <c r="AK20" i="4"/>
  <c r="P21" i="15" s="1"/>
  <c r="AT23" i="3"/>
  <c r="AR13" i="4"/>
  <c r="AZ13" i="4" s="1"/>
  <c r="AK10" i="4"/>
  <c r="P11" i="15" s="1"/>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S15" i="3"/>
  <c r="AV15" i="3" s="1"/>
  <c r="AP15" i="2"/>
  <c r="AJ12" i="2"/>
  <c r="FE12" i="2" s="1"/>
  <c r="FH12" i="2" s="1"/>
  <c r="AK13" i="4"/>
  <c r="P14" i="15" s="1"/>
  <c r="AS8" i="1"/>
  <c r="AV8" i="1" s="1"/>
  <c r="AR5" i="4"/>
  <c r="AZ5" i="4" s="1"/>
  <c r="AS7" i="1"/>
  <c r="AV7" i="1" s="1"/>
  <c r="AS10" i="1"/>
  <c r="AV10" i="1" s="1"/>
  <c r="AR23" i="3"/>
  <c r="AU23" i="3" s="1"/>
  <c r="AT15" i="3"/>
  <c r="AW15" i="3" s="1"/>
  <c r="AP5" i="2"/>
  <c r="AS11" i="3"/>
  <c r="AV11" i="3" s="1"/>
  <c r="AQ7" i="1"/>
  <c r="AT7" i="1" s="1"/>
  <c r="AR19" i="4"/>
  <c r="AZ19" i="4" s="1"/>
  <c r="S7" i="2"/>
  <c r="Z7" i="2"/>
  <c r="AA7" i="2"/>
  <c r="Y7" i="2"/>
  <c r="W7" i="2"/>
  <c r="AR9" i="4"/>
  <c r="AZ9" i="4" s="1"/>
  <c r="AK18" i="4"/>
  <c r="P19" i="15" s="1"/>
  <c r="AJ16" i="2"/>
  <c r="FD16" i="2" s="1"/>
  <c r="AJ6" i="2"/>
  <c r="FD6" i="2" s="1"/>
  <c r="AR8" i="4"/>
  <c r="AZ8" i="4" s="1"/>
  <c r="AJ15" i="2"/>
  <c r="FE15" i="2" s="1"/>
  <c r="FH15" i="2" s="1"/>
  <c r="AT11" i="3"/>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P20" i="15" s="1"/>
  <c r="AK4" i="4"/>
  <c r="AR11" i="3"/>
  <c r="AU11" i="3" s="1"/>
  <c r="AS16" i="1"/>
  <c r="AV16" i="1" s="1"/>
  <c r="AJ4" i="2"/>
  <c r="FE4" i="2" s="1"/>
  <c r="FH4" i="2" s="1"/>
  <c r="AK15" i="4"/>
  <c r="P16" i="15" s="1"/>
  <c r="AR11" i="2"/>
  <c r="AV11" i="2" s="1"/>
  <c r="AQ17" i="1"/>
  <c r="AT17" i="1" s="1"/>
  <c r="AR16" i="3"/>
  <c r="AU16" i="3" s="1"/>
  <c r="AQ10" i="1"/>
  <c r="AT10" i="1" s="1"/>
  <c r="AQ12" i="1"/>
  <c r="AT12" i="1" s="1"/>
  <c r="Y17" i="2"/>
  <c r="AA17" i="2"/>
  <c r="Z17" i="2"/>
  <c r="S17" i="2"/>
  <c r="W17" i="2"/>
  <c r="AQ11" i="1"/>
  <c r="AT11" i="1" s="1"/>
  <c r="AT8" i="3"/>
  <c r="AK5" i="4"/>
  <c r="AR4" i="3"/>
  <c r="AU4" i="3" s="1"/>
  <c r="AP14" i="2"/>
  <c r="AR20" i="4"/>
  <c r="AZ20" i="4" s="1"/>
  <c r="AP12" i="2"/>
  <c r="AJ14" i="2"/>
  <c r="FE14" i="2" s="1"/>
  <c r="FH14" i="2" s="1"/>
  <c r="AT16" i="3"/>
  <c r="AR22" i="4"/>
  <c r="AZ22" i="4" s="1"/>
  <c r="AR7" i="4"/>
  <c r="AZ7" i="4" s="1"/>
  <c r="S5" i="3"/>
  <c r="Y5" i="3"/>
  <c r="AA5" i="3"/>
  <c r="Z5" i="3"/>
  <c r="W5" i="3"/>
  <c r="U5" i="3"/>
  <c r="AP7" i="2"/>
  <c r="AK8" i="4"/>
  <c r="AP9" i="2"/>
  <c r="AR21" i="4"/>
  <c r="AZ21" i="4" s="1"/>
  <c r="AT13" i="3"/>
  <c r="AW13" i="3" s="1"/>
  <c r="AR16" i="1"/>
  <c r="AU16" i="1" s="1"/>
  <c r="AQ23" i="1"/>
  <c r="AT23" i="1" s="1"/>
  <c r="AT10" i="3"/>
  <c r="AW10" i="3" s="1"/>
  <c r="ET16" i="3" l="1"/>
  <c r="FB16" i="3" s="1"/>
  <c r="AL11" i="4"/>
  <c r="S21" i="3"/>
  <c r="FL6" i="1"/>
  <c r="AB16" i="3"/>
  <c r="Z16" i="3"/>
  <c r="AL3" i="4"/>
  <c r="P4" i="15"/>
  <c r="FC8" i="4"/>
  <c r="P9" i="15"/>
  <c r="W18" i="3"/>
  <c r="EZ19" i="4"/>
  <c r="FK19" i="4" s="1"/>
  <c r="O20" i="15" s="1"/>
  <c r="FL20" i="1"/>
  <c r="U16" i="3"/>
  <c r="AL4" i="4"/>
  <c r="L5" i="15" s="1"/>
  <c r="P5" i="15"/>
  <c r="FC7" i="4"/>
  <c r="P8" i="15"/>
  <c r="AL10" i="4"/>
  <c r="L11" i="15" s="1"/>
  <c r="Y18" i="3"/>
  <c r="AA16" i="3"/>
  <c r="FD21" i="4"/>
  <c r="FG21" i="4" s="1"/>
  <c r="L22" i="15"/>
  <c r="Z18" i="3"/>
  <c r="EX6" i="2"/>
  <c r="W16" i="3"/>
  <c r="S18" i="3"/>
  <c r="FM6" i="1"/>
  <c r="S16" i="3"/>
  <c r="U18" i="3"/>
  <c r="AA18" i="3"/>
  <c r="AL5" i="4"/>
  <c r="L6" i="15" s="1"/>
  <c r="P6" i="15"/>
  <c r="FD9" i="4"/>
  <c r="L10" i="15"/>
  <c r="FD13" i="2"/>
  <c r="FG13" i="2" s="1"/>
  <c r="FN6" i="1"/>
  <c r="Y19" i="3"/>
  <c r="EZ20" i="2"/>
  <c r="FK20" i="2" s="1"/>
  <c r="EZ6" i="2"/>
  <c r="FK6" i="2" s="1"/>
  <c r="Y6" i="3"/>
  <c r="W6" i="3"/>
  <c r="FN3" i="2"/>
  <c r="FM3" i="2"/>
  <c r="EX16" i="3"/>
  <c r="EZ16" i="3"/>
  <c r="FK16" i="3" s="1"/>
  <c r="AW11" i="3"/>
  <c r="EY12" i="4"/>
  <c r="FJ12" i="4" s="1"/>
  <c r="Q13" i="15" s="1"/>
  <c r="EX7" i="2"/>
  <c r="FI7" i="2" s="1"/>
  <c r="EX20" i="2"/>
  <c r="EZ11" i="4"/>
  <c r="FK11" i="4" s="1"/>
  <c r="O12" i="15" s="1"/>
  <c r="EX13" i="2"/>
  <c r="FI13" i="2" s="1"/>
  <c r="EZ6" i="4"/>
  <c r="FK6" i="4" s="1"/>
  <c r="O7" i="15" s="1"/>
  <c r="EZ14" i="4"/>
  <c r="FK14" i="4" s="1"/>
  <c r="O15" i="15" s="1"/>
  <c r="Y17" i="3"/>
  <c r="EZ21" i="4"/>
  <c r="FK21" i="4" s="1"/>
  <c r="O22" i="15" s="1"/>
  <c r="FG9" i="1"/>
  <c r="FO9" i="1" s="1"/>
  <c r="FF21" i="2"/>
  <c r="EZ13" i="2"/>
  <c r="FK13" i="2" s="1"/>
  <c r="FC10" i="4"/>
  <c r="EZ20" i="4"/>
  <c r="FK20" i="4" s="1"/>
  <c r="O21" i="15" s="1"/>
  <c r="AW5" i="3"/>
  <c r="FB20" i="2"/>
  <c r="AB18" i="3"/>
  <c r="AW16" i="3"/>
  <c r="FC22" i="2"/>
  <c r="EX17" i="2"/>
  <c r="FL3" i="2"/>
  <c r="FM20" i="1"/>
  <c r="FO19" i="1"/>
  <c r="EZ18" i="4"/>
  <c r="FK18" i="4" s="1"/>
  <c r="O19" i="15" s="1"/>
  <c r="FG21" i="1"/>
  <c r="FO21" i="1" s="1"/>
  <c r="AR17" i="3"/>
  <c r="AU17" i="3" s="1"/>
  <c r="EZ22" i="2"/>
  <c r="FK22" i="2" s="1"/>
  <c r="FL11" i="2"/>
  <c r="FN20" i="1"/>
  <c r="W17" i="3"/>
  <c r="FN21" i="1"/>
  <c r="FA6" i="2"/>
  <c r="AA17" i="3"/>
  <c r="EY4" i="4"/>
  <c r="FJ4" i="4" s="1"/>
  <c r="Q5" i="15" s="1"/>
  <c r="FM9" i="1"/>
  <c r="FA15" i="2"/>
  <c r="FE6" i="2"/>
  <c r="FH6" i="2" s="1"/>
  <c r="FM17" i="1"/>
  <c r="FA10" i="2"/>
  <c r="FL9" i="1"/>
  <c r="FC17" i="4"/>
  <c r="Y21" i="3"/>
  <c r="FO11" i="2"/>
  <c r="Y20" i="3"/>
  <c r="Z21" i="3"/>
  <c r="EY3" i="3"/>
  <c r="FJ3" i="3" s="1"/>
  <c r="EY22" i="4"/>
  <c r="FJ22" i="4" s="1"/>
  <c r="Q23" i="15" s="1"/>
  <c r="AW3" i="3"/>
  <c r="FC23" i="1"/>
  <c r="AA20" i="3"/>
  <c r="AL12" i="4"/>
  <c r="L13" i="15" s="1"/>
  <c r="FB17" i="2"/>
  <c r="FA5" i="2"/>
  <c r="FM11" i="2"/>
  <c r="FA19" i="2"/>
  <c r="BC38" i="2"/>
  <c r="FF21" i="4"/>
  <c r="FG11" i="3"/>
  <c r="FF11" i="3"/>
  <c r="FI14" i="2"/>
  <c r="FG16" i="2"/>
  <c r="FF16" i="2"/>
  <c r="FG23" i="3"/>
  <c r="FF23" i="3"/>
  <c r="FI23" i="2"/>
  <c r="FG22" i="2"/>
  <c r="FF22" i="2"/>
  <c r="FI9" i="2"/>
  <c r="FI17" i="2"/>
  <c r="FF10" i="2"/>
  <c r="FG10" i="2"/>
  <c r="FI6" i="2"/>
  <c r="FE5" i="4"/>
  <c r="FH5" i="4" s="1"/>
  <c r="EX5" i="4"/>
  <c r="FA5" i="4"/>
  <c r="FB5" i="4"/>
  <c r="FD5" i="4"/>
  <c r="FG9" i="4"/>
  <c r="FF9" i="4"/>
  <c r="FF3" i="3"/>
  <c r="FG3" i="3"/>
  <c r="FE4" i="4"/>
  <c r="FH4" i="4" s="1"/>
  <c r="FB4" i="4"/>
  <c r="FA4" i="4"/>
  <c r="EX4" i="4"/>
  <c r="EZ4" i="4"/>
  <c r="FK4" i="4" s="1"/>
  <c r="O5" i="15" s="1"/>
  <c r="FI4" i="2"/>
  <c r="AL7" i="4"/>
  <c r="L8" i="15" s="1"/>
  <c r="FE10" i="4"/>
  <c r="FH10" i="4" s="1"/>
  <c r="FB10" i="4"/>
  <c r="FA10" i="4"/>
  <c r="EX10" i="4"/>
  <c r="BX20" i="2"/>
  <c r="FC20" i="2"/>
  <c r="Z17" i="3"/>
  <c r="FG11" i="1"/>
  <c r="FF11" i="1"/>
  <c r="FN11" i="1"/>
  <c r="FG6" i="2"/>
  <c r="FF6" i="2"/>
  <c r="FA18" i="2"/>
  <c r="FC23" i="3"/>
  <c r="EX23" i="3"/>
  <c r="FB23" i="3"/>
  <c r="FI16" i="2"/>
  <c r="BX23" i="2"/>
  <c r="EY23" i="2"/>
  <c r="FJ23" i="2" s="1"/>
  <c r="FC23" i="2"/>
  <c r="EY10" i="4"/>
  <c r="FJ10" i="4" s="1"/>
  <c r="Q11" i="15" s="1"/>
  <c r="FF8" i="1"/>
  <c r="FG8" i="1"/>
  <c r="FC11" i="4"/>
  <c r="EY11" i="4"/>
  <c r="FJ11" i="4" s="1"/>
  <c r="Q12" i="15" s="1"/>
  <c r="FG4" i="3"/>
  <c r="FF4" i="3"/>
  <c r="BX19" i="2"/>
  <c r="FC19" i="2"/>
  <c r="EY19" i="2"/>
  <c r="FJ19" i="2" s="1"/>
  <c r="FD4" i="4"/>
  <c r="FG7" i="1"/>
  <c r="FF7" i="1"/>
  <c r="FN7" i="1"/>
  <c r="FC14" i="4"/>
  <c r="FB6" i="2"/>
  <c r="FM10" i="1"/>
  <c r="EY16" i="4"/>
  <c r="FJ16" i="4" s="1"/>
  <c r="Q17" i="15" s="1"/>
  <c r="FA16" i="2"/>
  <c r="BX7" i="2"/>
  <c r="EY7" i="2"/>
  <c r="FJ7" i="2" s="1"/>
  <c r="EU18" i="3"/>
  <c r="EX18" i="3" s="1"/>
  <c r="EU7" i="3"/>
  <c r="EX7" i="3" s="1"/>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FO20" i="1"/>
  <c r="AI20" i="3"/>
  <c r="EW20" i="3"/>
  <c r="EU21" i="3"/>
  <c r="BX18" i="2"/>
  <c r="EY18" i="2"/>
  <c r="FJ18" i="2" s="1"/>
  <c r="FC18" i="2"/>
  <c r="FE21" i="4"/>
  <c r="FH21" i="4" s="1"/>
  <c r="FB21" i="4"/>
  <c r="FA21" i="4"/>
  <c r="EX21" i="4"/>
  <c r="AW8" i="3"/>
  <c r="AL15" i="4"/>
  <c r="L16" i="15" s="1"/>
  <c r="FC15" i="4"/>
  <c r="EY15" i="4"/>
  <c r="FJ15" i="4" s="1"/>
  <c r="Q16" i="15" s="1"/>
  <c r="AW23" i="3"/>
  <c r="BX10" i="2"/>
  <c r="EY10" i="2"/>
  <c r="FJ10" i="2" s="1"/>
  <c r="FC10" i="2"/>
  <c r="AI22" i="3"/>
  <c r="AJ22" i="3" s="1"/>
  <c r="EW22" i="3"/>
  <c r="FC21" i="4"/>
  <c r="EY21" i="4"/>
  <c r="FJ21" i="4" s="1"/>
  <c r="Q22" i="15" s="1"/>
  <c r="FA14" i="1"/>
  <c r="EZ8" i="3"/>
  <c r="FK8" i="3" s="1"/>
  <c r="FM15" i="1"/>
  <c r="FL15" i="1"/>
  <c r="FI15" i="1"/>
  <c r="ET21" i="3"/>
  <c r="AB21" i="3"/>
  <c r="FO2" i="4"/>
  <c r="FD8" i="2"/>
  <c r="FB4" i="3"/>
  <c r="EX4" i="3"/>
  <c r="EZ19" i="2"/>
  <c r="FK19" i="2" s="1"/>
  <c r="AB6" i="3"/>
  <c r="ET6" i="3"/>
  <c r="AA6" i="3"/>
  <c r="Z6" i="3"/>
  <c r="S6" i="3"/>
  <c r="AB19" i="3"/>
  <c r="ET19" i="3"/>
  <c r="FD9" i="2"/>
  <c r="FA4" i="3"/>
  <c r="FG3" i="2"/>
  <c r="FF3" i="2"/>
  <c r="ET17" i="3"/>
  <c r="AB17" i="3"/>
  <c r="FI16" i="1"/>
  <c r="FM16" i="1"/>
  <c r="FL16" i="1"/>
  <c r="EZ12" i="1"/>
  <c r="FK12" i="1" s="1"/>
  <c r="FB12" i="1"/>
  <c r="EX12" i="1"/>
  <c r="FD19" i="2"/>
  <c r="EX12" i="2"/>
  <c r="FM13" i="3"/>
  <c r="FM21" i="1"/>
  <c r="FL21" i="1"/>
  <c r="FI21" i="1"/>
  <c r="FG22" i="1"/>
  <c r="FF22" i="1"/>
  <c r="FN22" i="1"/>
  <c r="FI5" i="3"/>
  <c r="FC8" i="3"/>
  <c r="EY8" i="3"/>
  <c r="FJ8" i="3" s="1"/>
  <c r="FE8" i="3"/>
  <c r="FH8" i="3" s="1"/>
  <c r="FN13" i="1"/>
  <c r="BX13" i="2"/>
  <c r="FC13" i="2"/>
  <c r="EY13" i="2"/>
  <c r="FJ13" i="2" s="1"/>
  <c r="FA7" i="2"/>
  <c r="EZ12" i="2"/>
  <c r="FK12" i="2" s="1"/>
  <c r="FM21" i="2"/>
  <c r="FC16" i="2"/>
  <c r="FA12" i="2"/>
  <c r="FG16" i="1"/>
  <c r="FN16" i="1"/>
  <c r="FF16" i="1"/>
  <c r="FL13" i="3"/>
  <c r="FF23" i="2"/>
  <c r="FG23" i="2"/>
  <c r="AL18" i="4"/>
  <c r="L19" i="15" s="1"/>
  <c r="EY18" i="4"/>
  <c r="FJ18" i="4" s="1"/>
  <c r="Q19" i="15" s="1"/>
  <c r="EX12" i="4"/>
  <c r="FB12" i="4"/>
  <c r="FA12" i="4"/>
  <c r="BX4" i="2"/>
  <c r="EY4" i="2"/>
  <c r="FJ4" i="2" s="1"/>
  <c r="FI20" i="2"/>
  <c r="EY23" i="3"/>
  <c r="FJ23" i="3" s="1"/>
  <c r="FA23" i="3"/>
  <c r="FE23" i="3"/>
  <c r="FH23" i="3" s="1"/>
  <c r="EU12" i="3"/>
  <c r="EX12" i="3" s="1"/>
  <c r="AL17" i="4"/>
  <c r="L18" i="15" s="1"/>
  <c r="EY17" i="4"/>
  <c r="FJ17" i="4" s="1"/>
  <c r="Q18" i="15" s="1"/>
  <c r="AI6" i="3"/>
  <c r="EW6" i="3"/>
  <c r="EX23" i="1"/>
  <c r="FB23" i="1"/>
  <c r="EZ23" i="1"/>
  <c r="FK23" i="1" s="1"/>
  <c r="FA20" i="2"/>
  <c r="EY20" i="2"/>
  <c r="FJ20" i="2" s="1"/>
  <c r="FE11" i="3"/>
  <c r="FH11" i="3" s="1"/>
  <c r="FB22" i="2"/>
  <c r="FO13" i="1"/>
  <c r="FA8" i="1"/>
  <c r="FC5" i="2"/>
  <c r="EZ7" i="2"/>
  <c r="FK7" i="2" s="1"/>
  <c r="FD12" i="2"/>
  <c r="FI16" i="3"/>
  <c r="FO4" i="1"/>
  <c r="EY4" i="3"/>
  <c r="FJ4" i="3" s="1"/>
  <c r="EZ22" i="4"/>
  <c r="FK22" i="4" s="1"/>
  <c r="O23" i="15" s="1"/>
  <c r="FC4" i="2"/>
  <c r="BX17" i="2"/>
  <c r="EY17" i="2"/>
  <c r="FJ17" i="2" s="1"/>
  <c r="FC17" i="2"/>
  <c r="FE9" i="4"/>
  <c r="FH9" i="4" s="1"/>
  <c r="FB9" i="4"/>
  <c r="FA9" i="4"/>
  <c r="EX9" i="4"/>
  <c r="AL23" i="4"/>
  <c r="L24" i="15" s="1"/>
  <c r="FC23" i="4"/>
  <c r="EY23" i="4"/>
  <c r="FJ23" i="4" s="1"/>
  <c r="Q24" i="15" s="1"/>
  <c r="FC4" i="4"/>
  <c r="EY8" i="1"/>
  <c r="FJ8" i="1" s="1"/>
  <c r="FA22" i="2"/>
  <c r="FD18" i="2"/>
  <c r="FG5" i="3"/>
  <c r="FF5" i="3"/>
  <c r="FI10" i="2"/>
  <c r="FA23" i="2"/>
  <c r="FN23" i="2" s="1"/>
  <c r="FC7" i="2"/>
  <c r="EX8" i="2"/>
  <c r="FN11" i="2"/>
  <c r="FL21" i="2"/>
  <c r="FC3" i="3"/>
  <c r="FE3" i="3"/>
  <c r="FH3" i="3" s="1"/>
  <c r="FA3" i="3"/>
  <c r="FC4" i="3"/>
  <c r="FD4" i="2"/>
  <c r="FN21" i="2"/>
  <c r="FL10" i="3"/>
  <c r="FI18" i="2"/>
  <c r="EU14" i="3"/>
  <c r="EU22" i="3"/>
  <c r="EX22" i="3" s="1"/>
  <c r="FC3" i="4"/>
  <c r="EY3" i="4"/>
  <c r="FJ3" i="4" s="1"/>
  <c r="Q4" i="15" s="1"/>
  <c r="FD8" i="3"/>
  <c r="BX5" i="2"/>
  <c r="EY5" i="2"/>
  <c r="FJ5" i="2" s="1"/>
  <c r="U17" i="3"/>
  <c r="EU9" i="3"/>
  <c r="EX9" i="3" s="1"/>
  <c r="EU6" i="3"/>
  <c r="BX14" i="2"/>
  <c r="FC14" i="2"/>
  <c r="AL19" i="4"/>
  <c r="L20" i="15" s="1"/>
  <c r="EY19" i="4"/>
  <c r="FJ19" i="4" s="1"/>
  <c r="Q20" i="15" s="1"/>
  <c r="FC19" i="4"/>
  <c r="BX15" i="2"/>
  <c r="FC15" i="2"/>
  <c r="EY15" i="2"/>
  <c r="FJ15" i="2" s="1"/>
  <c r="AL13" i="4"/>
  <c r="L14" i="15" s="1"/>
  <c r="FC13" i="4"/>
  <c r="EY13" i="4"/>
  <c r="FJ13" i="4" s="1"/>
  <c r="Q14" i="15" s="1"/>
  <c r="BX22" i="2"/>
  <c r="EY22" i="2"/>
  <c r="FJ22" i="2" s="1"/>
  <c r="U21" i="3"/>
  <c r="FE20" i="2"/>
  <c r="FH20" i="2" s="1"/>
  <c r="EX22" i="2"/>
  <c r="U11" i="3"/>
  <c r="ET11" i="3"/>
  <c r="FC11" i="3" s="1"/>
  <c r="AB11" i="3"/>
  <c r="Y11" i="3"/>
  <c r="Z11" i="3"/>
  <c r="W11" i="3"/>
  <c r="AA11" i="3"/>
  <c r="S11" i="3"/>
  <c r="FC5" i="3"/>
  <c r="EY5" i="3"/>
  <c r="FJ5" i="3" s="1"/>
  <c r="FA5" i="3"/>
  <c r="FE5" i="3"/>
  <c r="FH5" i="3" s="1"/>
  <c r="FE10" i="2"/>
  <c r="FH10" i="2" s="1"/>
  <c r="FD20" i="2"/>
  <c r="FD5" i="2"/>
  <c r="FD14" i="2"/>
  <c r="FD7" i="2"/>
  <c r="FL11" i="1"/>
  <c r="FA4" i="2"/>
  <c r="FC12" i="1"/>
  <c r="FO21" i="2"/>
  <c r="FC18" i="4"/>
  <c r="FB8" i="3"/>
  <c r="FM10" i="3"/>
  <c r="FE3" i="4"/>
  <c r="FH3" i="4" s="1"/>
  <c r="FB3" i="4"/>
  <c r="FA3" i="4"/>
  <c r="EX3" i="4"/>
  <c r="AL6" i="4"/>
  <c r="L7" i="15" s="1"/>
  <c r="EY6" i="4"/>
  <c r="FJ6" i="4" s="1"/>
  <c r="Q7" i="15" s="1"/>
  <c r="FD17" i="2"/>
  <c r="AL8" i="4"/>
  <c r="L9" i="15" s="1"/>
  <c r="EY8" i="4"/>
  <c r="FJ8" i="4" s="1"/>
  <c r="Q9" i="15" s="1"/>
  <c r="FE11" i="4"/>
  <c r="FH11" i="4" s="1"/>
  <c r="FB11" i="4"/>
  <c r="FA11" i="4"/>
  <c r="EX11" i="4"/>
  <c r="BX12" i="2"/>
  <c r="EY12" i="2"/>
  <c r="FJ12" i="2" s="1"/>
  <c r="FC12" i="2"/>
  <c r="EU17" i="3"/>
  <c r="FC9" i="4"/>
  <c r="EY9" i="4"/>
  <c r="FJ9" i="4" s="1"/>
  <c r="Q10" i="15" s="1"/>
  <c r="FD10" i="4"/>
  <c r="FE22" i="2"/>
  <c r="FH22" i="2" s="1"/>
  <c r="EY14" i="2"/>
  <c r="FJ14" i="2" s="1"/>
  <c r="FM13" i="1"/>
  <c r="FL13" i="1"/>
  <c r="FI13" i="1"/>
  <c r="FD12" i="4"/>
  <c r="FM11" i="1"/>
  <c r="EX19" i="2"/>
  <c r="FC12" i="4"/>
  <c r="FA9" i="2"/>
  <c r="FG13" i="3"/>
  <c r="FF13" i="3"/>
  <c r="FN13" i="3"/>
  <c r="FC6" i="4"/>
  <c r="EY12" i="1"/>
  <c r="FJ12" i="1" s="1"/>
  <c r="FA13" i="2"/>
  <c r="FL22" i="1"/>
  <c r="BX16" i="2"/>
  <c r="EY16" i="2"/>
  <c r="FJ16" i="2" s="1"/>
  <c r="AL16" i="4"/>
  <c r="L17" i="15" s="1"/>
  <c r="FC16" i="4"/>
  <c r="FC5" i="4"/>
  <c r="EY5" i="4"/>
  <c r="FJ5" i="4" s="1"/>
  <c r="Q6" i="15" s="1"/>
  <c r="AL20" i="4"/>
  <c r="L21" i="15" s="1"/>
  <c r="FC20" i="4"/>
  <c r="EY20" i="4"/>
  <c r="FJ20" i="4" s="1"/>
  <c r="Q21" i="15" s="1"/>
  <c r="AL14" i="4"/>
  <c r="L15" i="15" s="1"/>
  <c r="EY14" i="4"/>
  <c r="FJ14" i="4" s="1"/>
  <c r="Q15" i="15" s="1"/>
  <c r="BX6" i="2"/>
  <c r="FC6" i="2"/>
  <c r="EY6" i="2"/>
  <c r="FJ6" i="2" s="1"/>
  <c r="BX8" i="2"/>
  <c r="EY8" i="2"/>
  <c r="FJ8" i="2" s="1"/>
  <c r="FC8" i="2"/>
  <c r="U14" i="3"/>
  <c r="AB14" i="3"/>
  <c r="ET14" i="3"/>
  <c r="EU20" i="3"/>
  <c r="FB20" i="3" s="1"/>
  <c r="EU19" i="3"/>
  <c r="AL22" i="4"/>
  <c r="L23" i="15" s="1"/>
  <c r="FC22" i="4"/>
  <c r="EY7" i="4"/>
  <c r="FJ7" i="4" s="1"/>
  <c r="Q8" i="15" s="1"/>
  <c r="EZ16" i="4"/>
  <c r="FK16" i="4" s="1"/>
  <c r="O17" i="15" s="1"/>
  <c r="FG10" i="1"/>
  <c r="FN10" i="1"/>
  <c r="FF10" i="1"/>
  <c r="FA14" i="2"/>
  <c r="FC16" i="3"/>
  <c r="EY16" i="3"/>
  <c r="FJ16" i="3" s="1"/>
  <c r="FE16" i="3"/>
  <c r="FH16" i="3" s="1"/>
  <c r="FA16" i="3"/>
  <c r="EX5" i="2"/>
  <c r="FB19" i="2"/>
  <c r="FN9" i="1"/>
  <c r="FD15" i="2"/>
  <c r="FG23" i="1"/>
  <c r="FF23" i="1"/>
  <c r="EY23" i="1"/>
  <c r="FJ23" i="1" s="1"/>
  <c r="FL17" i="1"/>
  <c r="FM22" i="1"/>
  <c r="AS20" i="3"/>
  <c r="AV20" i="3" s="1"/>
  <c r="AS18" i="3"/>
  <c r="AT18" i="3"/>
  <c r="AS17" i="3"/>
  <c r="AS22" i="3"/>
  <c r="AV22" i="3" s="1"/>
  <c r="AT19" i="3"/>
  <c r="AT22" i="3"/>
  <c r="AR22" i="3"/>
  <c r="AU22" i="3" s="1"/>
  <c r="AR21" i="3"/>
  <c r="AU21" i="3" s="1"/>
  <c r="AR14" i="3"/>
  <c r="AU14" i="3" s="1"/>
  <c r="AS9" i="3"/>
  <c r="AT14" i="3"/>
  <c r="AS6" i="3"/>
  <c r="AR19" i="3"/>
  <c r="AU19" i="3" s="1"/>
  <c r="AR6" i="3"/>
  <c r="AU6" i="3" s="1"/>
  <c r="AT6" i="3"/>
  <c r="AX35" i="3"/>
  <c r="AR18" i="3"/>
  <c r="AU18" i="3" s="1"/>
  <c r="AT20" i="3"/>
  <c r="AT7" i="3"/>
  <c r="AI14" i="3"/>
  <c r="AI9" i="3"/>
  <c r="FB9" i="3" s="1"/>
  <c r="AR9" i="3"/>
  <c r="AU9" i="3" s="1"/>
  <c r="AR7" i="3"/>
  <c r="AU7" i="3" s="1"/>
  <c r="AI19" i="3"/>
  <c r="AT12" i="3"/>
  <c r="AS19" i="3"/>
  <c r="AS12" i="3"/>
  <c r="AS14" i="3"/>
  <c r="AS7" i="3"/>
  <c r="AS21" i="3"/>
  <c r="AR12" i="3"/>
  <c r="AU12" i="3" s="1"/>
  <c r="AT9" i="3"/>
  <c r="AI12" i="3"/>
  <c r="FB12" i="3" s="1"/>
  <c r="AI21" i="3"/>
  <c r="AI7" i="3"/>
  <c r="FB7" i="3" s="1"/>
  <c r="S14" i="3"/>
  <c r="AA14" i="3"/>
  <c r="Y14" i="3"/>
  <c r="Z14" i="3"/>
  <c r="W14" i="3"/>
  <c r="AT21" i="3"/>
  <c r="AI18" i="3"/>
  <c r="FB18" i="3" s="1"/>
  <c r="AR20" i="3"/>
  <c r="AU20" i="3" s="1"/>
  <c r="AT17" i="3"/>
  <c r="AI17" i="3"/>
  <c r="FB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T19" i="4"/>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AS6" i="2"/>
  <c r="AW6" i="2" s="1"/>
  <c r="AT12" i="4"/>
  <c r="AW12" i="4" s="1"/>
  <c r="AR16" i="2"/>
  <c r="AV16" i="2" s="1"/>
  <c r="AU12" i="4"/>
  <c r="AX12" i="4" s="1"/>
  <c r="AR14" i="2"/>
  <c r="AV14" i="2" s="1"/>
  <c r="AU21" i="4"/>
  <c r="AX21" i="4" s="1"/>
  <c r="AW36" i="1"/>
  <c r="AT23" i="4"/>
  <c r="AW23" i="4" s="1"/>
  <c r="AT16" i="4"/>
  <c r="AV12" i="4"/>
  <c r="AY12" i="4" s="1"/>
  <c r="AS16" i="2"/>
  <c r="AW16" i="2" s="1"/>
  <c r="AU7" i="4"/>
  <c r="AX7" i="4" s="1"/>
  <c r="AV20" i="4"/>
  <c r="AY20" i="4" s="1"/>
  <c r="AV17" i="4"/>
  <c r="AY17" i="4" s="1"/>
  <c r="AU9" i="4"/>
  <c r="AX9" i="4" s="1"/>
  <c r="AU19" i="4"/>
  <c r="AX19" i="4" s="1"/>
  <c r="AV23" i="4"/>
  <c r="AY23" i="4" s="1"/>
  <c r="AV16" i="4"/>
  <c r="AY16" i="4" s="1"/>
  <c r="AT6" i="4"/>
  <c r="AT18" i="4"/>
  <c r="AW18" i="4" s="1"/>
  <c r="AR18" i="2"/>
  <c r="AV18" i="2" s="1"/>
  <c r="AR23" i="2"/>
  <c r="AV23" i="2" s="1"/>
  <c r="AT17" i="4"/>
  <c r="AV19" i="4"/>
  <c r="AY19" i="4" s="1"/>
  <c r="AW37" i="1"/>
  <c r="AV6" i="4"/>
  <c r="AY6" i="4" s="1"/>
  <c r="AR12" i="2"/>
  <c r="AV12" i="2" s="1"/>
  <c r="AT5" i="4"/>
  <c r="AW5" i="4" s="1"/>
  <c r="AZ36" i="4"/>
  <c r="AT20" i="4"/>
  <c r="AS12" i="2"/>
  <c r="AW12" i="2" s="1"/>
  <c r="AS14" i="2"/>
  <c r="AW14" i="2" s="1"/>
  <c r="AS18" i="2"/>
  <c r="AW18" i="2" s="1"/>
  <c r="AS17" i="2"/>
  <c r="AW17" i="2" s="1"/>
  <c r="AT8" i="4"/>
  <c r="AT9" i="4"/>
  <c r="AW9" i="4" s="1"/>
  <c r="AV5" i="4"/>
  <c r="AY5" i="4" s="1"/>
  <c r="AU6" i="4"/>
  <c r="AX6" i="4" s="1"/>
  <c r="AU18" i="4"/>
  <c r="AX18" i="4" s="1"/>
  <c r="AS15" i="2"/>
  <c r="AW15" i="2" s="1"/>
  <c r="AT3" i="4"/>
  <c r="AW3" i="4" s="1"/>
  <c r="FB22" i="3" l="1"/>
  <c r="FD3" i="4"/>
  <c r="L4" i="15"/>
  <c r="AW16" i="4"/>
  <c r="FF13" i="2"/>
  <c r="FE12" i="4"/>
  <c r="FH12" i="4" s="1"/>
  <c r="FD11" i="4"/>
  <c r="L12" i="15"/>
  <c r="FB6" i="3"/>
  <c r="EX21" i="3"/>
  <c r="EX17" i="3"/>
  <c r="FI17" i="3" s="1"/>
  <c r="EX20" i="3"/>
  <c r="FI20" i="3" s="1"/>
  <c r="AW8" i="4"/>
  <c r="FO16" i="1"/>
  <c r="FN5" i="3"/>
  <c r="AV14" i="3"/>
  <c r="AV9" i="3"/>
  <c r="EX14" i="3"/>
  <c r="FI14" i="3" s="1"/>
  <c r="FB14" i="3"/>
  <c r="FL23" i="2"/>
  <c r="AJ14" i="3"/>
  <c r="FD14" i="3" s="1"/>
  <c r="AW22" i="3"/>
  <c r="FN3" i="3"/>
  <c r="FL7" i="2"/>
  <c r="FO6" i="2"/>
  <c r="FN23" i="1"/>
  <c r="FO7" i="1"/>
  <c r="FM3" i="3"/>
  <c r="AJ9" i="3"/>
  <c r="FC9" i="3" s="1"/>
  <c r="FN17" i="2"/>
  <c r="AV7" i="3"/>
  <c r="FL16" i="3"/>
  <c r="FL20" i="2"/>
  <c r="FO23" i="2"/>
  <c r="EX6" i="3"/>
  <c r="FI6" i="3" s="1"/>
  <c r="AW14" i="4"/>
  <c r="AJ18" i="3"/>
  <c r="FA18" i="3" s="1"/>
  <c r="FM20" i="2"/>
  <c r="AW19" i="4"/>
  <c r="AW17" i="4"/>
  <c r="AJ12" i="3"/>
  <c r="FA12" i="3" s="1"/>
  <c r="FL3" i="3"/>
  <c r="FM15" i="2"/>
  <c r="FB21" i="3"/>
  <c r="EX19" i="3"/>
  <c r="FI19" i="3" s="1"/>
  <c r="FN20" i="2"/>
  <c r="AV12" i="3"/>
  <c r="FO16" i="2"/>
  <c r="BC39" i="2"/>
  <c r="BC35" i="2" s="1"/>
  <c r="B21" i="7" s="1"/>
  <c r="B24" i="7" s="1"/>
  <c r="FI18" i="3"/>
  <c r="FI12" i="3"/>
  <c r="FI21" i="3"/>
  <c r="FG14" i="2"/>
  <c r="FF14" i="2"/>
  <c r="FN14" i="2"/>
  <c r="EY14" i="3"/>
  <c r="FJ14" i="3" s="1"/>
  <c r="FC14" i="3"/>
  <c r="EZ14" i="3"/>
  <c r="FK14" i="3" s="1"/>
  <c r="FO23" i="1"/>
  <c r="FO10" i="1"/>
  <c r="AW22" i="4"/>
  <c r="FG12" i="4"/>
  <c r="FF12" i="4"/>
  <c r="FO13" i="2"/>
  <c r="FL23" i="1"/>
  <c r="FM23" i="1"/>
  <c r="FI23" i="1"/>
  <c r="FE18" i="4"/>
  <c r="FH18" i="4" s="1"/>
  <c r="EX18" i="4"/>
  <c r="FA18" i="4"/>
  <c r="FB18" i="4"/>
  <c r="FD18" i="4"/>
  <c r="FM5" i="3"/>
  <c r="FO12" i="1"/>
  <c r="FL12" i="1"/>
  <c r="FI12" i="1"/>
  <c r="FM12" i="1"/>
  <c r="FN12" i="1"/>
  <c r="FO10" i="3"/>
  <c r="FO8" i="1"/>
  <c r="FN6" i="2"/>
  <c r="FO3" i="3"/>
  <c r="FM6" i="2"/>
  <c r="FO22" i="2"/>
  <c r="FN16" i="2"/>
  <c r="FL18" i="2"/>
  <c r="FL8" i="2"/>
  <c r="FI8" i="2"/>
  <c r="FM8" i="2"/>
  <c r="EZ6" i="3"/>
  <c r="FK6" i="3" s="1"/>
  <c r="FL8" i="3"/>
  <c r="FM8" i="3"/>
  <c r="FI8" i="3"/>
  <c r="FN4" i="3"/>
  <c r="FM4" i="2"/>
  <c r="FN10" i="2"/>
  <c r="FM23" i="2"/>
  <c r="FM18" i="2"/>
  <c r="FO14" i="1"/>
  <c r="FL4" i="2"/>
  <c r="FL14" i="2"/>
  <c r="FI7" i="3"/>
  <c r="FE7" i="4"/>
  <c r="FH7" i="4" s="1"/>
  <c r="EX7" i="4"/>
  <c r="FB7" i="4"/>
  <c r="FA7" i="4"/>
  <c r="FD7" i="4"/>
  <c r="FF5" i="2"/>
  <c r="FG5" i="2"/>
  <c r="FN5" i="2"/>
  <c r="FE13" i="4"/>
  <c r="FH13" i="4" s="1"/>
  <c r="FB13" i="4"/>
  <c r="FA13" i="4"/>
  <c r="EX13" i="4"/>
  <c r="FD13" i="4"/>
  <c r="AV17" i="3"/>
  <c r="EZ17" i="3"/>
  <c r="FK17" i="3" s="1"/>
  <c r="AJ7" i="3"/>
  <c r="AW7" i="3" s="1"/>
  <c r="EZ7" i="3"/>
  <c r="FK7" i="3" s="1"/>
  <c r="AV19" i="3"/>
  <c r="FE23" i="4"/>
  <c r="FH23" i="4" s="1"/>
  <c r="FA23" i="4"/>
  <c r="EX23" i="4"/>
  <c r="FB23" i="4"/>
  <c r="FD23" i="4"/>
  <c r="FA11" i="3"/>
  <c r="FE17" i="4"/>
  <c r="FH17" i="4" s="1"/>
  <c r="EX17" i="4"/>
  <c r="FB17" i="4"/>
  <c r="FA17" i="4"/>
  <c r="FD17" i="4"/>
  <c r="FO22" i="1"/>
  <c r="FO11" i="1"/>
  <c r="FO9" i="4"/>
  <c r="FO10" i="2"/>
  <c r="FO23" i="3"/>
  <c r="FM14" i="2"/>
  <c r="FE6" i="4"/>
  <c r="FH6" i="4" s="1"/>
  <c r="FA6" i="4"/>
  <c r="EX6" i="4"/>
  <c r="FB6" i="4"/>
  <c r="FD6" i="4"/>
  <c r="FE22" i="4"/>
  <c r="FH22" i="4" s="1"/>
  <c r="FB22" i="4"/>
  <c r="FA22" i="4"/>
  <c r="EX22" i="4"/>
  <c r="FD22" i="4"/>
  <c r="FI9" i="3"/>
  <c r="FI9" i="4"/>
  <c r="M10" i="15" s="1"/>
  <c r="FM9" i="4"/>
  <c r="FL9" i="4"/>
  <c r="FC22" i="3"/>
  <c r="EY22" i="3"/>
  <c r="FJ22" i="3" s="1"/>
  <c r="FA22" i="3"/>
  <c r="FM16" i="3"/>
  <c r="EY11" i="3"/>
  <c r="FJ11" i="3" s="1"/>
  <c r="FE15" i="4"/>
  <c r="FH15" i="4" s="1"/>
  <c r="FB15" i="4"/>
  <c r="FA15" i="4"/>
  <c r="EX15" i="4"/>
  <c r="FD15" i="4"/>
  <c r="FL15" i="2"/>
  <c r="FM7" i="2"/>
  <c r="FL16" i="2"/>
  <c r="FN4" i="4"/>
  <c r="FI4" i="4"/>
  <c r="M5" i="15" s="1"/>
  <c r="FM4" i="4"/>
  <c r="FL4" i="4"/>
  <c r="FG5" i="4"/>
  <c r="FF5" i="4"/>
  <c r="FN5" i="4"/>
  <c r="FM17" i="2"/>
  <c r="FN22" i="2"/>
  <c r="FI22" i="2"/>
  <c r="FM22" i="2"/>
  <c r="FL22" i="2"/>
  <c r="FG4" i="2"/>
  <c r="FF4" i="2"/>
  <c r="FN4" i="2"/>
  <c r="FM10" i="2"/>
  <c r="FN9" i="4"/>
  <c r="FG12" i="2"/>
  <c r="FF12" i="2"/>
  <c r="FN12" i="2"/>
  <c r="FM16" i="2"/>
  <c r="FL17" i="2"/>
  <c r="EY18" i="3"/>
  <c r="FJ18" i="3" s="1"/>
  <c r="FG15" i="2"/>
  <c r="FF15" i="2"/>
  <c r="FN15" i="2"/>
  <c r="FN3" i="4"/>
  <c r="FI3" i="4"/>
  <c r="M4" i="15" s="1"/>
  <c r="FM3" i="4"/>
  <c r="FL3" i="4"/>
  <c r="FM5" i="2"/>
  <c r="FL5" i="2"/>
  <c r="FI5" i="2"/>
  <c r="FE20" i="4"/>
  <c r="FH20" i="4" s="1"/>
  <c r="FB20" i="4"/>
  <c r="EX20" i="4"/>
  <c r="FD20" i="4"/>
  <c r="FA20" i="4"/>
  <c r="FG20" i="2"/>
  <c r="FF20" i="2"/>
  <c r="FI22" i="3"/>
  <c r="AW6" i="4"/>
  <c r="AJ19" i="3"/>
  <c r="AW19" i="3" s="1"/>
  <c r="EZ19" i="3"/>
  <c r="FK19" i="3" s="1"/>
  <c r="AW20" i="4"/>
  <c r="FD18" i="3"/>
  <c r="EZ18" i="3"/>
  <c r="FK18" i="3" s="1"/>
  <c r="EZ12" i="3"/>
  <c r="FK12" i="3" s="1"/>
  <c r="AV6" i="3"/>
  <c r="FE22" i="3"/>
  <c r="FH22" i="3" s="1"/>
  <c r="FO5" i="3"/>
  <c r="FO3" i="2"/>
  <c r="FO4" i="3"/>
  <c r="FI4" i="3"/>
  <c r="FM4" i="3"/>
  <c r="FL4" i="3"/>
  <c r="FI21" i="4"/>
  <c r="M22" i="15" s="1"/>
  <c r="FM21" i="4"/>
  <c r="FL21" i="4"/>
  <c r="FN16" i="3"/>
  <c r="EY15" i="3"/>
  <c r="FJ15" i="3" s="1"/>
  <c r="EX15" i="3"/>
  <c r="FB15" i="3"/>
  <c r="FC15" i="3"/>
  <c r="FA15" i="3"/>
  <c r="EZ15" i="3"/>
  <c r="FK15" i="3" s="1"/>
  <c r="FN23" i="3"/>
  <c r="FM13" i="2"/>
  <c r="FG8" i="3"/>
  <c r="FN8" i="3"/>
  <c r="FF8" i="3"/>
  <c r="FO8" i="3" s="1"/>
  <c r="FE16" i="4"/>
  <c r="FH16" i="4" s="1"/>
  <c r="FB16" i="4"/>
  <c r="FA16" i="4"/>
  <c r="EX16" i="4"/>
  <c r="FD16" i="4"/>
  <c r="FE19" i="4"/>
  <c r="FH19" i="4" s="1"/>
  <c r="EX19" i="4"/>
  <c r="FB19" i="4"/>
  <c r="FA19" i="4"/>
  <c r="FD19" i="4"/>
  <c r="FE14" i="3"/>
  <c r="FH14" i="3" s="1"/>
  <c r="FE12" i="3"/>
  <c r="FH12" i="3" s="1"/>
  <c r="FN12" i="4"/>
  <c r="FM12" i="4"/>
  <c r="FL12" i="4"/>
  <c r="FI12" i="4"/>
  <c r="M13" i="15" s="1"/>
  <c r="AJ20" i="3"/>
  <c r="FD20" i="3" s="1"/>
  <c r="EZ20" i="3"/>
  <c r="FK20" i="3" s="1"/>
  <c r="FI8" i="1"/>
  <c r="FM8" i="1"/>
  <c r="FO16" i="3"/>
  <c r="FE18" i="3"/>
  <c r="FH18" i="3" s="1"/>
  <c r="FM23" i="3"/>
  <c r="FL23" i="3"/>
  <c r="FI23" i="3"/>
  <c r="FI10" i="4"/>
  <c r="M11" i="15" s="1"/>
  <c r="FM10" i="4"/>
  <c r="FL10" i="4"/>
  <c r="FL5" i="4"/>
  <c r="FI5" i="4"/>
  <c r="M6" i="15" s="1"/>
  <c r="FM5" i="4"/>
  <c r="FL9" i="2"/>
  <c r="FN21" i="4"/>
  <c r="AW18" i="3"/>
  <c r="FM11" i="4"/>
  <c r="FL11" i="4"/>
  <c r="FI11" i="4"/>
  <c r="M12" i="15" s="1"/>
  <c r="EX11" i="3"/>
  <c r="EZ11" i="3"/>
  <c r="FK11" i="3" s="1"/>
  <c r="FB11" i="3"/>
  <c r="FL10" i="2"/>
  <c r="FO13" i="3"/>
  <c r="FG10" i="4"/>
  <c r="FF10" i="4"/>
  <c r="FN10" i="4"/>
  <c r="AJ6" i="3"/>
  <c r="AW6" i="3" s="1"/>
  <c r="FB19" i="3"/>
  <c r="AW7" i="4"/>
  <c r="FD9" i="3"/>
  <c r="EZ9" i="3"/>
  <c r="FK9" i="3" s="1"/>
  <c r="FI19" i="2"/>
  <c r="FM19" i="2"/>
  <c r="FL19" i="2"/>
  <c r="FE8" i="4"/>
  <c r="FH8" i="4" s="1"/>
  <c r="FB8" i="4"/>
  <c r="EX8" i="4"/>
  <c r="FA8" i="4"/>
  <c r="FD8" i="4"/>
  <c r="FG18" i="2"/>
  <c r="FF18" i="2"/>
  <c r="FN18" i="2"/>
  <c r="FL8" i="1"/>
  <c r="FI12" i="2"/>
  <c r="FL12" i="2"/>
  <c r="FM12" i="2"/>
  <c r="FG8" i="2"/>
  <c r="FF8" i="2"/>
  <c r="FN8" i="2"/>
  <c r="FD22" i="3"/>
  <c r="EZ22" i="3"/>
  <c r="FK22" i="3" s="1"/>
  <c r="FO15" i="1"/>
  <c r="FG4" i="4"/>
  <c r="FF4" i="4"/>
  <c r="FO4" i="4" s="1"/>
  <c r="FN8" i="1"/>
  <c r="FM9" i="2"/>
  <c r="FL13" i="2"/>
  <c r="FO21" i="4"/>
  <c r="FG7" i="2"/>
  <c r="FF7" i="2"/>
  <c r="FN7" i="2"/>
  <c r="FE14" i="4"/>
  <c r="FH14" i="4" s="1"/>
  <c r="FB14" i="4"/>
  <c r="FA14" i="4"/>
  <c r="EX14" i="4"/>
  <c r="FD14" i="4"/>
  <c r="AJ21" i="3"/>
  <c r="EY21" i="3" s="1"/>
  <c r="EZ21" i="3"/>
  <c r="FK21" i="3" s="1"/>
  <c r="FG17" i="2"/>
  <c r="FF17" i="2"/>
  <c r="FO17" i="2" s="1"/>
  <c r="FL5" i="3"/>
  <c r="FG19" i="2"/>
  <c r="FF19" i="2"/>
  <c r="FO19" i="2" s="1"/>
  <c r="FN19" i="2"/>
  <c r="FG9" i="2"/>
  <c r="FF9" i="2"/>
  <c r="FN9" i="2"/>
  <c r="FI14" i="1"/>
  <c r="FM14" i="1"/>
  <c r="FL14" i="1"/>
  <c r="FN14" i="1"/>
  <c r="FO17" i="1"/>
  <c r="FL6" i="2"/>
  <c r="FN13" i="2"/>
  <c r="AV18" i="3"/>
  <c r="AW14" i="3"/>
  <c r="AX36" i="3"/>
  <c r="AW12" i="3"/>
  <c r="AJ17" i="3"/>
  <c r="FD17" i="3" s="1"/>
  <c r="AV21" i="3"/>
  <c r="AY36" i="2"/>
  <c r="AW34" i="1"/>
  <c r="C20" i="7" s="1"/>
  <c r="AZ39" i="4"/>
  <c r="AY37" i="2"/>
  <c r="AZ38" i="4"/>
  <c r="AY38" i="2"/>
  <c r="AY39" i="2"/>
  <c r="FF11" i="4" l="1"/>
  <c r="FG11" i="4"/>
  <c r="FA14" i="3"/>
  <c r="FM14" i="3" s="1"/>
  <c r="FO5" i="4"/>
  <c r="FG3" i="4"/>
  <c r="FF3" i="4"/>
  <c r="FO3" i="4" s="1"/>
  <c r="FN11" i="4"/>
  <c r="FO5" i="2"/>
  <c r="FC12" i="3"/>
  <c r="FA9" i="3"/>
  <c r="FN9" i="3" s="1"/>
  <c r="EY12" i="3"/>
  <c r="FJ12" i="3" s="1"/>
  <c r="FE9" i="3"/>
  <c r="FH9" i="3" s="1"/>
  <c r="FD12" i="3"/>
  <c r="AW9" i="3"/>
  <c r="AX37" i="3" s="1"/>
  <c r="EY9" i="3"/>
  <c r="FJ9" i="3" s="1"/>
  <c r="FL22" i="3"/>
  <c r="AW21" i="3"/>
  <c r="FO20" i="2"/>
  <c r="FO7" i="2"/>
  <c r="FO8" i="2"/>
  <c r="FO15" i="3"/>
  <c r="FC18" i="3"/>
  <c r="FM18" i="3" s="1"/>
  <c r="AX38" i="3"/>
  <c r="FD19" i="3"/>
  <c r="FG19" i="3" s="1"/>
  <c r="FO9" i="2"/>
  <c r="FO18" i="2"/>
  <c r="FO14" i="2"/>
  <c r="FO12" i="4"/>
  <c r="FO12" i="2"/>
  <c r="AW20" i="3"/>
  <c r="FO10" i="4"/>
  <c r="FO4" i="2"/>
  <c r="AZ37" i="4"/>
  <c r="AZ35" i="4" s="1"/>
  <c r="C23" i="7" s="1"/>
  <c r="FJ21" i="3"/>
  <c r="FC19" i="3"/>
  <c r="EY19" i="3"/>
  <c r="FE19" i="3"/>
  <c r="FH19" i="3" s="1"/>
  <c r="FA19" i="3"/>
  <c r="FM17" i="4"/>
  <c r="FI17" i="4"/>
  <c r="M18" i="15" s="1"/>
  <c r="FL17" i="4"/>
  <c r="FG22" i="4"/>
  <c r="FF22" i="4"/>
  <c r="FN22" i="4"/>
  <c r="FM22" i="4"/>
  <c r="FL22" i="4"/>
  <c r="FI22" i="4"/>
  <c r="M23" i="15" s="1"/>
  <c r="FG23" i="4"/>
  <c r="FF23" i="4"/>
  <c r="FN23" i="4"/>
  <c r="FG13" i="4"/>
  <c r="FF13" i="4"/>
  <c r="FN13" i="4"/>
  <c r="FM22" i="3"/>
  <c r="FM13" i="4"/>
  <c r="FI13" i="4"/>
  <c r="M14" i="15" s="1"/>
  <c r="FL13" i="4"/>
  <c r="FG19" i="4"/>
  <c r="FF19" i="4"/>
  <c r="FO11" i="3"/>
  <c r="FM23" i="4"/>
  <c r="FL23" i="4"/>
  <c r="FI23" i="4"/>
  <c r="M24" i="15" s="1"/>
  <c r="FL7" i="4"/>
  <c r="FI7" i="4"/>
  <c r="M8" i="15" s="1"/>
  <c r="FM7" i="4"/>
  <c r="FN18" i="4"/>
  <c r="FG18" i="4"/>
  <c r="FF18" i="4"/>
  <c r="FL18" i="3"/>
  <c r="FN19" i="4"/>
  <c r="FG12" i="3"/>
  <c r="FF12" i="3"/>
  <c r="FN12" i="3"/>
  <c r="FM15" i="4"/>
  <c r="FL15" i="4"/>
  <c r="FI15" i="4"/>
  <c r="M16" i="15" s="1"/>
  <c r="FG17" i="3"/>
  <c r="FF17" i="3"/>
  <c r="FD21" i="3"/>
  <c r="FG20" i="3"/>
  <c r="FF20" i="3"/>
  <c r="FG7" i="4"/>
  <c r="FF7" i="4"/>
  <c r="FN7" i="4"/>
  <c r="FL18" i="4"/>
  <c r="FM18" i="4"/>
  <c r="FI18" i="4"/>
  <c r="M19" i="15" s="1"/>
  <c r="FG14" i="3"/>
  <c r="FF14" i="3"/>
  <c r="FI16" i="4"/>
  <c r="M17" i="15" s="1"/>
  <c r="FM16" i="4"/>
  <c r="FL16" i="4"/>
  <c r="EY6" i="3"/>
  <c r="FC6" i="3"/>
  <c r="FA6" i="3"/>
  <c r="FE6" i="3"/>
  <c r="FH6" i="3" s="1"/>
  <c r="AW17" i="3"/>
  <c r="EY17" i="3"/>
  <c r="FA17" i="3"/>
  <c r="FE17" i="3"/>
  <c r="FH17" i="3" s="1"/>
  <c r="FL8" i="4"/>
  <c r="FM8" i="4"/>
  <c r="FI8" i="4"/>
  <c r="M9" i="15" s="1"/>
  <c r="FC17" i="3"/>
  <c r="FG6" i="4"/>
  <c r="FF6" i="4"/>
  <c r="FG14" i="4"/>
  <c r="FF14" i="4"/>
  <c r="FN14" i="4"/>
  <c r="FM11" i="3"/>
  <c r="FL11" i="3"/>
  <c r="FI11" i="3"/>
  <c r="FN11" i="3"/>
  <c r="FC20" i="3"/>
  <c r="EY20" i="3"/>
  <c r="FE20" i="3"/>
  <c r="FH20" i="3" s="1"/>
  <c r="FA20" i="3"/>
  <c r="FM20" i="4"/>
  <c r="FI20" i="4"/>
  <c r="M21" i="15" s="1"/>
  <c r="FL20" i="4"/>
  <c r="FO15" i="2"/>
  <c r="FG17" i="4"/>
  <c r="FF17" i="4"/>
  <c r="FN17" i="4"/>
  <c r="EY7" i="3"/>
  <c r="FE7" i="3"/>
  <c r="FH7" i="3" s="1"/>
  <c r="FA7" i="3"/>
  <c r="FC7" i="3"/>
  <c r="FL14" i="3"/>
  <c r="FG8" i="4"/>
  <c r="FF8" i="4"/>
  <c r="FN8" i="4"/>
  <c r="FN15" i="3"/>
  <c r="FI15" i="3"/>
  <c r="FM15" i="3"/>
  <c r="FL15" i="3"/>
  <c r="FG22" i="3"/>
  <c r="FF22" i="3"/>
  <c r="FN22" i="3"/>
  <c r="FN14" i="3"/>
  <c r="FC21" i="3"/>
  <c r="FA21" i="3"/>
  <c r="FE21" i="3"/>
  <c r="FH21" i="3" s="1"/>
  <c r="FI19" i="4"/>
  <c r="M20" i="15" s="1"/>
  <c r="FM19" i="4"/>
  <c r="FL19" i="4"/>
  <c r="FG18" i="3"/>
  <c r="FF18" i="3"/>
  <c r="FN18" i="3"/>
  <c r="FG20" i="4"/>
  <c r="FF20" i="4"/>
  <c r="FN20" i="4"/>
  <c r="FI14" i="4"/>
  <c r="M15" i="15" s="1"/>
  <c r="FL14" i="4"/>
  <c r="FM14" i="4"/>
  <c r="FG9" i="3"/>
  <c r="FF9" i="3"/>
  <c r="FG16" i="4"/>
  <c r="FF16" i="4"/>
  <c r="FN16" i="4"/>
  <c r="FG15" i="4"/>
  <c r="FF15" i="4"/>
  <c r="FN15" i="4"/>
  <c r="FN6" i="4"/>
  <c r="FM6" i="4"/>
  <c r="FL6" i="4"/>
  <c r="FI6" i="4"/>
  <c r="M7" i="15" s="1"/>
  <c r="FD7" i="3"/>
  <c r="FD6" i="3"/>
  <c r="FM12" i="3"/>
  <c r="AY35" i="2"/>
  <c r="C21" i="7" s="1"/>
  <c r="FO16" i="4" l="1"/>
  <c r="FL9" i="3"/>
  <c r="FM21" i="3"/>
  <c r="FO11" i="4"/>
  <c r="FL12" i="3"/>
  <c r="FO17" i="4"/>
  <c r="FM9" i="3"/>
  <c r="FO22" i="3"/>
  <c r="FO9" i="3"/>
  <c r="FO6" i="4"/>
  <c r="FO19" i="4"/>
  <c r="FO13" i="4"/>
  <c r="FF19" i="3"/>
  <c r="FO19" i="3" s="1"/>
  <c r="FO18" i="4"/>
  <c r="AX34" i="3"/>
  <c r="C22" i="7" s="1"/>
  <c r="C24" i="7" s="1"/>
  <c r="B25" i="7" s="1"/>
  <c r="FO18" i="3"/>
  <c r="FO8" i="4"/>
  <c r="FO7" i="4"/>
  <c r="FO23" i="4"/>
  <c r="FO20" i="3"/>
  <c r="FO15" i="4"/>
  <c r="FO20" i="4"/>
  <c r="FO22" i="4"/>
  <c r="FJ6" i="3"/>
  <c r="FM6" i="3"/>
  <c r="FL6" i="3"/>
  <c r="FJ20" i="3"/>
  <c r="FM20" i="3"/>
  <c r="FN20" i="3"/>
  <c r="FL20" i="3"/>
  <c r="FF21" i="3"/>
  <c r="FG21" i="3"/>
  <c r="FN21" i="3"/>
  <c r="FO17" i="3"/>
  <c r="FN7" i="3"/>
  <c r="FJ7" i="3"/>
  <c r="FM7" i="3"/>
  <c r="FL7" i="3"/>
  <c r="FO14" i="3"/>
  <c r="FJ19" i="3"/>
  <c r="FL19" i="3"/>
  <c r="FM19" i="3"/>
  <c r="FL21" i="3"/>
  <c r="FJ17" i="3"/>
  <c r="FM17" i="3"/>
  <c r="FL17" i="3"/>
  <c r="FG6" i="3"/>
  <c r="FF6" i="3"/>
  <c r="FN6" i="3"/>
  <c r="FG7" i="3"/>
  <c r="FF7" i="3"/>
  <c r="FO14" i="4"/>
  <c r="FO12" i="3"/>
  <c r="FN19" i="3"/>
  <c r="FN17" i="3"/>
  <c r="FO7" i="3" l="1"/>
  <c r="FO21" i="3"/>
  <c r="FO6" i="3"/>
</calcChain>
</file>

<file path=xl/sharedStrings.xml><?xml version="1.0" encoding="utf-8"?>
<sst xmlns="http://schemas.openxmlformats.org/spreadsheetml/2006/main" count="2505" uniqueCount="330">
  <si>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</si>
  <si>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</si>
  <si>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</si>
  <si>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</si>
  <si>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</si>
  <si>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</si>
  <si>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</si>
  <si>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</si>
  <si>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</si>
  <si>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</si>
  <si>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</si>
  <si>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</si>
  <si>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</si>
  <si>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</si>
  <si>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</si>
  <si>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</si>
  <si>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</si>
  <si>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</si>
  <si>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</si>
  <si>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</si>
  <si>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</si>
  <si>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</si>
  <si>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</si>
  <si>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</si>
  <si>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</si>
  <si>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</si>
  <si>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</si>
  <si>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</si>
  <si>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</si>
  <si>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</si>
  <si>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</si>
  <si>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</si>
  <si>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</si>
  <si>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</si>
  <si>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</si>
  <si>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</si>
  <si>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</si>
  <si>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</si>
  <si>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</si>
  <si>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</si>
  <si>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</si>
  <si>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</si>
  <si>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</si>
  <si>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</si>
  <si>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</si>
  <si>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</si>
  <si>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</si>
  <si>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</si>
  <si>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</si>
  <si>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</si>
  <si>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</si>
  <si>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</si>
  <si>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</si>
  <si>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</si>
  <si>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</si>
  <si>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</si>
  <si>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</si>
  <si>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</si>
  <si>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</si>
  <si>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</si>
  <si>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</si>
  <si>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</si>
  <si>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</si>
  <si>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</si>
  <si>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</si>
  <si>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</si>
  <si>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</si>
  <si>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</si>
  <si>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</si>
  <si>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</si>
  <si>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</si>
  <si>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</si>
  <si>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</si>
  <si>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</si>
  <si>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</si>
  <si>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</si>
  <si>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</si>
  <si>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</si>
  <si>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</si>
  <si>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</si>
  <si>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</si>
  <si>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</si>
  <si>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</si>
  <si>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</si>
  <si>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</si>
  <si>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</si>
  <si>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</si>
  <si>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</si>
  <si>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</si>
  <si>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</si>
  <si>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</si>
  <si>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</si>
  <si>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</si>
  <si>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</si>
  <si>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</si>
  <si>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</si>
  <si>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</si>
  <si>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</si>
  <si>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</si>
  <si>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</si>
  <si>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</si>
  <si>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</si>
  <si>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</si>
  <si>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</si>
  <si>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</si>
  <si>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</si>
  <si>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</si>
  <si>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</si>
  <si>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</si>
  <si>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</si>
  <si>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</si>
  <si>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</si>
  <si>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</si>
  <si>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</si>
  <si>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</si>
  <si>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</si>
  <si>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</si>
  <si>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</si>
  <si>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</si>
  <si>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</si>
  <si>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</si>
  <si>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</si>
  <si>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</si>
  <si>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</si>
  <si>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</si>
  <si>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</si>
  <si>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</si>
  <si>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</si>
  <si>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</si>
  <si>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</si>
  <si>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</si>
  <si>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</si>
  <si>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</si>
  <si>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</si>
  <si>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</si>
  <si>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</si>
  <si>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</si>
  <si>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</si>
  <si>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</si>
  <si>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</si>
  <si>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</si>
  <si>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</si>
  <si>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</si>
  <si>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</si>
  <si>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</si>
  <si>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</si>
  <si>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</si>
  <si>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</si>
  <si>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</si>
  <si>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</si>
  <si>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</si>
  <si>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</si>
  <si>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</si>
  <si>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</si>
  <si>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</si>
  <si>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</si>
  <si>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</si>
  <si>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</si>
  <si>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</si>
  <si>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</si>
  <si>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</si>
  <si>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</si>
  <si>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</si>
  <si>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</si>
  <si>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</si>
  <si>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</si>
  <si>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</si>
  <si>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</si>
  <si>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</si>
  <si>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</si>
  <si>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</si>
  <si>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</si>
  <si>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</si>
  <si>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</si>
  <si>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</si>
  <si>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</si>
  <si>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</si>
  <si>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</si>
  <si>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</si>
  <si>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</si>
  <si>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</si>
  <si>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</si>
  <si>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</si>
  <si>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</si>
  <si>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</si>
  <si>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</si>
  <si>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</si>
  <si>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</si>
  <si>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</si>
  <si>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</si>
  <si>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</si>
  <si>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</si>
  <si>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</si>
  <si>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</si>
  <si>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</si>
  <si>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</si>
  <si>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</si>
  <si>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</si>
  <si>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</si>
  <si>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</si>
  <si>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</si>
  <si>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</si>
  <si>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</si>
  <si>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</si>
  <si>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</si>
  <si>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</si>
  <si>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</si>
  <si>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</si>
  <si>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</si>
  <si>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</si>
  <si>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</si>
  <si>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</si>
  <si>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</si>
  <si>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</si>
  <si>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</si>
  <si>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</si>
  <si>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</si>
  <si>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</si>
  <si>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</si>
  <si>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</si>
  <si>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</si>
  <si>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</si>
  <si>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</si>
  <si>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</si>
  <si>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</si>
  <si>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</si>
  <si>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</si>
  <si>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</si>
  <si>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</si>
  <si>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</si>
  <si>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</si>
  <si>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</si>
  <si>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</si>
  <si>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</si>
  <si>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</si>
  <si>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</si>
  <si>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</si>
  <si>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</si>
  <si>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</si>
  <si>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</si>
  <si>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</si>
  <si>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</si>
  <si>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</si>
  <si>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</si>
  <si>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</si>
  <si>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</si>
  <si>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</si>
  <si>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</si>
  <si>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</si>
  <si>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</si>
  <si>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</si>
  <si>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</si>
  <si>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</si>
  <si>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</si>
  <si>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</si>
  <si>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</si>
  <si>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</si>
  <si>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</si>
  <si>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</si>
  <si>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</si>
  <si>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</si>
  <si>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</si>
  <si>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</si>
  <si>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</si>
  <si>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</si>
  <si>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</si>
  <si>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</si>
  <si>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</si>
  <si>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</si>
  <si>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</si>
  <si>
    <t>CK FIT COVARIANCE (SolverAid) - valid at current optimum</t>
  </si>
  <si>
    <t>param</t>
  </si>
  <si>
    <t>value</t>
  </si>
  <si>
    <t>SE(1sigma)</t>
  </si>
  <si>
    <t>C11_0</t>
  </si>
  <si>
    <t>C12_0</t>
  </si>
  <si>
    <t>C44_0</t>
  </si>
  <si>
    <t>s^2</t>
  </si>
  <si>
    <t>RMS res</t>
  </si>
  <si>
    <t>dof</t>
  </si>
  <si>
    <t>N_res</t>
  </si>
  <si>
    <t>sigma(K0)</t>
  </si>
  <si>
    <t>sigma(GV0)</t>
  </si>
  <si>
    <t>sigma(GR0)</t>
  </si>
  <si>
    <t>sigma(GH0)</t>
  </si>
  <si>
    <t>Cov(theta) 6x6:</t>
  </si>
  <si>
    <t>NOTE: SEs valid at current converged params; recompute after any re-fit.</t>
  </si>
  <si>
    <t>FS FIT COVARIANCE (SolverAid) - valid at current optimum</t>
  </si>
  <si>
    <t>UNCERTAINTY ROLLUP  (1-sigma, GPa)</t>
  </si>
  <si>
    <t>sig_fit</t>
  </si>
  <si>
    <t>sig_scatter</t>
  </si>
  <si>
    <t>sig_total(+/-)</t>
  </si>
  <si>
    <t>K0 per combo</t>
  </si>
  <si>
    <t>GV0 per combo</t>
  </si>
  <si>
    <t>GR0 per combo</t>
  </si>
  <si>
    <t>GH0 per combo</t>
  </si>
  <si>
    <t>K0</t>
  </si>
  <si>
    <t>GV0</t>
  </si>
  <si>
    <t>GR0</t>
  </si>
  <si>
    <t>GH0</t>
  </si>
  <si>
    <t>NOTE: sig_fit=sqrt(sum SE^2)/8 (8 combos: 4 FS+4 CK); sig_scatter=STDEV/sqrt(8); value=all-combo mean. FS&amp;CK on a sheet share data (correlated) so scatter is the robust term. Re-run _solveraid.ps1 after any re-fit. Helper table to the right.</t>
  </si>
  <si>
    <t>COMBINED FINAL (1-sigma, GPa)  &lt;- from Summary &amp; GLOBAL Summary rollups</t>
  </si>
  <si>
    <t>Reg value</t>
  </si>
  <si>
    <t>Reg +/-</t>
  </si>
  <si>
    <t>Global value</t>
  </si>
  <si>
    <t>Global +/-</t>
  </si>
  <si>
    <t>NOTE: Reg = mean of 8 per-pressure combo fits (4 FS+4 CK); Global = mean of 8 global fits. +/- combines fit SE and between-combo scatter. See Summary!U3 and 'GLOBAL Summary'!S2.</t>
  </si>
  <si>
    <t>PLOT DATA  (per-point values + 1-sigma error bars)   source combo: No Vp 100</t>
  </si>
  <si>
    <t>Length (mm)</t>
  </si>
  <si>
    <t>sig Length</t>
  </si>
  <si>
    <t>Vp100 (km/s)</t>
  </si>
  <si>
    <t>sig Vp100</t>
  </si>
  <si>
    <t>Vs100 (km/s)</t>
  </si>
  <si>
    <t>sig Vs100</t>
  </si>
  <si>
    <t>Vp111 (km/s)</t>
  </si>
  <si>
    <t>sig Vp111</t>
  </si>
  <si>
    <t>Vs111 (km/s)</t>
  </si>
  <si>
    <t>sig Vs111</t>
  </si>
  <si>
    <t>C11 (GPa)</t>
  </si>
  <si>
    <t>sig C11</t>
  </si>
  <si>
    <t>C44 (GPa)</t>
  </si>
  <si>
    <t>sig C44</t>
  </si>
  <si>
    <t>C12 (GPa)</t>
  </si>
  <si>
    <t>sig C12</t>
  </si>
  <si>
    <t>Notes:</t>
  </si>
  <si>
    <t>Pressure=col A (gold gauge). Length &amp; sig from Cook integration (M, Q).</t>
  </si>
  <si>
    <t>Velocities V=2*0.712/t; sigV=V*sqrt((sigL/L)^2+(sigt/t)^2), sigt=0.0002 us. Vs100/Vp111/Vs111 sig taken from source cols Z/AA/AB; Vp100 sig computed here (its source col Y is a pre-existing #REF!).</t>
  </si>
  <si>
    <t>C11/C44/C12 experimental points from 'No Vp 100' cols AL/AJ/AK; per-point 1-sigma from analytic correlation-aware block (cols FI/FK/FJ).</t>
  </si>
  <si>
    <t>For an XY chart: use the value column as Y and the adjacent 'sig' column as the custom +/- error bar amount.</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</si>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</sst>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20"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
      <b/>
      <sz val="11"/>
      <color theme="1"/>
      <name val="Aptos Narrow"/>
      <family val="2"/>
      <scheme val="minor"/>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2">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9" fillId="0" borderId="0" xfId="0" applyFont="1"/>
    <xf numFmtId="0" fontId="1" fillId="4" borderId="0" xfId="0" applyFont="1" applyFill="1" applyAlignment="1">
      <alignment horizontal="center"/>
    </xf>
    <xf numFmtId="0" fontId="1" fillId="3" borderId="0" xfId="0" applyFont="1" applyFill="1" applyAlignment="1">
      <alignment horizontal="center"/>
    </xf>
    <xf numFmtId="0" fontId="1" fillId="10" borderId="0" xfId="0" applyFont="1" applyFill="1" applyAlignment="1">
      <alignment horizontal="center"/>
    </xf>
    <xf numFmtId="0" fontId="16" fillId="8"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7" fillId="1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zoomScale="92" zoomScaleNormal="100" workbookViewId="0">
      <pane xSplit="1" topLeftCell="AY1" activePane="topRight" state="frozen"/>
      <selection activeCell="BA26" sqref="BA26:BA28"/>
      <selection pane="topRight" activeCell="BE33" sqref="BE33"/>
    </sheetView>
  </sheetViews>
  <sheetFormatPr defaultColWidth="9.109375" defaultRowHeight="15" x14ac:dyDescent="0.25"/>
  <cols>
    <col min="1" max="1" width="12.6640625" style="1" customWidth="1"/>
    <col min="2" max="2" width="16.6640625" style="1" bestFit="1" customWidth="1"/>
    <col min="3" max="4" width="33.88671875" style="1" bestFit="1" customWidth="1"/>
    <col min="5" max="5" width="16.44140625" style="1" bestFit="1" customWidth="1"/>
    <col min="6" max="6" width="17" style="1" bestFit="1" customWidth="1"/>
    <col min="7" max="7" width="23.5546875" style="1" customWidth="1"/>
    <col min="8" max="8" width="22.109375" style="1" bestFit="1" customWidth="1"/>
    <col min="9" max="9" width="19.109375" style="1" bestFit="1" customWidth="1"/>
    <col min="10" max="10" width="25.44140625" style="1" bestFit="1" customWidth="1"/>
    <col min="11" max="11" width="11.88671875" style="1" bestFit="1" customWidth="1"/>
    <col min="12" max="12" width="14.44140625" style="1" bestFit="1" customWidth="1"/>
    <col min="13" max="13" width="17.109375" style="1" bestFit="1" customWidth="1"/>
    <col min="14" max="14" width="15.5546875" style="1" hidden="1" customWidth="1"/>
    <col min="15" max="15" width="12.109375" style="1" hidden="1" customWidth="1"/>
    <col min="16" max="16" width="14.33203125" style="1" hidden="1" customWidth="1"/>
    <col min="17" max="21" width="15.5546875" style="1" hidden="1" customWidth="1"/>
    <col min="22" max="22" width="9.33203125" style="1" bestFit="1" customWidth="1"/>
    <col min="23" max="23" width="9.33203125" style="1" hidden="1" customWidth="1"/>
    <col min="24" max="24" width="10.5546875" style="1" hidden="1" customWidth="1"/>
    <col min="25" max="28" width="12.44140625" style="1" hidden="1" customWidth="1"/>
    <col min="29" max="31" width="9.33203125" style="1" bestFit="1" customWidth="1"/>
    <col min="32" max="32" width="11.88671875" style="1" hidden="1" customWidth="1"/>
    <col min="33" max="33" width="13.5546875" style="1" hidden="1" customWidth="1"/>
    <col min="34" max="34" width="15.109375" style="1" bestFit="1" customWidth="1"/>
    <col min="35" max="35" width="15" style="1" bestFit="1" customWidth="1"/>
    <col min="36" max="36" width="21.6640625" style="1" customWidth="1"/>
    <col min="37" max="37" width="17.33203125" style="1" customWidth="1"/>
    <col min="38" max="38" width="18.33203125" style="1" customWidth="1"/>
    <col min="39" max="39" width="9.109375" style="1"/>
    <col min="40" max="40" width="13.109375" style="1" bestFit="1" customWidth="1"/>
    <col min="41" max="41" width="23.109375" style="1" bestFit="1" customWidth="1"/>
    <col min="42" max="42" width="21.88671875" style="1" bestFit="1" customWidth="1"/>
    <col min="43" max="43" width="19.109375" style="1" bestFit="1" customWidth="1"/>
    <col min="44" max="44" width="14" style="1" bestFit="1" customWidth="1"/>
    <col min="45" max="45" width="13.109375" style="1" bestFit="1" customWidth="1"/>
    <col min="46" max="46" width="15.5546875" style="1" customWidth="1"/>
    <col min="47" max="47" width="12.109375" style="1" customWidth="1"/>
    <col min="48" max="48" width="11.88671875" style="1" customWidth="1"/>
    <col min="49" max="49" width="12.5546875" style="1" customWidth="1"/>
    <col min="50" max="50" width="16.33203125" style="1" bestFit="1" customWidth="1"/>
    <col min="51" max="55" width="16.33203125" style="1" customWidth="1"/>
    <col min="56" max="56" width="23.109375" style="1" bestFit="1" customWidth="1"/>
    <col min="57" max="57" width="21.88671875" style="1" bestFit="1" customWidth="1"/>
    <col min="58" max="58" width="19.44140625" style="1" bestFit="1" customWidth="1"/>
    <col min="59" max="59" width="16.33203125" style="1" customWidth="1"/>
    <col min="60" max="60" width="11.109375" style="1" bestFit="1" customWidth="1"/>
    <col min="61" max="61" width="10.88671875" style="1" bestFit="1" customWidth="1"/>
    <col min="62" max="62" width="13.88671875" style="1" bestFit="1" customWidth="1"/>
    <col min="63" max="63" width="10.88671875" style="1" bestFit="1" customWidth="1"/>
    <col min="64" max="64" width="9.33203125" style="1" bestFit="1" customWidth="1"/>
    <col min="65" max="65" width="11.109375" style="1" bestFit="1" customWidth="1"/>
    <col min="66" max="66" width="11.109375" style="1" customWidth="1"/>
    <col min="67" max="68" width="9.33203125" style="1" bestFit="1" customWidth="1"/>
    <col min="69" max="69" width="9.33203125" style="1" customWidth="1"/>
    <col min="70" max="70" width="15.109375" style="1" bestFit="1" customWidth="1"/>
    <col min="71" max="71" width="15" style="1" bestFit="1" customWidth="1"/>
    <col min="72" max="72" width="15" style="1" customWidth="1"/>
    <col min="73" max="73" width="16.44140625" style="1" bestFit="1" customWidth="1"/>
    <col min="74" max="74" width="11.5546875" style="1" bestFit="1" customWidth="1"/>
    <col min="75" max="78" width="9.33203125" style="1" bestFit="1" customWidth="1"/>
    <col min="79" max="79" width="9.109375" style="1" bestFit="1" customWidth="1"/>
    <col min="80" max="80" width="9.33203125" style="1" bestFit="1" customWidth="1"/>
    <col min="81" max="81" width="12.109375" style="1" bestFit="1" customWidth="1"/>
    <col min="82" max="82" width="12.33203125" style="1" bestFit="1" customWidth="1"/>
    <col min="83" max="83" width="20.6640625" style="1" bestFit="1" customWidth="1"/>
    <col min="84" max="84" width="11.44140625" style="1" bestFit="1" customWidth="1"/>
    <col min="85" max="85" width="11.5546875" style="1" bestFit="1" customWidth="1"/>
    <col min="86" max="86" width="11.44140625" style="1" bestFit="1" customWidth="1"/>
    <col min="87" max="87" width="11.44140625" style="1" customWidth="1"/>
    <col min="88" max="88" width="10.109375" style="1" customWidth="1"/>
    <col min="89" max="89" width="13.88671875" style="1" bestFit="1" customWidth="1"/>
    <col min="90" max="91" width="9.109375" style="1"/>
    <col min="92" max="92" width="12.44140625" style="1" bestFit="1" customWidth="1"/>
    <col min="93" max="94" width="11.88671875" style="1" bestFit="1" customWidth="1"/>
    <col min="95" max="95" width="12.44140625" style="1" bestFit="1" customWidth="1"/>
    <col min="96" max="96" width="9.109375" style="1"/>
    <col min="97" max="97" width="15.44140625" style="1" bestFit="1" customWidth="1"/>
    <col min="98" max="98" width="16" style="1" bestFit="1" customWidth="1"/>
    <col min="99" max="99" width="12.6640625" style="1" bestFit="1" customWidth="1"/>
    <col min="100" max="100" width="12.6640625" style="1" customWidth="1"/>
    <col min="101" max="104" width="9.109375" style="1"/>
    <col min="105" max="105" width="16.6640625" style="1" bestFit="1" customWidth="1"/>
    <col min="106" max="16384" width="9.109375" style="1"/>
  </cols>
  <sheetData>
    <row r="1" spans="1:146" ht="15.6" x14ac:dyDescent="0.3">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5">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5">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5">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5">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5">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5">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5">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5">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5">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5">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5">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5">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5">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5">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5">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5">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5">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5">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5">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5">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5">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5">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5">
      <c r="BA24" s="6"/>
      <c r="BB24" s="2"/>
    </row>
    <row r="25" spans="1:119" x14ac:dyDescent="0.25">
      <c r="E25" s="1">
        <f>0.2/E5*100</f>
        <v>8.0109925013465677</v>
      </c>
      <c r="F25" s="1">
        <f>0.0002/F23*100</f>
        <v>0.10012730182367656</v>
      </c>
      <c r="M25" s="1">
        <f>0.001/0.704*100</f>
        <v>0.14204545454545456</v>
      </c>
      <c r="V25" s="1">
        <f>0.04/6.09*100</f>
        <v>0.65681444991789828</v>
      </c>
      <c r="BA25" s="6"/>
      <c r="BB25" s="2"/>
    </row>
    <row r="26" spans="1:119" x14ac:dyDescent="0.25">
      <c r="AG26" s="1" t="s">
        <v>65</v>
      </c>
      <c r="AY26" s="162" t="s">
        <v>201</v>
      </c>
      <c r="AZ26" s="162"/>
      <c r="BA26" s="6"/>
      <c r="BB26" s="2"/>
      <c r="BC26" s="163" t="s">
        <v>202</v>
      </c>
      <c r="BD26" s="163"/>
      <c r="BL26" s="75" t="s">
        <v>245</v>
      </c>
    </row>
    <row r="27" spans="1:119" ht="15.6" x14ac:dyDescent="0.3">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6" x14ac:dyDescent="0.3">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6" x14ac:dyDescent="0.3">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6" x14ac:dyDescent="0.3">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6" x14ac:dyDescent="0.3">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6" x14ac:dyDescent="0.3">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6" x14ac:dyDescent="0.3">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6" x14ac:dyDescent="0.3">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6" x14ac:dyDescent="0.3">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6" x14ac:dyDescent="0.3">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6" x14ac:dyDescent="0.3">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6" x14ac:dyDescent="0.3">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6" x14ac:dyDescent="0.3">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6" x14ac:dyDescent="0.3">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6" x14ac:dyDescent="0.3">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6" x14ac:dyDescent="0.3">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5">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5">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5">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5">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5">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5">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5">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5">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5">
      <c r="B51" s="1" t="s">
        <v>103</v>
      </c>
      <c r="J51" s="21"/>
      <c r="AU51" s="1" t="s">
        <v>62</v>
      </c>
      <c r="AV51" s="1">
        <v>246.36868691540607</v>
      </c>
      <c r="AW51" s="1" t="s">
        <v>63</v>
      </c>
      <c r="AX51" s="1">
        <v>5.434181546630243</v>
      </c>
    </row>
    <row r="52" spans="1:87" x14ac:dyDescent="0.25">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5">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5">
      <c r="D54" s="1" t="s">
        <v>91</v>
      </c>
      <c r="E54" s="1">
        <v>120</v>
      </c>
      <c r="F54" s="1">
        <v>5.9509029363680046</v>
      </c>
      <c r="G54" s="1">
        <v>0.20400265522410566</v>
      </c>
      <c r="H54" s="1">
        <v>1.9882247380219502E-3</v>
      </c>
      <c r="I54" s="1">
        <v>-1.2665075522852213E-2</v>
      </c>
      <c r="J54" s="1">
        <v>0.2020144304860837</v>
      </c>
    </row>
    <row r="55" spans="1:87" x14ac:dyDescent="0.25">
      <c r="D55" s="1" t="s">
        <v>94</v>
      </c>
      <c r="E55" s="1">
        <v>120</v>
      </c>
      <c r="F55" s="1">
        <v>2.9407578825736391</v>
      </c>
      <c r="G55" s="1">
        <v>0.41281875233385534</v>
      </c>
      <c r="H55" s="1">
        <v>-4.6133080851788809E-4</v>
      </c>
      <c r="I55" s="1">
        <v>-1.249999999999964E-2</v>
      </c>
      <c r="J55" s="1">
        <v>0.41328008314237324</v>
      </c>
    </row>
    <row r="56" spans="1:87" x14ac:dyDescent="0.25">
      <c r="D56" s="1" t="s">
        <v>71</v>
      </c>
      <c r="E56" s="1">
        <v>43</v>
      </c>
      <c r="F56" s="1">
        <v>2.6572081846587419</v>
      </c>
      <c r="G56" s="1">
        <v>0.53590080303884069</v>
      </c>
      <c r="H56" s="1">
        <v>-3.5202667063622783E-4</v>
      </c>
      <c r="I56" s="1">
        <v>-1.2499999999998837E-2</v>
      </c>
      <c r="J56" s="1">
        <v>0.53625282970947696</v>
      </c>
    </row>
    <row r="92" spans="13:21" x14ac:dyDescent="0.25">
      <c r="M92" s="1" t="s">
        <v>108</v>
      </c>
      <c r="N92" s="1" t="s">
        <v>109</v>
      </c>
      <c r="O92" s="1" t="s">
        <v>62</v>
      </c>
      <c r="P92" s="1" t="s">
        <v>71</v>
      </c>
      <c r="Q92" s="1" t="s">
        <v>66</v>
      </c>
      <c r="R92" s="1" t="s">
        <v>53</v>
      </c>
      <c r="S92" s="1" t="s">
        <v>54</v>
      </c>
      <c r="T92" s="1" t="s">
        <v>55</v>
      </c>
      <c r="U92" s="1" t="s">
        <v>36</v>
      </c>
    </row>
    <row r="93" spans="13:21" x14ac:dyDescent="0.25">
      <c r="M93" s="1">
        <v>0</v>
      </c>
      <c r="N93" s="1">
        <v>6.09</v>
      </c>
      <c r="O93" s="1">
        <v>231.75</v>
      </c>
      <c r="P93" s="1">
        <v>44.88</v>
      </c>
      <c r="Q93" s="1">
        <v>118.9</v>
      </c>
      <c r="R93" s="1">
        <v>49.827574502628075</v>
      </c>
      <c r="S93" s="1">
        <v>49.126282218174318</v>
      </c>
      <c r="T93" s="1">
        <v>49.476928360401196</v>
      </c>
      <c r="U93" s="1">
        <v>155.51436376176827</v>
      </c>
    </row>
    <row r="94" spans="13:21" x14ac:dyDescent="0.25">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5">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5">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5">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5">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5">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5">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5">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5">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5">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5">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5">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5">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5">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5">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5">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5">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5">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5">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tabSelected="1" workbookViewId="0">
      <selection activeCell="D13" sqref="D13"/>
    </sheetView>
  </sheetViews>
  <sheetFormatPr defaultColWidth="9.109375" defaultRowHeight="15" x14ac:dyDescent="0.25"/>
  <cols>
    <col min="1" max="1" width="9.109375" style="75"/>
    <col min="2" max="2" width="15" style="75" bestFit="1" customWidth="1"/>
    <col min="3" max="3" width="15.109375" style="75" bestFit="1" customWidth="1"/>
    <col min="4" max="4" width="15" style="75" bestFit="1" customWidth="1"/>
    <col min="5" max="5" width="15.109375" style="75" bestFit="1" customWidth="1"/>
    <col min="6" max="6" width="14.109375" style="75" bestFit="1" customWidth="1"/>
    <col min="7" max="7" width="18.6640625" style="75" bestFit="1" customWidth="1"/>
    <col min="8" max="8" width="11.44140625" style="75" bestFit="1" customWidth="1"/>
    <col min="9" max="9" width="11.44140625" style="75" customWidth="1"/>
    <col min="10" max="10" width="15.33203125" style="75" bestFit="1" customWidth="1"/>
    <col min="11" max="11" width="15.44140625" style="75" bestFit="1" customWidth="1"/>
    <col min="12" max="12" width="15.33203125" style="75" bestFit="1" customWidth="1"/>
    <col min="13" max="13" width="15.44140625" style="75" bestFit="1" customWidth="1"/>
    <col min="14" max="14" width="14.44140625" style="75" bestFit="1" customWidth="1"/>
    <col min="15" max="15" width="16.33203125" style="75" bestFit="1" customWidth="1"/>
    <col min="16" max="16" width="15.6640625" style="75" bestFit="1" customWidth="1"/>
    <col min="17" max="17" width="14.5546875" style="75" bestFit="1" customWidth="1"/>
    <col min="18" max="18" width="11.33203125" style="75" bestFit="1" customWidth="1"/>
    <col min="19" max="19" width="11.44140625" style="75" bestFit="1" customWidth="1"/>
    <col min="20" max="20" width="11.33203125" style="75" bestFit="1" customWidth="1"/>
    <col min="21" max="21" width="11.44140625" style="75" bestFit="1" customWidth="1"/>
    <col min="22" max="22" width="7.6640625" style="75" bestFit="1" customWidth="1"/>
    <col min="23" max="23" width="15.44140625" style="75" bestFit="1" customWidth="1"/>
    <col min="24" max="28" width="9.109375" style="75"/>
    <col min="29" max="29" width="15.5546875" style="75" bestFit="1" customWidth="1"/>
    <col min="30" max="16384" width="9.109375" style="75"/>
  </cols>
  <sheetData>
    <row r="1" spans="1:30" ht="21" x14ac:dyDescent="0.4">
      <c r="A1" s="166" t="s">
        <v>227</v>
      </c>
      <c r="B1" s="166"/>
      <c r="C1" s="166"/>
      <c r="D1" s="166"/>
      <c r="E1" s="166"/>
      <c r="F1" s="166"/>
      <c r="G1" s="166"/>
      <c r="H1" s="166"/>
      <c r="I1" s="166"/>
      <c r="J1" s="166"/>
      <c r="K1" s="166"/>
      <c r="L1" s="166"/>
      <c r="M1" s="166"/>
      <c r="N1" s="166"/>
      <c r="O1" s="166"/>
      <c r="P1" s="166"/>
      <c r="Q1" s="166"/>
      <c r="R1" s="166"/>
      <c r="S1" s="166"/>
      <c r="T1" s="166"/>
      <c r="U1" s="166"/>
      <c r="V1" s="166"/>
      <c r="W1" s="35"/>
    </row>
    <row r="2" spans="1:30" ht="15.6" x14ac:dyDescent="0.3">
      <c r="A2" s="142"/>
      <c r="B2" s="165" t="s">
        <v>223</v>
      </c>
      <c r="C2" s="165"/>
      <c r="D2" s="165"/>
      <c r="E2" s="165"/>
      <c r="F2" s="165"/>
      <c r="G2" s="142"/>
      <c r="H2" s="142"/>
      <c r="I2" s="142"/>
      <c r="J2" s="165" t="s">
        <v>224</v>
      </c>
      <c r="K2" s="165"/>
      <c r="L2" s="165"/>
      <c r="M2" s="165"/>
      <c r="N2" s="165"/>
      <c r="O2" s="142"/>
      <c r="P2" s="132"/>
      <c r="Q2" s="132"/>
      <c r="R2" s="165" t="s">
        <v>228</v>
      </c>
      <c r="S2" s="165"/>
      <c r="T2" s="165"/>
      <c r="U2" s="165"/>
      <c r="V2" s="165"/>
      <c r="W2" s="165"/>
      <c r="X2" s="75" t="s">
        <v>301</v>
      </c>
    </row>
    <row r="3" spans="1:30" x14ac:dyDescent="0.25">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t="s">
        <v>150</v>
      </c>
      <c r="Y3" s="83" t="s">
        <v>302</v>
      </c>
      <c r="Z3" s="83" t="s">
        <v>303</v>
      </c>
      <c r="AA3" s="83" t="s">
        <v>304</v>
      </c>
      <c r="AB3" s="83" t="s">
        <v>305</v>
      </c>
      <c r="AC3" s="83"/>
      <c r="AD3" s="83"/>
    </row>
    <row r="4" spans="1:30" ht="15.6" x14ac:dyDescent="0.3">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t="s">
        <v>62</v>
      </c>
      <c r="Y4" s="85">
        <f>Summary!V5</f>
        <v>239.74572570874827</v>
      </c>
      <c r="Z4" s="85">
        <f>Summary!Y5</f>
        <v>0.72299200397345054</v>
      </c>
      <c r="AA4" s="85">
        <f>'GLOBAL Summary'!T4</f>
        <v>239.83825572637775</v>
      </c>
      <c r="AB4" s="85">
        <f>'GLOBAL Summary'!W4</f>
        <v>0.40201248508299653</v>
      </c>
      <c r="AC4" s="85"/>
    </row>
    <row r="5" spans="1:30" ht="15.6" x14ac:dyDescent="0.3">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t="s">
        <v>66</v>
      </c>
      <c r="Y5" s="85">
        <f>Summary!V6</f>
        <v>121.85591074263102</v>
      </c>
      <c r="Z5" s="85">
        <f>Summary!Y6</f>
        <v>0.92756197586603606</v>
      </c>
      <c r="AA5" s="85">
        <f>'GLOBAL Summary'!T5</f>
        <v>122.00674008033231</v>
      </c>
      <c r="AB5" s="85">
        <f>'GLOBAL Summary'!W5</f>
        <v>0.40331421544475377</v>
      </c>
      <c r="AC5" s="85"/>
    </row>
    <row r="6" spans="1:30" ht="15.6" x14ac:dyDescent="0.3">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t="s">
        <v>71</v>
      </c>
      <c r="Y6" s="85">
        <f>Summary!V7</f>
        <v>46.255744083303426</v>
      </c>
      <c r="Z6" s="85">
        <f>Summary!Y7</f>
        <v>0.36241785543141564</v>
      </c>
      <c r="AA6" s="85">
        <f>'GLOBAL Summary'!T6</f>
        <v>46.234163802201337</v>
      </c>
      <c r="AB6" s="85">
        <f>'GLOBAL Summary'!W6</f>
        <v>0.40810596584563619</v>
      </c>
      <c r="AC6" s="85"/>
    </row>
    <row r="7" spans="1:30" ht="15.6" x14ac:dyDescent="0.3">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t="s">
        <v>63</v>
      </c>
      <c r="Y7" s="85">
        <f>Summary!V8</f>
        <v>5.4455849908913683</v>
      </c>
      <c r="Z7" s="85">
        <f>Summary!Y8</f>
        <v>5.2279334062901479E-2</v>
      </c>
      <c r="AA7" s="85">
        <f>'GLOBAL Summary'!T7</f>
        <v>5.429519721949994</v>
      </c>
      <c r="AB7" s="85">
        <f>'GLOBAL Summary'!W7</f>
        <v>5.7282527049115441E-2</v>
      </c>
      <c r="AC7" s="85"/>
    </row>
    <row r="8" spans="1:30" ht="15.6" x14ac:dyDescent="0.3">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t="s">
        <v>67</v>
      </c>
      <c r="Y8" s="85">
        <f>Summary!V9</f>
        <v>3.0805761374959282</v>
      </c>
      <c r="Z8" s="85">
        <f>Summary!Y9</f>
        <v>6.2743711610748265E-2</v>
      </c>
      <c r="AA8" s="85">
        <f>'GLOBAL Summary'!T8</f>
        <v>3.0577573096964916</v>
      </c>
      <c r="AB8" s="85">
        <f>'GLOBAL Summary'!W8</f>
        <v>5.6743059041159179E-2</v>
      </c>
      <c r="AC8" s="85"/>
    </row>
    <row r="9" spans="1:30" ht="15.6" x14ac:dyDescent="0.3">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t="s">
        <v>72</v>
      </c>
      <c r="Y9" s="85">
        <f>Summary!V10</f>
        <v>0.28638576301312835</v>
      </c>
      <c r="Z9" s="85">
        <f>Summary!Y10</f>
        <v>2.4648032367058682E-2</v>
      </c>
      <c r="AA9" s="85">
        <f>'GLOBAL Summary'!T9</f>
        <v>0.28951762899419958</v>
      </c>
      <c r="AB9" s="85">
        <f>'GLOBAL Summary'!W9</f>
        <v>5.2484401564550337E-2</v>
      </c>
      <c r="AC9" s="85"/>
    </row>
    <row r="10" spans="1:30" ht="15.6" x14ac:dyDescent="0.3">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t="s">
        <v>296</v>
      </c>
      <c r="Y10" s="85">
        <f>Summary!V11</f>
        <v>161.15251573133676</v>
      </c>
      <c r="Z10" s="85">
        <f>Summary!Y11</f>
        <v>0.72738047467856293</v>
      </c>
      <c r="AA10" s="85">
        <f>'GLOBAL Summary'!T10</f>
        <v>161.28391196234745</v>
      </c>
      <c r="AB10" s="85">
        <f>'GLOBAL Summary'!W10</f>
        <v>0.29578773022291965</v>
      </c>
      <c r="AC10" s="85"/>
    </row>
    <row r="11" spans="1:30" x14ac:dyDescent="0.25">
      <c r="B11" s="85"/>
      <c r="C11" s="85"/>
      <c r="D11" s="85"/>
      <c r="E11" s="85"/>
      <c r="F11" s="85"/>
      <c r="G11" s="85"/>
      <c r="H11" s="85"/>
      <c r="I11" s="85"/>
      <c r="J11" s="85"/>
      <c r="K11" s="85"/>
      <c r="L11" s="85"/>
      <c r="M11" s="85"/>
      <c r="N11" s="85"/>
      <c r="X11" s="75" t="s">
        <v>297</v>
      </c>
      <c r="Y11" s="75">
        <f>Summary!V12</f>
        <v>51.331409443205509</v>
      </c>
      <c r="Z11" s="75">
        <f>Summary!Y12</f>
        <v>0.2939100158818217</v>
      </c>
      <c r="AA11" s="75">
        <f>'GLOBAL Summary'!T11</f>
        <v>51.306801410529886</v>
      </c>
      <c r="AB11" s="75">
        <f>'GLOBAL Summary'!W11</f>
        <v>0.27138391783190602</v>
      </c>
    </row>
    <row r="12" spans="1:30" ht="131.25" customHeight="1" x14ac:dyDescent="0.3">
      <c r="D12" s="75" t="s">
        <v>329</v>
      </c>
      <c r="E12" s="85"/>
      <c r="I12" s="143" t="s">
        <v>226</v>
      </c>
      <c r="J12" s="157" t="s">
        <v>230</v>
      </c>
      <c r="K12" s="157"/>
      <c r="L12" s="156" t="s">
        <v>229</v>
      </c>
      <c r="M12" s="85"/>
      <c r="N12" s="85"/>
      <c r="X12" s="75" t="s">
        <v>298</v>
      </c>
      <c r="Y12" s="75">
        <f>Summary!V13</f>
        <v>50.614050766055051</v>
      </c>
      <c r="Z12" s="75">
        <f>Summary!Y13</f>
        <v>0.29925165133475928</v>
      </c>
      <c r="AA12" s="75">
        <f>'GLOBAL Summary'!T12</f>
        <v>50.589950709748805</v>
      </c>
      <c r="AB12" s="75">
        <f>'GLOBAL Summary'!W12</f>
        <v>0.30573166130802037</v>
      </c>
    </row>
    <row r="13" spans="1:30" ht="15.6" x14ac:dyDescent="0.3">
      <c r="I13" s="145" t="s">
        <v>231</v>
      </c>
      <c r="X13" s="75" t="s">
        <v>299</v>
      </c>
      <c r="Y13" s="75">
        <f>Summary!V14</f>
        <v>50.97273010463028</v>
      </c>
      <c r="Z13" s="75">
        <f>Summary!Y14</f>
        <v>0.29465076624486641</v>
      </c>
      <c r="AA13" s="75">
        <f>'GLOBAL Summary'!T13</f>
        <v>50.948376060139346</v>
      </c>
      <c r="AB13" s="75">
        <f>'GLOBAL Summary'!W13</f>
        <v>0.28765872648368462</v>
      </c>
    </row>
    <row r="14" spans="1:30" ht="49.5" customHeight="1" x14ac:dyDescent="0.25"/>
    <row r="15" spans="1:30" ht="17.399999999999999" x14ac:dyDescent="0.3">
      <c r="A15" s="168" t="s">
        <v>212</v>
      </c>
      <c r="B15" s="168"/>
      <c r="C15" s="168"/>
      <c r="D15" s="168"/>
      <c r="E15" s="168"/>
      <c r="F15" s="168"/>
      <c r="G15" s="168"/>
      <c r="H15" s="168"/>
      <c r="I15" s="168"/>
      <c r="J15" s="168"/>
      <c r="K15" s="168"/>
      <c r="L15" s="168"/>
      <c r="M15" s="168"/>
      <c r="N15" s="168"/>
      <c r="X15" s="75" t="s">
        <v>306</v>
      </c>
    </row>
    <row r="16" spans="1:30" x14ac:dyDescent="0.25">
      <c r="A16" s="144"/>
      <c r="B16" s="167" t="s">
        <v>223</v>
      </c>
      <c r="C16" s="167"/>
      <c r="D16" s="167"/>
      <c r="E16" s="167"/>
      <c r="F16" s="167"/>
      <c r="G16" s="144"/>
      <c r="H16" s="144"/>
      <c r="I16" s="144"/>
      <c r="J16" s="167" t="s">
        <v>224</v>
      </c>
      <c r="K16" s="167"/>
      <c r="L16" s="167"/>
      <c r="M16" s="167"/>
      <c r="N16" s="167"/>
    </row>
    <row r="17" spans="1:14" x14ac:dyDescent="0.25">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5">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5">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5">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5">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5">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5">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5">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5">
      <c r="B25" s="85"/>
      <c r="C25" s="85"/>
      <c r="D25" s="85"/>
      <c r="E25" s="85"/>
      <c r="F25" s="85"/>
      <c r="G25" s="85"/>
      <c r="H25" s="85"/>
      <c r="I25" s="85"/>
      <c r="J25" s="85"/>
      <c r="K25" s="85"/>
      <c r="L25" s="85"/>
      <c r="M25" s="85"/>
      <c r="N25" s="85"/>
    </row>
    <row r="26" spans="1:14" x14ac:dyDescent="0.25">
      <c r="A26" s="164" t="s">
        <v>225</v>
      </c>
      <c r="B26" s="164"/>
      <c r="C26" s="164"/>
      <c r="D26" s="164"/>
      <c r="E26" s="164"/>
      <c r="F26" s="164"/>
      <c r="G26" s="164"/>
      <c r="H26" s="164"/>
      <c r="I26" s="164"/>
      <c r="J26" s="164"/>
      <c r="K26" s="164"/>
      <c r="L26" s="164"/>
      <c r="M26" s="164"/>
      <c r="N26" s="164"/>
    </row>
    <row r="27" spans="1:14" x14ac:dyDescent="0.25">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5">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5">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5">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5">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5">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5">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5">
      <c r="A35" s="75" t="s">
        <v>204</v>
      </c>
    </row>
    <row r="36" spans="1:14" x14ac:dyDescent="0.25">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GW112"/>
  <sheetViews>
    <sheetView topLeftCell="A27" zoomScale="85" zoomScaleNormal="85" workbookViewId="0">
      <pane xSplit="1" topLeftCell="B1" activePane="topRight" state="frozen"/>
      <selection activeCell="BA26" sqref="BA26:BA28"/>
      <selection pane="topRight" activeCell="BW34" sqref="BW34"/>
    </sheetView>
  </sheetViews>
  <sheetFormatPr defaultColWidth="9.109375" defaultRowHeight="15" x14ac:dyDescent="0.25"/>
  <cols>
    <col min="1" max="1" width="12.6640625" style="1" customWidth="1"/>
    <col min="2" max="2" width="16.6640625" style="1" bestFit="1" customWidth="1"/>
    <col min="3" max="4" width="33.88671875" style="1" bestFit="1" customWidth="1"/>
    <col min="5" max="5" width="16.44140625" style="1" bestFit="1" customWidth="1"/>
    <col min="6" max="6" width="17" style="1" bestFit="1" customWidth="1"/>
    <col min="7" max="7" width="23.5546875" style="1" customWidth="1"/>
    <col min="8" max="8" width="22.109375" style="1" bestFit="1" customWidth="1"/>
    <col min="9" max="9" width="19.109375" style="1" bestFit="1" customWidth="1"/>
    <col min="10" max="10" width="25.44140625" style="1" bestFit="1" customWidth="1"/>
    <col min="11" max="11" width="11.88671875" style="1" bestFit="1" customWidth="1"/>
    <col min="12" max="12" width="14.44140625" style="1" bestFit="1" customWidth="1"/>
    <col min="13" max="13" width="17" style="1" bestFit="1" customWidth="1"/>
    <col min="14" max="14" width="15.5546875" style="1" hidden="1" customWidth="1"/>
    <col min="15" max="15" width="12.109375" style="1" hidden="1" customWidth="1"/>
    <col min="16" max="16" width="14.33203125" style="1" hidden="1" customWidth="1"/>
    <col min="17" max="17" width="9.109375" style="1" hidden="1" customWidth="1"/>
    <col min="18" max="21" width="15.5546875" style="1" hidden="1" customWidth="1"/>
    <col min="22" max="22" width="9.33203125" style="1" bestFit="1" customWidth="1"/>
    <col min="23" max="23" width="9.33203125" style="1" hidden="1" customWidth="1"/>
    <col min="24" max="24" width="10.5546875" style="1" hidden="1" customWidth="1"/>
    <col min="25" max="28" width="12.44140625" style="1" hidden="1" customWidth="1"/>
    <col min="29" max="29" width="9.33203125" style="1" bestFit="1" customWidth="1"/>
    <col min="30" max="30" width="9.33203125" style="1" customWidth="1"/>
    <col min="31" max="31" width="8" style="1" bestFit="1" customWidth="1"/>
    <col min="32" max="32" width="14.109375" style="1" bestFit="1" customWidth="1"/>
    <col min="33" max="34" width="11.88671875" style="1" bestFit="1" customWidth="1"/>
    <col min="35" max="35" width="9.5546875" style="1" bestFit="1" customWidth="1"/>
    <col min="36" max="36" width="9.5546875" style="1" customWidth="1"/>
    <col min="37" max="38" width="9.109375" style="1"/>
    <col min="39" max="39" width="22.6640625" style="1" bestFit="1" customWidth="1"/>
    <col min="40" max="40" width="20.109375" style="1" bestFit="1" customWidth="1"/>
    <col min="41" max="41" width="8.44140625" style="1" bestFit="1" customWidth="1"/>
    <col min="42" max="42" width="11.88671875" style="1" bestFit="1" customWidth="1"/>
    <col min="43" max="43" width="10.88671875" style="1" bestFit="1" customWidth="1"/>
    <col min="44" max="44" width="13.5546875" style="1" bestFit="1" customWidth="1"/>
    <col min="45" max="46" width="14" style="1" bestFit="1" customWidth="1"/>
    <col min="47" max="47" width="20.33203125" style="1" bestFit="1" customWidth="1"/>
    <col min="48" max="51" width="16.109375" style="1" customWidth="1"/>
    <col min="52" max="52" width="13.88671875" style="1" bestFit="1" customWidth="1"/>
    <col min="53" max="53" width="24.5546875" style="1" bestFit="1" customWidth="1"/>
    <col min="54" max="54" width="23.33203125" style="1" bestFit="1" customWidth="1"/>
    <col min="55" max="55" width="20.44140625" style="1" bestFit="1" customWidth="1"/>
    <col min="56" max="56" width="12.5546875" style="1" bestFit="1" customWidth="1"/>
    <col min="57" max="57" width="10.88671875" style="1" bestFit="1" customWidth="1"/>
    <col min="58" max="58" width="16.109375" style="1" bestFit="1" customWidth="1"/>
    <col min="59" max="59" width="11.33203125" style="1" bestFit="1" customWidth="1"/>
    <col min="60" max="60" width="14.5546875" style="1" bestFit="1" customWidth="1"/>
    <col min="61" max="61" width="16.109375" style="1" bestFit="1" customWidth="1"/>
    <col min="62" max="62" width="17" style="1" bestFit="1" customWidth="1"/>
    <col min="63" max="65" width="9.44140625" style="1" bestFit="1" customWidth="1"/>
    <col min="66" max="66" width="13.109375" style="1" bestFit="1" customWidth="1"/>
    <col min="67" max="67" width="14.33203125" style="1" bestFit="1" customWidth="1"/>
    <col min="68" max="70" width="11.88671875" style="1" bestFit="1" customWidth="1"/>
    <col min="71" max="72" width="9.33203125" style="1" bestFit="1" customWidth="1"/>
    <col min="73" max="73" width="12.109375" style="1" bestFit="1" customWidth="1"/>
    <col min="74" max="74" width="12.33203125" style="1" bestFit="1" customWidth="1"/>
    <col min="75" max="75" width="20.6640625" style="1" bestFit="1" customWidth="1"/>
    <col min="76" max="76" width="9.109375" style="1"/>
    <col min="77" max="77" width="14" style="1" bestFit="1" customWidth="1"/>
    <col min="78" max="78" width="5.6640625" style="1" customWidth="1"/>
    <col min="79" max="79" width="8" style="1" bestFit="1" customWidth="1"/>
    <col min="80" max="80" width="13.88671875" style="1" bestFit="1" customWidth="1"/>
    <col min="81" max="86" width="9.109375" style="1"/>
    <col min="87" max="87" width="15.44140625" style="1" bestFit="1" customWidth="1"/>
    <col min="88" max="88" width="16" style="1" bestFit="1" customWidth="1"/>
    <col min="89" max="89" width="12.6640625" style="1" bestFit="1" customWidth="1"/>
    <col min="90" max="90" width="12.6640625" style="1" customWidth="1"/>
    <col min="91" max="94" width="9.109375" style="1"/>
    <col min="95" max="95" width="16.6640625" style="1" bestFit="1" customWidth="1"/>
    <col min="96" max="16384" width="9.109375" style="1"/>
  </cols>
  <sheetData>
    <row r="1" spans="1:171" ht="15.6" x14ac:dyDescent="0.3">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5">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 t="shared" ref="ET2:ET23" si="39">(0.02/$B$40)^2+9*(0.001/$B$38)^2+(Q2/M2)^2</f>
        <v>3.0962041697548578E-5</v>
      </c>
      <c r="EU2" s="1">
        <f t="shared" ref="EU2:EU23" si="40">4*(AG2)^2*(0.0002/F2)^2</f>
        <v>0.16830909630848601</v>
      </c>
      <c r="EV2" s="1">
        <f t="shared" ref="EV2:EV23" si="41">4*(AH2)^2*(0.0002/G2)^2</f>
        <v>1.3716453171496432E-3</v>
      </c>
      <c r="EW2" s="1">
        <f t="shared" ref="EW2:EW23" si="42">4*(AF2)^2*(0.0002/H2)^2</f>
        <v>0.12728495874922099</v>
      </c>
      <c r="EX2" s="1">
        <f t="shared" ref="EX2:EX23" si="43">(AG2)^2*ET2+1*EU2</f>
        <v>1.8792939920218097</v>
      </c>
      <c r="EY2" s="1">
        <f t="shared" ref="EY2:EY23" si="44">(AI2)^2*ET2+0.25*EU2+4*EV2+2.25*EW2</f>
        <v>0.70254973555759936</v>
      </c>
      <c r="EZ2" s="1">
        <f t="shared" ref="EZ2:EZ23" si="45">(AH2)^2*ET2+1*EV2</f>
        <v>7.0661396264444884E-2</v>
      </c>
      <c r="FA2" s="1">
        <f t="shared" ref="FA2:FA23" si="46">(AG2)*(AI2)*ET2+-0.5*EU2</f>
        <v>0.70998649960575522</v>
      </c>
      <c r="FB2" s="1">
        <f t="shared" ref="FB2:FB23" si="47">(AG2)*(AH2)*ET2</f>
        <v>0.34431630414280429</v>
      </c>
      <c r="FC2" s="1">
        <f t="shared" ref="FC2:FC23" si="48">(AI2)*(AH2)*ET2+-2*EV2</f>
        <v>0.15706858801984819</v>
      </c>
      <c r="FD2" s="1">
        <f t="shared" ref="FD2:FD23" si="49">20*(AH2)^2/(3*((AG2)-(AI2))+4*(AH2))^2</f>
        <v>0.13915812225951102</v>
      </c>
      <c r="FE2" s="1">
        <f t="shared" ref="FE2:FE23" si="50">15*((AG2)-(AI2))^2/(3*((AG2)-(AI2))+4*(AH2))^2</f>
        <v>0.74002330648408721</v>
      </c>
      <c r="FF2" s="1">
        <f t="shared" ref="FF2:FF23" si="51">(0.2+FD2)/2</f>
        <v>0.16957906112975552</v>
      </c>
      <c r="FG2" s="1">
        <f t="shared" ref="FG2:FG23" si="52">(-0.2-FD2)/2</f>
        <v>-0.16957906112975552</v>
      </c>
      <c r="FH2" s="1">
        <f t="shared" ref="FH2:FH23" si="53">(0.6+FE2)/2</f>
        <v>0.67001165324204359</v>
      </c>
      <c r="FI2" s="1">
        <f t="shared" ref="FI2:FI23" si="54">SQRT(EX2)</f>
        <v>1.3708734412854491</v>
      </c>
      <c r="FJ2" s="1">
        <f t="shared" ref="FJ2:FJ23" si="55">SQRT(EY2)</f>
        <v>0.83818239993309296</v>
      </c>
      <c r="FK2" s="1">
        <f t="shared" ref="FK2:FK23" si="56">SQRT(EZ2)</f>
        <v>0.26582211394924404</v>
      </c>
      <c r="FL2" s="1">
        <f t="shared" ref="FL2:FL23" si="57">SQRT(EX2/9+4*EY2/9+(4/9)*FA2)</f>
        <v>0.91466077091608289</v>
      </c>
      <c r="FM2" s="1">
        <f t="shared" ref="FM2:FM23" si="58">SQRT((EX2+EY2+9*EZ2)/25+(-2*FA2+6*FB2-6*FC2)/25)</f>
        <v>0.34183677926669265</v>
      </c>
      <c r="FN2" s="1">
        <f t="shared" ref="FN2:FN23" si="59">SQRT(FD2^2*(EX2+EY2)-2*FD2^2*FA2+FE2^2*EZ2+2*FD2*FE2*(FB2-FC2))</f>
        <v>0.31585100844376829</v>
      </c>
      <c r="FO2" s="1">
        <f t="shared" ref="FO2:FO23" si="60">SQRT(FF2^2*EX2+FG2^2*EY2+FH2^2*EZ2+2*FF2*FG2*FA2+2*FF2*FH2*FB2+2*FG2*FH2*FC2)</f>
        <v>0.32815109216687766</v>
      </c>
    </row>
    <row r="3" spans="1:171" x14ac:dyDescent="0.25">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61">(J3*(E3-E2)+0.5*(E3-E2)*(J2-J3))</f>
        <v>1.0214304272293568E-2</v>
      </c>
      <c r="L3" s="13">
        <f>SUM(K$3:$K3)</f>
        <v>1.0214304272293568E-2</v>
      </c>
      <c r="M3" s="69">
        <f>0.704/((L3*$B$43+1))</f>
        <v>0.70379815271771839</v>
      </c>
      <c r="N3" s="12">
        <f t="shared" ref="N3:N23" si="62">(6*F3*G3*SQRT(9*(G3^6)*(0.0002^2)+16*(F3^6)*(0.0002)^2))/((4*F3^2 - 3*G3^2)^2)</f>
        <v>1.6605783510823934E-4</v>
      </c>
      <c r="O3" s="21">
        <f t="shared" ref="O3:O23" si="63">(((E3-E2)/2)^2)*(N3^2+N4^2)</f>
        <v>2.216109036549626E-10</v>
      </c>
      <c r="P3" s="11">
        <f>SUM(O$2:$O3)</f>
        <v>2.216109036549626E-10</v>
      </c>
      <c r="Q3" s="12">
        <f t="shared" ref="Q3:Q23" si="64">SQRT(((M30*0.001)^2)+((N30*0.02)^2)+((O30*P3)^2))</f>
        <v>1.0002867699955033E-3</v>
      </c>
      <c r="R3" s="3">
        <f t="shared" si="1"/>
        <v>0.3486136338116016</v>
      </c>
      <c r="S3" s="1">
        <f t="shared" ref="S3:S23" si="65">3*Q3/M3*R3</f>
        <v>1.4864216582350079E-3</v>
      </c>
      <c r="T3" s="1">
        <f t="shared" ref="T3:T23" si="66">R3/$R$2</f>
        <v>0.99914010192390068</v>
      </c>
      <c r="U3" s="1">
        <f t="shared" ref="U3:U23" si="67">T3*3*SQRT((Q3/M3)^2)+(0.001/$M$2)^2</f>
        <v>4.2621594155596281E-3</v>
      </c>
      <c r="V3" s="11">
        <f t="shared" ref="V3:V23" si="68">$B$40/((M3/$M$2)^3)</f>
        <v>6.0952412862554119</v>
      </c>
      <c r="W3" s="12">
        <f t="shared" ref="W3:W23" si="69">(SQRT((0.02/$V$2)^2+(9*(0.001/$M$2)^2)+(9*(Q3/M3)^2))*V3)</f>
        <v>4.1842138068044897E-2</v>
      </c>
      <c r="X3" s="13">
        <f t="shared" si="2"/>
        <v>-2.868382463369068E-4</v>
      </c>
      <c r="Y3" s="12">
        <f t="shared" si="3"/>
        <v>1.0502388885310628E-2</v>
      </c>
      <c r="Z3" s="12">
        <f t="shared" si="4"/>
        <v>4.0930512505757922E-3</v>
      </c>
      <c r="AA3" s="12">
        <f t="shared" ref="AA3:AA23" si="70">SQRT((Q3/M3)^2 + (0.0002/H3)^2)*AC3</f>
        <v>9.9751605900456845E-3</v>
      </c>
      <c r="AB3" s="12"/>
      <c r="AC3" s="14">
        <f t="shared" ref="AC3:AC23" si="71">2*M3/H3</f>
        <v>6.0148239739643765</v>
      </c>
      <c r="AD3" s="1">
        <f t="shared" ref="AD3:AD23" si="72">2*M3/F3</f>
        <v>6.2630616729291972</v>
      </c>
      <c r="AE3" s="14">
        <f t="shared" ref="AE3:AE23" si="73">2*M3/G3</f>
        <v>2.7750452180356793</v>
      </c>
      <c r="AF3" s="14">
        <f t="shared" si="5"/>
        <v>220.51429411332001</v>
      </c>
      <c r="AG3" s="15">
        <f t="shared" si="6"/>
        <v>239.09157823832905</v>
      </c>
      <c r="AH3" s="16">
        <f t="shared" si="7"/>
        <v>46.938697104783998</v>
      </c>
      <c r="AI3" s="15">
        <f t="shared" si="8"/>
        <v>117.34825784124749</v>
      </c>
      <c r="AJ3" s="7"/>
      <c r="AK3" s="12">
        <f t="shared" ref="AK3:AK23" si="74">M3</f>
        <v>0.70379815271771839</v>
      </c>
      <c r="AL3" s="14">
        <f t="shared" si="9"/>
        <v>0.3486136338116016</v>
      </c>
      <c r="AM3" s="14">
        <f t="shared" ref="AM3:AM23" si="75">$AL$2/AL3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76">C3*$BD$2/0.607</f>
        <v>0.23402119688428533</v>
      </c>
      <c r="BC3" s="12">
        <f t="shared" ref="BC3:BC23" si="77">D3*$BD$2/0.607</f>
        <v>0.48010761643303401</v>
      </c>
      <c r="BD3" s="12">
        <v>0.70410932872614851</v>
      </c>
      <c r="BE3" s="14">
        <f t="shared" si="19"/>
        <v>0.34907624444337426</v>
      </c>
      <c r="BF3" s="14">
        <f t="shared" si="20"/>
        <v>0.99953425520652783</v>
      </c>
      <c r="BG3" s="11">
        <f t="shared" ref="BG3:BG23" si="78">$BG$2/((BD3/$BD$2)^3)</f>
        <v>6.0871636142077525</v>
      </c>
      <c r="BH3" s="11">
        <f t="shared" si="21"/>
        <v>-7.4120163100562866E-2</v>
      </c>
      <c r="BI3" s="12">
        <f t="shared" si="22"/>
        <v>1.5526031807538976E-4</v>
      </c>
      <c r="BJ3" s="11">
        <f t="shared" si="23"/>
        <v>-0.20325307121983821</v>
      </c>
      <c r="BK3" s="14">
        <f t="shared" ref="BK3:BK23" si="79">2*BD3/BB3</f>
        <v>6.0174833570678992</v>
      </c>
      <c r="BL3" s="14">
        <f t="shared" ref="BL3:BL23" si="80">2*BD3/AZ3</f>
        <v>6.2658308113880121</v>
      </c>
      <c r="BM3" s="14">
        <f t="shared" ref="BM3:BM23" si="81">2*BD3/BA3</f>
        <v>2.7762721713756773</v>
      </c>
      <c r="BN3" s="14">
        <f t="shared" ref="BN3:BN23" si="82">BG3*BK3*BK3</f>
        <v>220.41683942120824</v>
      </c>
      <c r="BO3" s="15">
        <f t="shared" ref="BO3:BO23" si="83">BG3*BL3^2</f>
        <v>238.98591345030505</v>
      </c>
      <c r="BP3" s="16">
        <f t="shared" ref="BP3:BP23" si="84">BG3*BM3^2</f>
        <v>46.917952888211246</v>
      </c>
      <c r="BQ3" s="15">
        <f t="shared" si="24"/>
        <v>117.29639663023735</v>
      </c>
      <c r="BR3" s="18">
        <f t="shared" si="25"/>
        <v>240.2516102933096</v>
      </c>
      <c r="BS3" s="18">
        <f t="shared" si="26"/>
        <v>46.788269390227576</v>
      </c>
      <c r="BT3" s="18">
        <f t="shared" si="27"/>
        <v>118.3093362884985</v>
      </c>
      <c r="BU3" s="11">
        <f t="shared" ref="BU3:BU23" si="85">BR3-BO3</f>
        <v>1.2656968430045481</v>
      </c>
      <c r="BV3" s="11">
        <f t="shared" ref="BV3:BV23" si="86">BT3-BQ3</f>
        <v>1.0129396582611463</v>
      </c>
      <c r="BW3" s="11">
        <f t="shared" ref="BW3:BW23" si="87">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 t="shared" si="39"/>
        <v>3.0964357255947478E-5</v>
      </c>
      <c r="EU3" s="1">
        <f t="shared" si="40"/>
        <v>0.1810779963179725</v>
      </c>
      <c r="EV3" s="1">
        <f t="shared" si="41"/>
        <v>1.3701431238713391E-3</v>
      </c>
      <c r="EW3" s="1">
        <f t="shared" si="42"/>
        <v>0.14206368744185968</v>
      </c>
      <c r="EX3" s="1">
        <f t="shared" si="43"/>
        <v>1.9511487529157125</v>
      </c>
      <c r="EY3" s="1">
        <f t="shared" si="44"/>
        <v>0.79679156803216977</v>
      </c>
      <c r="EZ3" s="1">
        <f t="shared" si="45"/>
        <v>6.959209342136663E-2</v>
      </c>
      <c r="FA3" s="1">
        <f t="shared" si="46"/>
        <v>0.77822735937214915</v>
      </c>
      <c r="FB3" s="1">
        <f t="shared" si="47"/>
        <v>0.3475020563675284</v>
      </c>
      <c r="FC3" s="1">
        <f t="shared" si="48"/>
        <v>0.16781679155251233</v>
      </c>
      <c r="FD3" s="1">
        <f t="shared" si="49"/>
        <v>0.14410058637585821</v>
      </c>
      <c r="FE3" s="1">
        <f t="shared" si="50"/>
        <v>0.72703486031238995</v>
      </c>
      <c r="FF3" s="1">
        <f t="shared" si="51"/>
        <v>0.17205029318792911</v>
      </c>
      <c r="FG3" s="1">
        <f t="shared" si="52"/>
        <v>-0.17205029318792911</v>
      </c>
      <c r="FH3" s="1">
        <f t="shared" si="53"/>
        <v>0.66351743015619502</v>
      </c>
      <c r="FI3" s="1">
        <f t="shared" si="54"/>
        <v>1.3968352633419994</v>
      </c>
      <c r="FJ3" s="1">
        <f t="shared" si="55"/>
        <v>0.89263182109544459</v>
      </c>
      <c r="FK3" s="1">
        <f t="shared" si="56"/>
        <v>0.26380313383537851</v>
      </c>
      <c r="FL3" s="1">
        <f t="shared" si="57"/>
        <v>0.95749815564272545</v>
      </c>
      <c r="FM3" s="1">
        <f t="shared" si="58"/>
        <v>0.34034841159529333</v>
      </c>
      <c r="FN3" s="1">
        <f t="shared" si="59"/>
        <v>0.31492222410781384</v>
      </c>
      <c r="FO3" s="1">
        <f t="shared" si="60"/>
        <v>0.32700607585322067</v>
      </c>
    </row>
    <row r="4" spans="1:171" x14ac:dyDescent="0.25">
      <c r="A4" s="11">
        <v>1.635683502844302</v>
      </c>
      <c r="B4" s="3">
        <v>60</v>
      </c>
      <c r="C4" s="12">
        <v>0.19870445393449762</v>
      </c>
      <c r="D4" s="12">
        <v>0.40424966477611346</v>
      </c>
      <c r="E4" s="11">
        <v>1.635683502844302</v>
      </c>
      <c r="F4" s="12">
        <v>0.22094572005565327</v>
      </c>
      <c r="G4" s="12">
        <v>0.50583364660407459</v>
      </c>
      <c r="H4" s="12">
        <f t="shared" ref="H4:H23" si="88">C4*$M$2/0.607</f>
        <v>0.23045788397015871</v>
      </c>
      <c r="I4" s="12">
        <f t="shared" ref="I4:I23" si="89">D4*$M$2/0.607</f>
        <v>0.46884969357888606</v>
      </c>
      <c r="J4" s="12">
        <f t="shared" si="0"/>
        <v>7.3434797024003337E-2</v>
      </c>
      <c r="K4" s="13">
        <f t="shared" si="61"/>
        <v>0.11291867338925345</v>
      </c>
      <c r="L4" s="13">
        <f>SUM(K$3:$K4)</f>
        <v>0.12313297766154702</v>
      </c>
      <c r="M4" s="69">
        <f t="shared" ref="M4:M23" si="90">$B$38/((L4*$B$43+1))</f>
        <v>0.7015744282501758</v>
      </c>
      <c r="N4" s="12">
        <f t="shared" si="62"/>
        <v>1.5994952484815503E-4</v>
      </c>
      <c r="O4" s="21">
        <f t="shared" si="63"/>
        <v>2.8357893464738583E-8</v>
      </c>
      <c r="P4" s="11">
        <f>SUM(O$2:$O4)</f>
        <v>2.8579504368393547E-8</v>
      </c>
      <c r="Q4" s="12">
        <f t="shared" si="64"/>
        <v>1.0034530730849299E-3</v>
      </c>
      <c r="R4" s="3">
        <f t="shared" si="1"/>
        <v>0.34531961896155083</v>
      </c>
      <c r="S4" s="1">
        <f t="shared" si="65"/>
        <v>1.4817189120236367E-3</v>
      </c>
      <c r="T4" s="1">
        <f t="shared" si="66"/>
        <v>0.98969932848932762</v>
      </c>
      <c r="U4" s="1">
        <f t="shared" si="67"/>
        <v>4.2486811637839367E-3</v>
      </c>
      <c r="V4" s="11">
        <f t="shared" si="68"/>
        <v>6.1533839871304625</v>
      </c>
      <c r="W4" s="12">
        <f t="shared" si="69"/>
        <v>4.2344872735731051E-2</v>
      </c>
      <c r="X4" s="13">
        <f t="shared" si="2"/>
        <v>-3.46330290946395E-3</v>
      </c>
      <c r="Y4" s="12">
        <f t="shared" si="3"/>
        <v>1.0749510694220641E-2</v>
      </c>
      <c r="Z4" s="12">
        <f t="shared" si="4"/>
        <v>4.1163273542916814E-3</v>
      </c>
      <c r="AA4" s="12">
        <f t="shared" si="70"/>
        <v>1.0185986092241757E-2</v>
      </c>
      <c r="AB4" s="12"/>
      <c r="AC4" s="14">
        <f t="shared" si="71"/>
        <v>6.0885261650759626</v>
      </c>
      <c r="AD4" s="1">
        <f t="shared" si="72"/>
        <v>6.3506496353353992</v>
      </c>
      <c r="AE4" s="14">
        <f t="shared" si="73"/>
        <v>2.7739334184675584</v>
      </c>
      <c r="AF4" s="14">
        <f t="shared" si="5"/>
        <v>228.10687271975388</v>
      </c>
      <c r="AG4" s="15">
        <f t="shared" si="6"/>
        <v>248.17059610496958</v>
      </c>
      <c r="AH4" s="16">
        <f t="shared" si="7"/>
        <v>47.348484440201588</v>
      </c>
      <c r="AI4" s="15">
        <f t="shared" si="8"/>
        <v>123.37804214674281</v>
      </c>
      <c r="AJ4" s="7"/>
      <c r="AK4" s="12">
        <f t="shared" si="74"/>
        <v>0.7015744282501758</v>
      </c>
      <c r="AL4" s="14">
        <f t="shared" si="9"/>
        <v>0.34531961896155083</v>
      </c>
      <c r="AM4" s="14">
        <f t="shared" si="75"/>
        <v>1.0104078796601745</v>
      </c>
      <c r="AN4" s="11">
        <f t="shared" ref="AN4:AN23" si="91">$AN$2/((AK4/$AK$2)^3)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76"/>
        <v>0.23045788397015871</v>
      </c>
      <c r="BC4" s="12">
        <f t="shared" si="77"/>
        <v>0.46884969357888606</v>
      </c>
      <c r="BD4" s="12">
        <v>0.70169087286248266</v>
      </c>
      <c r="BE4" s="14">
        <f t="shared" si="19"/>
        <v>0.34549159194931922</v>
      </c>
      <c r="BF4" s="14">
        <f t="shared" si="20"/>
        <v>1.0099049358375782</v>
      </c>
      <c r="BG4" s="11">
        <f t="shared" si="78"/>
        <v>6.1503210592508504</v>
      </c>
      <c r="BH4" s="11">
        <f t="shared" si="21"/>
        <v>1.6011731305546804</v>
      </c>
      <c r="BI4" s="12">
        <f t="shared" si="22"/>
        <v>-3.2962187061988946E-3</v>
      </c>
      <c r="BJ4" s="11">
        <f t="shared" si="23"/>
        <v>-3.4510372289621616E-2</v>
      </c>
      <c r="BK4" s="14">
        <f t="shared" si="79"/>
        <v>6.0895367151192143</v>
      </c>
      <c r="BL4" s="14">
        <f t="shared" si="80"/>
        <v>6.351703691619246</v>
      </c>
      <c r="BM4" s="14">
        <f t="shared" si="81"/>
        <v>2.7743938252162539</v>
      </c>
      <c r="BN4" s="14">
        <f t="shared" si="82"/>
        <v>228.06901870542129</v>
      </c>
      <c r="BO4" s="15">
        <f t="shared" si="83"/>
        <v>248.12941254399274</v>
      </c>
      <c r="BP4" s="16">
        <f t="shared" si="84"/>
        <v>47.340627025879705</v>
      </c>
      <c r="BQ4" s="15">
        <f t="shared" si="24"/>
        <v>123.35756773437613</v>
      </c>
      <c r="BR4" s="18">
        <f t="shared" si="25"/>
        <v>249.32695487472313</v>
      </c>
      <c r="BS4" s="18">
        <f t="shared" si="26"/>
        <v>47.183322539386026</v>
      </c>
      <c r="BT4" s="18">
        <f t="shared" si="27"/>
        <v>123.8612528771778</v>
      </c>
      <c r="BU4" s="11">
        <f t="shared" si="85"/>
        <v>1.1975423307303856</v>
      </c>
      <c r="BV4" s="11">
        <f t="shared" si="86"/>
        <v>0.50368514280167176</v>
      </c>
      <c r="BW4" s="11">
        <f t="shared" si="87"/>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 t="shared" si="39"/>
        <v>3.0990072661864975E-5</v>
      </c>
      <c r="EU4" s="1">
        <f t="shared" si="40"/>
        <v>0.20185961653409951</v>
      </c>
      <c r="EV4" s="1">
        <f t="shared" si="41"/>
        <v>1.4018989790257367E-3</v>
      </c>
      <c r="EW4" s="1">
        <f t="shared" si="42"/>
        <v>0.15675217796608681</v>
      </c>
      <c r="EX4" s="1">
        <f t="shared" si="43"/>
        <v>2.1104961931361532</v>
      </c>
      <c r="EY4" s="1">
        <f t="shared" si="44"/>
        <v>0.88050016493252492</v>
      </c>
      <c r="EZ4" s="1">
        <f t="shared" si="45"/>
        <v>7.0877891430649917E-2</v>
      </c>
      <c r="FA4" s="1">
        <f t="shared" si="46"/>
        <v>0.84794909877002589</v>
      </c>
      <c r="FB4" s="1">
        <f t="shared" si="47"/>
        <v>0.36414889865122219</v>
      </c>
      <c r="FC4" s="1">
        <f t="shared" si="48"/>
        <v>0.17823287145655203</v>
      </c>
      <c r="FD4" s="1">
        <f t="shared" si="49"/>
        <v>0.14107035915163835</v>
      </c>
      <c r="FE4" s="1">
        <f t="shared" si="50"/>
        <v>0.734957483688644</v>
      </c>
      <c r="FF4" s="1">
        <f t="shared" si="51"/>
        <v>0.17053517957581918</v>
      </c>
      <c r="FG4" s="1">
        <f t="shared" si="52"/>
        <v>-0.17053517957581918</v>
      </c>
      <c r="FH4" s="1">
        <f t="shared" si="53"/>
        <v>0.66747874184432199</v>
      </c>
      <c r="FI4" s="1">
        <f t="shared" si="54"/>
        <v>1.4527546913144536</v>
      </c>
      <c r="FJ4" s="1">
        <f t="shared" si="55"/>
        <v>0.93834970290000352</v>
      </c>
      <c r="FK4" s="1">
        <f t="shared" si="56"/>
        <v>0.2662290206394673</v>
      </c>
      <c r="FL4" s="1">
        <f t="shared" si="57"/>
        <v>1.001348715369335</v>
      </c>
      <c r="FM4" s="1">
        <f t="shared" si="58"/>
        <v>0.34919881709836859</v>
      </c>
      <c r="FN4" s="1">
        <f t="shared" si="59"/>
        <v>0.32032942774138362</v>
      </c>
      <c r="FO4" s="1">
        <f t="shared" si="60"/>
        <v>0.33401731405828572</v>
      </c>
    </row>
    <row r="5" spans="1:171" x14ac:dyDescent="0.25">
      <c r="A5" s="11">
        <v>2.4965695569728967</v>
      </c>
      <c r="B5" s="3">
        <v>90</v>
      </c>
      <c r="C5" s="12">
        <v>0.19712306763281529</v>
      </c>
      <c r="D5" s="12">
        <v>0.40093724266502045</v>
      </c>
      <c r="E5" s="11">
        <v>2.4965695569728967</v>
      </c>
      <c r="F5" s="12">
        <v>0.21874572005565329</v>
      </c>
      <c r="G5" s="12">
        <v>0.50583364660407459</v>
      </c>
      <c r="H5" s="12">
        <f t="shared" si="88"/>
        <v>0.22862378849011855</v>
      </c>
      <c r="I5" s="12">
        <f t="shared" si="89"/>
        <v>0.46500793877458718</v>
      </c>
      <c r="J5" s="12">
        <f t="shared" si="0"/>
        <v>7.1834787269226374E-2</v>
      </c>
      <c r="K5" s="13">
        <f t="shared" si="61"/>
        <v>6.2530279603549899E-2</v>
      </c>
      <c r="L5" s="13">
        <f>SUM(K$3:$K5)</f>
        <v>0.18566325726509691</v>
      </c>
      <c r="M5" s="69">
        <f t="shared" si="90"/>
        <v>0.700349044840749</v>
      </c>
      <c r="N5" s="12">
        <f t="shared" si="62"/>
        <v>1.5618171297467797E-4</v>
      </c>
      <c r="O5" s="21">
        <f t="shared" si="63"/>
        <v>8.8434243448866546E-9</v>
      </c>
      <c r="P5" s="11">
        <f>SUM(O$2:$O5)</f>
        <v>3.7422928713280205E-8</v>
      </c>
      <c r="Q5" s="12">
        <f t="shared" si="64"/>
        <v>1.0052029970622424E-3</v>
      </c>
      <c r="R5" s="3">
        <f t="shared" si="1"/>
        <v>0.34351335180625775</v>
      </c>
      <c r="S5" s="1">
        <f t="shared" si="65"/>
        <v>1.4791223889442043E-3</v>
      </c>
      <c r="T5" s="1">
        <f t="shared" si="66"/>
        <v>0.98452249725094687</v>
      </c>
      <c r="U5" s="1">
        <f t="shared" si="67"/>
        <v>4.2412394286289821E-3</v>
      </c>
      <c r="V5" s="11">
        <f t="shared" si="68"/>
        <v>6.1857398048342489</v>
      </c>
      <c r="W5" s="12">
        <f t="shared" si="69"/>
        <v>4.2625461615122595E-2</v>
      </c>
      <c r="X5" s="13">
        <f t="shared" si="2"/>
        <v>-5.2266387910415713E-3</v>
      </c>
      <c r="Y5" s="12">
        <f t="shared" si="3"/>
        <v>1.0896940585317113E-2</v>
      </c>
      <c r="Z5" s="12">
        <f t="shared" si="4"/>
        <v>4.1224874382217429E-3</v>
      </c>
      <c r="AA5" s="12">
        <f t="shared" si="70"/>
        <v>1.0298110158782171E-2</v>
      </c>
      <c r="AB5" s="12"/>
      <c r="AC5" s="14">
        <f t="shared" si="71"/>
        <v>6.1266506820310092</v>
      </c>
      <c r="AD5" s="1">
        <f t="shared" si="72"/>
        <v>6.4033165509484364</v>
      </c>
      <c r="AE5" s="14">
        <f t="shared" si="73"/>
        <v>2.7690884129300528</v>
      </c>
      <c r="AF5" s="14">
        <f t="shared" si="5"/>
        <v>232.18699266725477</v>
      </c>
      <c r="AG5" s="15">
        <f t="shared" si="6"/>
        <v>253.63056655769012</v>
      </c>
      <c r="AH5" s="16">
        <f t="shared" si="7"/>
        <v>47.431328912856969</v>
      </c>
      <c r="AI5" s="15">
        <f t="shared" si="8"/>
        <v>126.60254789632313</v>
      </c>
      <c r="AJ5" s="7"/>
      <c r="AK5" s="12">
        <f t="shared" si="74"/>
        <v>0.700349044840749</v>
      </c>
      <c r="AL5" s="14">
        <f t="shared" si="9"/>
        <v>0.34351335180625775</v>
      </c>
      <c r="AM5" s="14">
        <f t="shared" si="75"/>
        <v>1.0157208218118636</v>
      </c>
      <c r="AN5" s="11">
        <f t="shared" si="91"/>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76"/>
        <v>0.22862378849011855</v>
      </c>
      <c r="BC5" s="12">
        <f t="shared" si="77"/>
        <v>0.46500793877458718</v>
      </c>
      <c r="BD5" s="12">
        <v>0.70031975779753886</v>
      </c>
      <c r="BE5" s="14">
        <f t="shared" si="19"/>
        <v>0.34347025870967884</v>
      </c>
      <c r="BF5" s="14">
        <f t="shared" si="20"/>
        <v>1.0158482580435653</v>
      </c>
      <c r="BG5" s="11">
        <f t="shared" si="78"/>
        <v>6.1865158914853113</v>
      </c>
      <c r="BH5" s="11">
        <f t="shared" si="21"/>
        <v>2.5848303510079949</v>
      </c>
      <c r="BI5" s="12">
        <f t="shared" si="22"/>
        <v>-5.2688963322800042E-3</v>
      </c>
      <c r="BJ5" s="11">
        <f t="shared" si="23"/>
        <v>8.8260794035098122E-2</v>
      </c>
      <c r="BK5" s="14">
        <f t="shared" si="79"/>
        <v>6.1263944790925171</v>
      </c>
      <c r="BL5" s="14">
        <f t="shared" si="80"/>
        <v>6.403048778457137</v>
      </c>
      <c r="BM5" s="14">
        <f t="shared" si="81"/>
        <v>2.7689726157963239</v>
      </c>
      <c r="BN5" s="14">
        <f t="shared" si="82"/>
        <v>232.19670261818982</v>
      </c>
      <c r="BO5" s="15">
        <f t="shared" si="83"/>
        <v>253.6411732688095</v>
      </c>
      <c r="BP5" s="16">
        <f t="shared" si="84"/>
        <v>47.43331246874542</v>
      </c>
      <c r="BQ5" s="15">
        <f t="shared" si="24"/>
        <v>126.60784235538911</v>
      </c>
      <c r="BR5" s="18">
        <f t="shared" si="25"/>
        <v>254.59856830473575</v>
      </c>
      <c r="BS5" s="18">
        <f t="shared" si="26"/>
        <v>47.39163739141452</v>
      </c>
      <c r="BT5" s="18">
        <f t="shared" si="27"/>
        <v>127.10442041015202</v>
      </c>
      <c r="BU5" s="11">
        <f t="shared" si="85"/>
        <v>0.95739503592625397</v>
      </c>
      <c r="BV5" s="11">
        <f t="shared" si="86"/>
        <v>0.49657805476290662</v>
      </c>
      <c r="BW5" s="11">
        <f t="shared" si="87"/>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 t="shared" si="39"/>
        <v>3.1004403934763584E-5</v>
      </c>
      <c r="EU5" s="1">
        <f t="shared" si="40"/>
        <v>0.21510179642966126</v>
      </c>
      <c r="EV5" s="1">
        <f t="shared" si="41"/>
        <v>1.4068090067187108E-3</v>
      </c>
      <c r="EW5" s="1">
        <f t="shared" si="42"/>
        <v>0.16502620836459866</v>
      </c>
      <c r="EX5" s="1">
        <f t="shared" si="43"/>
        <v>2.2095674878534677</v>
      </c>
      <c r="EY5" s="1">
        <f t="shared" si="44"/>
        <v>0.92765660027348851</v>
      </c>
      <c r="EZ5" s="1">
        <f t="shared" si="45"/>
        <v>7.1158376510741195E-2</v>
      </c>
      <c r="FA5" s="1">
        <f t="shared" si="46"/>
        <v>0.88800906781403399</v>
      </c>
      <c r="FB5" s="1">
        <f t="shared" si="47"/>
        <v>0.37298405905588577</v>
      </c>
      <c r="FC5" s="1">
        <f t="shared" si="48"/>
        <v>0.18336556709849228</v>
      </c>
      <c r="FD5" s="1">
        <f t="shared" si="49"/>
        <v>0.1380951389849264</v>
      </c>
      <c r="FE5" s="1">
        <f t="shared" si="50"/>
        <v>0.7428619564403649</v>
      </c>
      <c r="FF5" s="1">
        <f t="shared" si="51"/>
        <v>0.16904756949246319</v>
      </c>
      <c r="FG5" s="1">
        <f t="shared" si="52"/>
        <v>-0.16904756949246319</v>
      </c>
      <c r="FH5" s="1">
        <f t="shared" si="53"/>
        <v>0.67143097822018238</v>
      </c>
      <c r="FI5" s="1">
        <f t="shared" si="54"/>
        <v>1.4864613980367831</v>
      </c>
      <c r="FJ5" s="1">
        <f t="shared" si="55"/>
        <v>0.9631493135923882</v>
      </c>
      <c r="FK5" s="1">
        <f t="shared" si="56"/>
        <v>0.26675527456967218</v>
      </c>
      <c r="FL5" s="1">
        <f t="shared" si="57"/>
        <v>1.0258996139001102</v>
      </c>
      <c r="FM5" s="1">
        <f t="shared" si="58"/>
        <v>0.35436378442724198</v>
      </c>
      <c r="FN5" s="1">
        <f t="shared" si="59"/>
        <v>0.3226935692236842</v>
      </c>
      <c r="FO5" s="1">
        <f t="shared" si="60"/>
        <v>0.33767396935780386</v>
      </c>
    </row>
    <row r="6" spans="1:171" s="58" customFormat="1" x14ac:dyDescent="0.25">
      <c r="A6" s="53">
        <v>3.4435442165143506</v>
      </c>
      <c r="B6" s="54">
        <v>120</v>
      </c>
      <c r="C6" s="55">
        <v>0.19552144194493176</v>
      </c>
      <c r="D6" s="55">
        <v>0.39786989204462686</v>
      </c>
      <c r="E6" s="53">
        <v>3.4435442165143506</v>
      </c>
      <c r="F6" s="55">
        <v>0.21654572005565328</v>
      </c>
      <c r="G6" s="55">
        <v>0.50523364660407455</v>
      </c>
      <c r="H6" s="12">
        <f t="shared" si="88"/>
        <v>0.22676621932328164</v>
      </c>
      <c r="I6" s="12">
        <f t="shared" si="89"/>
        <v>0.46145041845044033</v>
      </c>
      <c r="J6" s="12">
        <f t="shared" si="0"/>
        <v>7.0307809725521794E-2</v>
      </c>
      <c r="K6" s="56">
        <f t="shared" si="61"/>
        <v>6.7302718697719865E-2</v>
      </c>
      <c r="L6" s="56">
        <f>SUM(K$3:$K6)</f>
        <v>0.25296597596281678</v>
      </c>
      <c r="M6" s="69">
        <f t="shared" si="90"/>
        <v>0.69903491175820132</v>
      </c>
      <c r="N6" s="55">
        <f t="shared" si="62"/>
        <v>1.5276458095088427E-4</v>
      </c>
      <c r="O6" s="57">
        <f t="shared" si="63"/>
        <v>1.0265500870415706E-8</v>
      </c>
      <c r="P6" s="53">
        <f>SUM(O$2:$O6)</f>
        <v>4.7688429583695914E-8</v>
      </c>
      <c r="Q6" s="55">
        <f t="shared" si="64"/>
        <v>1.0070833575766499E-3</v>
      </c>
      <c r="R6" s="54">
        <f t="shared" si="1"/>
        <v>0.3415832753158376</v>
      </c>
      <c r="S6" s="58">
        <f t="shared" si="65"/>
        <v>1.4763332675268217E-3</v>
      </c>
      <c r="T6" s="58">
        <f t="shared" si="66"/>
        <v>0.97899082368937451</v>
      </c>
      <c r="U6" s="58">
        <f t="shared" si="67"/>
        <v>4.233245699219226E-3</v>
      </c>
      <c r="V6" s="11">
        <f t="shared" si="68"/>
        <v>6.2206916067400284</v>
      </c>
      <c r="W6" s="55">
        <f t="shared" si="69"/>
        <v>4.2929216120925873E-2</v>
      </c>
      <c r="X6" s="56">
        <f t="shared" si="2"/>
        <v>-7.1280005294949156E-3</v>
      </c>
      <c r="Y6" s="55">
        <f t="shared" si="3"/>
        <v>1.1048600159353217E-2</v>
      </c>
      <c r="Z6" s="55">
        <f t="shared" si="4"/>
        <v>4.1343591000642327E-3</v>
      </c>
      <c r="AA6" s="55">
        <f t="shared" si="70"/>
        <v>1.0414365306794487E-2</v>
      </c>
      <c r="AB6" s="55"/>
      <c r="AC6" s="14">
        <f t="shared" si="71"/>
        <v>6.1652473092709252</v>
      </c>
      <c r="AD6" s="1">
        <f t="shared" si="72"/>
        <v>6.4562339221347438</v>
      </c>
      <c r="AE6" s="14">
        <f t="shared" si="73"/>
        <v>2.7671748168664578</v>
      </c>
      <c r="AF6" s="59">
        <f t="shared" si="5"/>
        <v>236.45019483337285</v>
      </c>
      <c r="AG6" s="60">
        <f t="shared" si="6"/>
        <v>259.29681737818163</v>
      </c>
      <c r="AH6" s="61">
        <f t="shared" si="7"/>
        <v>47.633431035544241</v>
      </c>
      <c r="AI6" s="60">
        <f t="shared" si="8"/>
        <v>129.76002148987999</v>
      </c>
      <c r="AJ6" s="7"/>
      <c r="AK6" s="12">
        <f t="shared" si="74"/>
        <v>0.69903491175820132</v>
      </c>
      <c r="AL6" s="28">
        <f t="shared" si="9"/>
        <v>0.3415832753158376</v>
      </c>
      <c r="AM6" s="28">
        <f t="shared" si="75"/>
        <v>1.0214600339474598</v>
      </c>
      <c r="AN6" s="22">
        <f t="shared" si="91"/>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76"/>
        <v>0.22676621932328164</v>
      </c>
      <c r="BC6" s="12">
        <f t="shared" si="77"/>
        <v>0.46145041845044033</v>
      </c>
      <c r="BD6" s="55">
        <v>0.69915601481694889</v>
      </c>
      <c r="BE6" s="59">
        <f t="shared" si="19"/>
        <v>0.34176083703281229</v>
      </c>
      <c r="BF6" s="59">
        <f t="shared" si="20"/>
        <v>1.0209293347631312</v>
      </c>
      <c r="BG6" s="53">
        <f t="shared" si="78"/>
        <v>6.2174596487074689</v>
      </c>
      <c r="BH6" s="53">
        <f t="shared" si="21"/>
        <v>3.4394654891538181</v>
      </c>
      <c r="BI6" s="55">
        <f t="shared" si="22"/>
        <v>-6.9523331730382276E-3</v>
      </c>
      <c r="BJ6" s="53">
        <f t="shared" si="23"/>
        <v>-4.078727360532497E-3</v>
      </c>
      <c r="BK6" s="14">
        <f t="shared" si="79"/>
        <v>6.166315396564606</v>
      </c>
      <c r="BL6" s="14">
        <f t="shared" si="80"/>
        <v>6.4573524208861066</v>
      </c>
      <c r="BM6" s="14">
        <f t="shared" si="81"/>
        <v>2.7676542111410138</v>
      </c>
      <c r="BN6" s="14">
        <f t="shared" si="82"/>
        <v>236.40923853573841</v>
      </c>
      <c r="BO6" s="15">
        <f t="shared" si="83"/>
        <v>259.25190374368157</v>
      </c>
      <c r="BP6" s="16">
        <f t="shared" si="84"/>
        <v>47.625180295974253</v>
      </c>
      <c r="BQ6" s="60">
        <f t="shared" si="24"/>
        <v>129.73754533981833</v>
      </c>
      <c r="BR6" s="63">
        <f t="shared" si="25"/>
        <v>259.14620043712165</v>
      </c>
      <c r="BS6" s="63">
        <f t="shared" si="26"/>
        <v>47.559021626679282</v>
      </c>
      <c r="BT6" s="63">
        <f t="shared" si="27"/>
        <v>129.91279709921872</v>
      </c>
      <c r="BU6" s="11">
        <f t="shared" si="85"/>
        <v>-0.10570330655991711</v>
      </c>
      <c r="BV6" s="11">
        <f t="shared" si="86"/>
        <v>0.17525175940039617</v>
      </c>
      <c r="BW6" s="11">
        <f t="shared" si="87"/>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 t="shared" si="39"/>
        <v>3.1019900132466376E-5</v>
      </c>
      <c r="EU6" s="58">
        <f t="shared" si="40"/>
        <v>0.22941147974151938</v>
      </c>
      <c r="EV6" s="58">
        <f t="shared" si="41"/>
        <v>1.4221951132127267E-3</v>
      </c>
      <c r="EW6" s="58">
        <f t="shared" si="42"/>
        <v>0.17395728306459904</v>
      </c>
      <c r="EX6" s="58">
        <f t="shared" si="43"/>
        <v>2.31502948653005</v>
      </c>
      <c r="EY6" s="58">
        <f t="shared" si="44"/>
        <v>0.97674816749990367</v>
      </c>
      <c r="EZ6" s="58">
        <f t="shared" si="45"/>
        <v>7.1804603713197052E-2</v>
      </c>
      <c r="FA6" s="58">
        <f t="shared" si="46"/>
        <v>0.92900100561485754</v>
      </c>
      <c r="FB6" s="58">
        <f t="shared" si="47"/>
        <v>0.3831328995756893</v>
      </c>
      <c r="FC6" s="58">
        <f t="shared" si="48"/>
        <v>0.18888697688060768</v>
      </c>
      <c r="FD6" s="58">
        <f t="shared" si="49"/>
        <v>0.13529459127584353</v>
      </c>
      <c r="FE6" s="58">
        <f t="shared" si="50"/>
        <v>0.75041977441068575</v>
      </c>
      <c r="FF6" s="58">
        <f t="shared" si="51"/>
        <v>0.16764729563792177</v>
      </c>
      <c r="FG6" s="58">
        <f t="shared" si="52"/>
        <v>-0.16764729563792177</v>
      </c>
      <c r="FH6" s="58">
        <f t="shared" si="53"/>
        <v>0.67520988720534292</v>
      </c>
      <c r="FI6" s="58">
        <f t="shared" si="54"/>
        <v>1.5215220953144419</v>
      </c>
      <c r="FJ6" s="58">
        <f t="shared" si="55"/>
        <v>0.98830570548788377</v>
      </c>
      <c r="FK6" s="58">
        <f t="shared" si="56"/>
        <v>0.26796381045431683</v>
      </c>
      <c r="FL6" s="58">
        <f t="shared" si="57"/>
        <v>1.0508211698470813</v>
      </c>
      <c r="FM6" s="58">
        <f t="shared" si="58"/>
        <v>0.36030501591787484</v>
      </c>
      <c r="FN6" s="58">
        <f t="shared" si="59"/>
        <v>0.3257648540633496</v>
      </c>
      <c r="FO6" s="58">
        <f t="shared" si="60"/>
        <v>0.34206669442867488</v>
      </c>
    </row>
    <row r="7" spans="1:171" x14ac:dyDescent="0.25">
      <c r="A7" s="11">
        <v>4.4335631787622765</v>
      </c>
      <c r="B7" s="3">
        <v>150</v>
      </c>
      <c r="C7" s="12">
        <v>0.19396667455229902</v>
      </c>
      <c r="D7" s="12">
        <v>0.39485534054200722</v>
      </c>
      <c r="E7" s="11">
        <v>4.4335631787622765</v>
      </c>
      <c r="F7" s="12">
        <v>0.21474572005565329</v>
      </c>
      <c r="G7" s="12">
        <v>0.50523364660407455</v>
      </c>
      <c r="H7" s="12">
        <f t="shared" si="88"/>
        <v>0.22496299651535173</v>
      </c>
      <c r="I7" s="12">
        <f t="shared" si="89"/>
        <v>0.45795413466486506</v>
      </c>
      <c r="J7" s="12">
        <f t="shared" si="0"/>
        <v>6.8793892507287013E-2</v>
      </c>
      <c r="K7" s="13">
        <f t="shared" si="61"/>
        <v>6.8856661445722681E-2</v>
      </c>
      <c r="L7" s="13">
        <f>SUM(K$3:$K7)</f>
        <v>0.32182263740853945</v>
      </c>
      <c r="M7" s="69">
        <f t="shared" si="90"/>
        <v>0.69769553085384417</v>
      </c>
      <c r="N7" s="12">
        <f t="shared" si="62"/>
        <v>1.4984065271274547E-4</v>
      </c>
      <c r="O7" s="21">
        <f t="shared" si="63"/>
        <v>1.0840844214984978E-8</v>
      </c>
      <c r="P7" s="11">
        <f>SUM(O$2:$O7)</f>
        <v>5.8529273798680891E-8</v>
      </c>
      <c r="Q7" s="12">
        <f t="shared" si="64"/>
        <v>1.0090034764039212E-3</v>
      </c>
      <c r="R7" s="3">
        <f t="shared" si="1"/>
        <v>0.33962357033098339</v>
      </c>
      <c r="S7" s="1">
        <f t="shared" si="65"/>
        <v>1.4734852724939988E-3</v>
      </c>
      <c r="T7" s="1">
        <f t="shared" si="66"/>
        <v>0.97337423372156451</v>
      </c>
      <c r="U7" s="1">
        <f t="shared" si="67"/>
        <v>4.2250832357600045E-3</v>
      </c>
      <c r="V7" s="11">
        <f t="shared" si="68"/>
        <v>6.2565864073838373</v>
      </c>
      <c r="W7" s="12">
        <f t="shared" si="69"/>
        <v>4.3241865799697715E-2</v>
      </c>
      <c r="X7" s="13">
        <f t="shared" si="2"/>
        <v>-9.0769582243251934E-3</v>
      </c>
      <c r="Y7" s="12">
        <f t="shared" si="3"/>
        <v>1.1177218974881798E-2</v>
      </c>
      <c r="Z7" s="12">
        <f t="shared" si="4"/>
        <v>4.1411342488890607E-3</v>
      </c>
      <c r="AA7" s="12">
        <f t="shared" si="70"/>
        <v>1.0529832087588798E-2</v>
      </c>
      <c r="AB7" s="12"/>
      <c r="AC7" s="14">
        <f t="shared" si="71"/>
        <v>6.2027581572174926</v>
      </c>
      <c r="AD7" s="1">
        <f t="shared" si="72"/>
        <v>6.497876005845705</v>
      </c>
      <c r="AE7" s="14">
        <f t="shared" si="73"/>
        <v>2.761872791107248</v>
      </c>
      <c r="AF7" s="14">
        <f t="shared" si="5"/>
        <v>240.71721154344485</v>
      </c>
      <c r="AG7" s="15">
        <f t="shared" si="6"/>
        <v>264.16804754920889</v>
      </c>
      <c r="AH7" s="16">
        <f t="shared" si="7"/>
        <v>47.724873943111589</v>
      </c>
      <c r="AI7" s="15">
        <f t="shared" si="8"/>
        <v>133.54204565433966</v>
      </c>
      <c r="AJ7" s="7"/>
      <c r="AK7" s="12">
        <f t="shared" si="74"/>
        <v>0.69769553085384417</v>
      </c>
      <c r="AL7" s="14">
        <f t="shared" si="9"/>
        <v>0.33962357033098339</v>
      </c>
      <c r="AM7" s="14">
        <f t="shared" si="75"/>
        <v>1.0273540898824036</v>
      </c>
      <c r="AN7" s="11">
        <f t="shared" si="91"/>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76"/>
        <v>0.22496299651535173</v>
      </c>
      <c r="BC7" s="12">
        <f t="shared" si="77"/>
        <v>0.45795413466486506</v>
      </c>
      <c r="BD7" s="12">
        <v>0.69784471169930373</v>
      </c>
      <c r="BE7" s="14">
        <f t="shared" si="19"/>
        <v>0.3398414712481696</v>
      </c>
      <c r="BF7" s="14">
        <f t="shared" si="20"/>
        <v>1.0266953668677046</v>
      </c>
      <c r="BG7" s="11">
        <f t="shared" si="78"/>
        <v>6.2525747842243211</v>
      </c>
      <c r="BH7" s="11">
        <f t="shared" si="21"/>
        <v>4.4246515979753944</v>
      </c>
      <c r="BI7" s="12">
        <f t="shared" si="22"/>
        <v>-8.8593269183920853E-3</v>
      </c>
      <c r="BJ7" s="11">
        <f t="shared" si="23"/>
        <v>-8.911580786882034E-3</v>
      </c>
      <c r="BK7" s="14">
        <f t="shared" si="79"/>
        <v>6.2040844272954194</v>
      </c>
      <c r="BL7" s="14">
        <f t="shared" si="80"/>
        <v>6.4992653778473537</v>
      </c>
      <c r="BM7" s="14">
        <f t="shared" si="81"/>
        <v>2.7624633331127626</v>
      </c>
      <c r="BN7" s="14">
        <f t="shared" si="82"/>
        <v>240.66575253468162</v>
      </c>
      <c r="BO7" s="15">
        <f t="shared" si="83"/>
        <v>264.11157536848435</v>
      </c>
      <c r="BP7" s="16">
        <f t="shared" si="84"/>
        <v>47.714671620266799</v>
      </c>
      <c r="BQ7" s="15">
        <f t="shared" si="24"/>
        <v>133.51349787724666</v>
      </c>
      <c r="BR7" s="18">
        <f t="shared" si="25"/>
        <v>264.35245278492209</v>
      </c>
      <c r="BS7" s="18">
        <f t="shared" si="26"/>
        <v>47.736784681858424</v>
      </c>
      <c r="BT7" s="18">
        <f t="shared" si="27"/>
        <v>133.13984764891808</v>
      </c>
      <c r="BU7" s="11">
        <f t="shared" si="85"/>
        <v>0.24087741643774052</v>
      </c>
      <c r="BV7" s="11">
        <f t="shared" si="86"/>
        <v>-0.37365022832858585</v>
      </c>
      <c r="BW7" s="11">
        <f t="shared" si="87"/>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 t="shared" si="39"/>
        <v>3.1035829267100027E-5</v>
      </c>
      <c r="EU7" s="1">
        <f t="shared" si="40"/>
        <v>0.24212047732400965</v>
      </c>
      <c r="EV7" s="1">
        <f t="shared" si="41"/>
        <v>1.4276607906998035E-3</v>
      </c>
      <c r="EW7" s="1">
        <f t="shared" si="42"/>
        <v>0.18319435796159117</v>
      </c>
      <c r="EX7" s="1">
        <f t="shared" si="43"/>
        <v>2.4079482917592623</v>
      </c>
      <c r="EY7" s="1">
        <f t="shared" si="44"/>
        <v>1.031904845036363</v>
      </c>
      <c r="EZ7" s="1">
        <f t="shared" si="45"/>
        <v>7.2116839187395962E-2</v>
      </c>
      <c r="FA7" s="1">
        <f t="shared" si="46"/>
        <v>0.9738075152470822</v>
      </c>
      <c r="FB7" s="1">
        <f t="shared" si="47"/>
        <v>0.39128070326958386</v>
      </c>
      <c r="FC7" s="1">
        <f t="shared" si="48"/>
        <v>0.19494462441682101</v>
      </c>
      <c r="FD7" s="1">
        <f t="shared" si="49"/>
        <v>0.13412632374876701</v>
      </c>
      <c r="FE7" s="1">
        <f t="shared" si="50"/>
        <v>0.7536070865252309</v>
      </c>
      <c r="FF7" s="1">
        <f t="shared" si="51"/>
        <v>0.16706316187438353</v>
      </c>
      <c r="FG7" s="1">
        <f t="shared" si="52"/>
        <v>-0.16706316187438353</v>
      </c>
      <c r="FH7" s="1">
        <f t="shared" si="53"/>
        <v>0.67680354326261538</v>
      </c>
      <c r="FI7" s="1">
        <f t="shared" si="54"/>
        <v>1.5517565181945465</v>
      </c>
      <c r="FJ7" s="1">
        <f t="shared" si="55"/>
        <v>1.0158271728184687</v>
      </c>
      <c r="FK7" s="1">
        <f t="shared" si="56"/>
        <v>0.26854578601682799</v>
      </c>
      <c r="FL7" s="1">
        <f t="shared" si="57"/>
        <v>1.0765581850866235</v>
      </c>
      <c r="FM7" s="1">
        <f t="shared" si="58"/>
        <v>0.36437926022783468</v>
      </c>
      <c r="FN7" s="1">
        <f t="shared" si="59"/>
        <v>0.32786088523199919</v>
      </c>
      <c r="FO7" s="1">
        <f t="shared" si="60"/>
        <v>0.34508201600907346</v>
      </c>
    </row>
    <row r="8" spans="1:171" x14ac:dyDescent="0.25">
      <c r="A8" s="11">
        <v>5.1222720220651237</v>
      </c>
      <c r="B8" s="3">
        <v>180</v>
      </c>
      <c r="C8" s="12">
        <v>0.19293671275490115</v>
      </c>
      <c r="D8" s="12">
        <v>0.39282249973818556</v>
      </c>
      <c r="E8" s="11">
        <v>5.1222720220651237</v>
      </c>
      <c r="F8" s="12">
        <v>0.21334572005565328</v>
      </c>
      <c r="G8" s="12">
        <v>0.50523364660407455</v>
      </c>
      <c r="H8" s="12">
        <f t="shared" si="88"/>
        <v>0.22376844444720004</v>
      </c>
      <c r="I8" s="12">
        <f t="shared" si="89"/>
        <v>0.45559644121199777</v>
      </c>
      <c r="J8" s="12">
        <f t="shared" si="0"/>
        <v>6.7807165094839389E-2</v>
      </c>
      <c r="K8" s="13">
        <f t="shared" si="61"/>
        <v>4.7039178187553043E-2</v>
      </c>
      <c r="L8" s="13">
        <f>SUM(K$3:$K8)</f>
        <v>0.36886181559609249</v>
      </c>
      <c r="M8" s="69">
        <f t="shared" si="90"/>
        <v>0.69678348463151085</v>
      </c>
      <c r="N8" s="12">
        <f t="shared" si="62"/>
        <v>1.4761406785215972E-4</v>
      </c>
      <c r="O8" s="21">
        <f t="shared" si="63"/>
        <v>5.0935317558639293E-9</v>
      </c>
      <c r="P8" s="11">
        <f>SUM(O$2:$O8)</f>
        <v>6.3622805554544815E-8</v>
      </c>
      <c r="Q8" s="12">
        <f t="shared" si="64"/>
        <v>1.0103129120707397E-3</v>
      </c>
      <c r="R8" s="13">
        <f t="shared" si="1"/>
        <v>0.3382934156696889</v>
      </c>
      <c r="S8" s="1">
        <f t="shared" si="65"/>
        <v>1.47154265331224E-3</v>
      </c>
      <c r="T8" s="1">
        <f t="shared" si="66"/>
        <v>0.96956195922922905</v>
      </c>
      <c r="U8" s="1">
        <f t="shared" si="67"/>
        <v>4.2195156143619529E-3</v>
      </c>
      <c r="V8" s="11">
        <f t="shared" si="68"/>
        <v>6.2811870268109073</v>
      </c>
      <c r="W8" s="12">
        <f t="shared" si="69"/>
        <v>4.3456547485372969E-2</v>
      </c>
      <c r="X8" s="13">
        <f t="shared" si="2"/>
        <v>-1.0410530561288933E-2</v>
      </c>
      <c r="Y8" s="12">
        <f t="shared" si="3"/>
        <v>1.1278206440085342E-2</v>
      </c>
      <c r="Z8" s="12">
        <f t="shared" si="4"/>
        <v>4.145757408750725E-3</v>
      </c>
      <c r="AA8" s="12">
        <f t="shared" si="70"/>
        <v>1.060770540737495E-2</v>
      </c>
      <c r="AB8" s="12"/>
      <c r="AC8" s="14">
        <f t="shared" si="71"/>
        <v>6.2277188935450862</v>
      </c>
      <c r="AD8" s="1">
        <f t="shared" si="72"/>
        <v>6.5319659044460625</v>
      </c>
      <c r="AE8" s="14">
        <f t="shared" si="73"/>
        <v>2.7582623972688185</v>
      </c>
      <c r="AF8" s="14">
        <f t="shared" si="5"/>
        <v>243.61258905558932</v>
      </c>
      <c r="AG8" s="15">
        <f t="shared" si="6"/>
        <v>267.99675983529244</v>
      </c>
      <c r="AH8" s="16">
        <f t="shared" si="7"/>
        <v>47.78734283330661</v>
      </c>
      <c r="AI8" s="15">
        <f t="shared" si="8"/>
        <v>135.84581799912456</v>
      </c>
      <c r="AJ8" s="7"/>
      <c r="AK8" s="12">
        <f t="shared" si="74"/>
        <v>0.69678348463151085</v>
      </c>
      <c r="AL8" s="14">
        <f t="shared" si="9"/>
        <v>0.3382934156696889</v>
      </c>
      <c r="AM8" s="14">
        <f t="shared" si="75"/>
        <v>1.0313936004615611</v>
      </c>
      <c r="AN8" s="11">
        <f t="shared" si="91"/>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76"/>
        <v>0.22376844444720004</v>
      </c>
      <c r="BC8" s="12">
        <f t="shared" si="77"/>
        <v>0.45559644121199777</v>
      </c>
      <c r="BD8" s="12">
        <v>0.69690162675774492</v>
      </c>
      <c r="BE8" s="14">
        <f t="shared" si="19"/>
        <v>0.3384655214149313</v>
      </c>
      <c r="BF8" s="14">
        <f t="shared" si="20"/>
        <v>1.0308691489206667</v>
      </c>
      <c r="BG8" s="11">
        <f t="shared" si="78"/>
        <v>6.2779931169268597</v>
      </c>
      <c r="BH8" s="11">
        <f t="shared" si="21"/>
        <v>5.1479981637622192</v>
      </c>
      <c r="BI8" s="12">
        <f t="shared" si="22"/>
        <v>-1.0237490670784943E-2</v>
      </c>
      <c r="BJ8" s="11">
        <f t="shared" si="23"/>
        <v>2.5726141697095528E-2</v>
      </c>
      <c r="BK8" s="14">
        <f t="shared" si="79"/>
        <v>6.2287748255065916</v>
      </c>
      <c r="BL8" s="14">
        <f t="shared" si="80"/>
        <v>6.5330734225739464</v>
      </c>
      <c r="BM8" s="14">
        <f t="shared" si="81"/>
        <v>2.758730070500909</v>
      </c>
      <c r="BN8" s="14">
        <f t="shared" si="82"/>
        <v>243.57129067409136</v>
      </c>
      <c r="BO8" s="15">
        <f t="shared" si="83"/>
        <v>267.95132773151317</v>
      </c>
      <c r="BP8" s="16">
        <f t="shared" si="84"/>
        <v>47.779241692381362</v>
      </c>
      <c r="BQ8" s="15">
        <f t="shared" si="24"/>
        <v>135.8227887606177</v>
      </c>
      <c r="BR8" s="18">
        <f t="shared" si="25"/>
        <v>268.15126764382006</v>
      </c>
      <c r="BS8" s="18">
        <f t="shared" si="26"/>
        <v>47.857241042902508</v>
      </c>
      <c r="BT8" s="18">
        <f t="shared" si="27"/>
        <v>135.5024842402359</v>
      </c>
      <c r="BU8" s="11">
        <f t="shared" si="85"/>
        <v>0.19993991230688835</v>
      </c>
      <c r="BV8" s="11">
        <f t="shared" si="86"/>
        <v>-0.32030452038179646</v>
      </c>
      <c r="BW8" s="11">
        <f t="shared" si="87"/>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 t="shared" si="39"/>
        <v>3.1046754272011949E-5</v>
      </c>
      <c r="EU8" s="1">
        <f t="shared" si="40"/>
        <v>0.25247082519408554</v>
      </c>
      <c r="EV8" s="1">
        <f t="shared" si="41"/>
        <v>1.4314006750075789E-3</v>
      </c>
      <c r="EW8" s="1">
        <f t="shared" si="42"/>
        <v>0.1896364216291411</v>
      </c>
      <c r="EX8" s="1">
        <f t="shared" si="43"/>
        <v>2.4823189845767741</v>
      </c>
      <c r="EY8" s="1">
        <f t="shared" si="44"/>
        <v>1.0684647393366078</v>
      </c>
      <c r="EZ8" s="1">
        <f t="shared" si="45"/>
        <v>7.2330704326624626E-2</v>
      </c>
      <c r="FA8" s="1">
        <f t="shared" si="46"/>
        <v>1.0040601454960918</v>
      </c>
      <c r="FB8" s="1">
        <f t="shared" si="47"/>
        <v>0.39761121934506904</v>
      </c>
      <c r="FC8" s="1">
        <f t="shared" si="48"/>
        <v>0.19868374484985862</v>
      </c>
      <c r="FD8" s="1">
        <f t="shared" si="49"/>
        <v>0.1322784019087177</v>
      </c>
      <c r="FE8" s="1">
        <f t="shared" si="50"/>
        <v>0.75869105339743015</v>
      </c>
      <c r="FF8" s="1">
        <f t="shared" si="51"/>
        <v>0.16613920095435886</v>
      </c>
      <c r="FG8" s="1">
        <f t="shared" si="52"/>
        <v>-0.16613920095435886</v>
      </c>
      <c r="FH8" s="1">
        <f t="shared" si="53"/>
        <v>0.67934552669871506</v>
      </c>
      <c r="FI8" s="1">
        <f t="shared" si="54"/>
        <v>1.5755376811034303</v>
      </c>
      <c r="FJ8" s="1">
        <f t="shared" si="55"/>
        <v>1.0336656806417672</v>
      </c>
      <c r="FK8" s="1">
        <f t="shared" si="56"/>
        <v>0.268943682444159</v>
      </c>
      <c r="FL8" s="1">
        <f t="shared" si="57"/>
        <v>1.0940454248088998</v>
      </c>
      <c r="FM8" s="1">
        <f t="shared" si="58"/>
        <v>0.3680871972145775</v>
      </c>
      <c r="FN8" s="1">
        <f t="shared" si="59"/>
        <v>0.329477467792403</v>
      </c>
      <c r="FO8" s="1">
        <f t="shared" si="60"/>
        <v>0.34765872851781859</v>
      </c>
    </row>
    <row r="9" spans="1:171" x14ac:dyDescent="0.25">
      <c r="A9" s="11">
        <v>5.7679365626615837</v>
      </c>
      <c r="B9" s="3">
        <v>210</v>
      </c>
      <c r="C9" s="12">
        <v>0.19199930220895281</v>
      </c>
      <c r="D9" s="12">
        <v>0.39099582353382406</v>
      </c>
      <c r="E9" s="11">
        <v>5.7679365626615837</v>
      </c>
      <c r="F9" s="12">
        <v>0.21174572005565329</v>
      </c>
      <c r="G9" s="12">
        <v>0.50423364660407455</v>
      </c>
      <c r="H9" s="12">
        <f t="shared" si="88"/>
        <v>0.22268123353394198</v>
      </c>
      <c r="I9" s="12">
        <f t="shared" si="89"/>
        <v>0.4534778579370875</v>
      </c>
      <c r="J9" s="12">
        <f t="shared" si="0"/>
        <v>6.7013107359622848E-2</v>
      </c>
      <c r="K9" s="13">
        <f t="shared" si="61"/>
        <v>4.3524334638699966E-2</v>
      </c>
      <c r="L9" s="13">
        <f>SUM(K$3:$K9)</f>
        <v>0.41238615023479247</v>
      </c>
      <c r="M9" s="69">
        <f t="shared" si="90"/>
        <v>0.69594170931186849</v>
      </c>
      <c r="N9" s="12">
        <f t="shared" si="62"/>
        <v>1.4548020576010275E-4</v>
      </c>
      <c r="O9" s="21">
        <f t="shared" si="63"/>
        <v>4.3650510903554069E-9</v>
      </c>
      <c r="P9" s="11">
        <f>SUM(O$2:$O9)</f>
        <v>6.7987856644900228E-8</v>
      </c>
      <c r="Q9" s="12">
        <f t="shared" si="64"/>
        <v>1.0115227535893519E-3</v>
      </c>
      <c r="R9" s="3">
        <f t="shared" si="1"/>
        <v>0.33706883226847162</v>
      </c>
      <c r="S9" s="1">
        <f t="shared" si="65"/>
        <v>1.4697472021147214E-3</v>
      </c>
      <c r="T9" s="1">
        <f t="shared" si="66"/>
        <v>0.96605225603452338</v>
      </c>
      <c r="U9" s="1">
        <f t="shared" si="67"/>
        <v>4.2143697820751485E-3</v>
      </c>
      <c r="V9" s="11">
        <f t="shared" si="68"/>
        <v>6.3040068091123667</v>
      </c>
      <c r="W9" s="12">
        <f t="shared" si="69"/>
        <v>4.3655981616949911E-2</v>
      </c>
      <c r="X9" s="13">
        <f t="shared" si="2"/>
        <v>-1.164600998661125E-2</v>
      </c>
      <c r="Y9" s="12">
        <f t="shared" si="3"/>
        <v>1.1394288644153329E-2</v>
      </c>
      <c r="Z9" s="12">
        <f t="shared" si="4"/>
        <v>4.1588312946318241E-3</v>
      </c>
      <c r="AA9" s="12">
        <f t="shared" si="70"/>
        <v>1.0679519383003475E-2</v>
      </c>
      <c r="AB9" s="12"/>
      <c r="AC9" s="14">
        <f t="shared" si="71"/>
        <v>6.2505645246103798</v>
      </c>
      <c r="AD9" s="1">
        <f t="shared" si="72"/>
        <v>6.5733721477718996</v>
      </c>
      <c r="AE9" s="14">
        <f t="shared" si="73"/>
        <v>2.7603937737948043</v>
      </c>
      <c r="AF9" s="14">
        <f t="shared" si="5"/>
        <v>246.29475257731019</v>
      </c>
      <c r="AG9" s="15">
        <f t="shared" si="6"/>
        <v>272.3912258785673</v>
      </c>
      <c r="AH9" s="16">
        <f t="shared" si="7"/>
        <v>48.0351058333938</v>
      </c>
      <c r="AI9" s="15">
        <f t="shared" si="8"/>
        <v>137.17630425989404</v>
      </c>
      <c r="AJ9" s="7"/>
      <c r="AK9" s="12">
        <f t="shared" si="74"/>
        <v>0.69594170931186849</v>
      </c>
      <c r="AL9" s="14">
        <f t="shared" si="9"/>
        <v>0.33706883226847162</v>
      </c>
      <c r="AM9" s="14">
        <f t="shared" si="75"/>
        <v>1.0351406911514562</v>
      </c>
      <c r="AN9" s="11">
        <f t="shared" si="91"/>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76"/>
        <v>0.22268123353394198</v>
      </c>
      <c r="BC9" s="12">
        <f t="shared" si="77"/>
        <v>0.4534778579370875</v>
      </c>
      <c r="BD9" s="12">
        <v>0.69597634475624881</v>
      </c>
      <c r="BE9" s="14">
        <f t="shared" si="19"/>
        <v>0.33711916023269917</v>
      </c>
      <c r="BF9" s="14">
        <f t="shared" si="20"/>
        <v>1.0349861567024536</v>
      </c>
      <c r="BG9" s="11">
        <f t="shared" si="78"/>
        <v>6.3030656943179428</v>
      </c>
      <c r="BH9" s="11">
        <f t="shared" si="21"/>
        <v>5.8699359499535397</v>
      </c>
      <c r="BI9" s="12">
        <f t="shared" si="22"/>
        <v>-1.1595086806355681E-2</v>
      </c>
      <c r="BJ9" s="11">
        <f t="shared" si="23"/>
        <v>0.10199938729195601</v>
      </c>
      <c r="BK9" s="14">
        <f t="shared" si="79"/>
        <v>6.25087560106555</v>
      </c>
      <c r="BL9" s="14">
        <f t="shared" si="80"/>
        <v>6.5736992896321569</v>
      </c>
      <c r="BM9" s="14">
        <f t="shared" si="81"/>
        <v>2.7605311523478364</v>
      </c>
      <c r="BN9" s="14">
        <f t="shared" si="82"/>
        <v>246.28249565468877</v>
      </c>
      <c r="BO9" s="15">
        <f t="shared" si="83"/>
        <v>272.37767025814327</v>
      </c>
      <c r="BP9" s="16">
        <f t="shared" si="84"/>
        <v>48.032715353819427</v>
      </c>
      <c r="BQ9" s="15">
        <f t="shared" si="24"/>
        <v>137.16947764532267</v>
      </c>
      <c r="BR9" s="18">
        <f t="shared" si="25"/>
        <v>271.92328455881176</v>
      </c>
      <c r="BS9" s="18">
        <f t="shared" si="26"/>
        <v>47.969192115608635</v>
      </c>
      <c r="BT9" s="18">
        <f t="shared" si="27"/>
        <v>137.85505524207844</v>
      </c>
      <c r="BU9" s="11">
        <f t="shared" si="85"/>
        <v>-0.4543856993315103</v>
      </c>
      <c r="BV9" s="11">
        <f t="shared" si="86"/>
        <v>0.68557759675576335</v>
      </c>
      <c r="BW9" s="11">
        <f t="shared" si="87"/>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 t="shared" si="39"/>
        <v>3.1056893699635565E-5</v>
      </c>
      <c r="EU9" s="1">
        <f t="shared" si="40"/>
        <v>0.26477497114035925</v>
      </c>
      <c r="EV9" s="1">
        <f t="shared" si="41"/>
        <v>1.4520241595921267E-3</v>
      </c>
      <c r="EW9" s="1">
        <f t="shared" si="42"/>
        <v>0.19573255447443588</v>
      </c>
      <c r="EX9" s="1">
        <f t="shared" si="43"/>
        <v>2.5691026898351716</v>
      </c>
      <c r="EY9" s="1">
        <f t="shared" si="44"/>
        <v>1.0968081669551708</v>
      </c>
      <c r="EZ9" s="1">
        <f t="shared" si="45"/>
        <v>7.3111812219726097E-2</v>
      </c>
      <c r="FA9" s="1">
        <f t="shared" si="46"/>
        <v>1.0280726549304726</v>
      </c>
      <c r="FB9" s="1">
        <f t="shared" si="47"/>
        <v>0.40635899884555565</v>
      </c>
      <c r="FC9" s="1">
        <f t="shared" si="48"/>
        <v>0.20173846718252345</v>
      </c>
      <c r="FD9" s="1">
        <f t="shared" si="49"/>
        <v>0.12913893471343496</v>
      </c>
      <c r="FE9" s="1">
        <f t="shared" si="50"/>
        <v>0.76745019468811104</v>
      </c>
      <c r="FF9" s="1">
        <f t="shared" si="51"/>
        <v>0.16456946735671749</v>
      </c>
      <c r="FG9" s="1">
        <f t="shared" si="52"/>
        <v>-0.16456946735671749</v>
      </c>
      <c r="FH9" s="1">
        <f t="shared" si="53"/>
        <v>0.68372509734405551</v>
      </c>
      <c r="FI9" s="1">
        <f t="shared" si="54"/>
        <v>1.6028420664042891</v>
      </c>
      <c r="FJ9" s="1">
        <f t="shared" si="55"/>
        <v>1.047286096038313</v>
      </c>
      <c r="FK9" s="1">
        <f t="shared" si="56"/>
        <v>0.27039196034595053</v>
      </c>
      <c r="FL9" s="1">
        <f t="shared" si="57"/>
        <v>1.1089848199230454</v>
      </c>
      <c r="FM9" s="1">
        <f t="shared" si="58"/>
        <v>0.37392486126948687</v>
      </c>
      <c r="FN9" s="1">
        <f t="shared" si="59"/>
        <v>0.33236450358738295</v>
      </c>
      <c r="FO9" s="1">
        <f t="shared" si="60"/>
        <v>0.35188589678133347</v>
      </c>
    </row>
    <row r="10" spans="1:171" x14ac:dyDescent="0.25">
      <c r="A10" s="11">
        <v>6.5857783140837629</v>
      </c>
      <c r="B10" s="3">
        <v>240</v>
      </c>
      <c r="C10" s="12">
        <v>0.19084422288837991</v>
      </c>
      <c r="D10" s="12">
        <v>0.38885470698427366</v>
      </c>
      <c r="E10" s="11">
        <v>6.5857783140837629</v>
      </c>
      <c r="F10" s="12">
        <v>0.21074572005565329</v>
      </c>
      <c r="G10" s="12">
        <v>0.50423364660407455</v>
      </c>
      <c r="H10" s="12">
        <f t="shared" si="88"/>
        <v>0.22134156987383763</v>
      </c>
      <c r="I10" s="12">
        <f t="shared" si="89"/>
        <v>0.45099458602459414</v>
      </c>
      <c r="J10" s="12">
        <f t="shared" si="0"/>
        <v>6.5931277191928872E-2</v>
      </c>
      <c r="K10" s="13">
        <f t="shared" si="61"/>
        <v>5.4363734151692378E-2</v>
      </c>
      <c r="L10" s="13">
        <f>SUM(K$3:$K10)</f>
        <v>0.46674988438648485</v>
      </c>
      <c r="M10" s="69">
        <f t="shared" si="90"/>
        <v>0.69489314877420816</v>
      </c>
      <c r="N10" s="12">
        <f t="shared" si="62"/>
        <v>1.4393847616358112E-4</v>
      </c>
      <c r="O10" s="21">
        <f t="shared" si="63"/>
        <v>6.8066340632979484E-9</v>
      </c>
      <c r="P10" s="11">
        <f>SUM(O$2:$O10)</f>
        <v>7.4794490708198178E-8</v>
      </c>
      <c r="Q10" s="12">
        <f t="shared" si="64"/>
        <v>1.0130314161884931E-3</v>
      </c>
      <c r="R10" s="3">
        <f t="shared" si="1"/>
        <v>0.33554756336359531</v>
      </c>
      <c r="S10" s="1">
        <f t="shared" si="65"/>
        <v>1.4675071580966394E-3</v>
      </c>
      <c r="T10" s="1">
        <f t="shared" si="66"/>
        <v>0.96169224075900728</v>
      </c>
      <c r="U10" s="1">
        <f t="shared" si="67"/>
        <v>4.2079497296403949E-3</v>
      </c>
      <c r="V10" s="11">
        <f t="shared" si="68"/>
        <v>6.3325872268591041</v>
      </c>
      <c r="W10" s="12">
        <f t="shared" si="69"/>
        <v>4.3906156474283795E-2</v>
      </c>
      <c r="X10" s="13">
        <f t="shared" si="2"/>
        <v>-1.3191273713008433E-2</v>
      </c>
      <c r="Y10" s="12">
        <f t="shared" si="3"/>
        <v>1.1471347479583966E-2</v>
      </c>
      <c r="Z10" s="12">
        <f t="shared" si="4"/>
        <v>4.1641710847941998E-3</v>
      </c>
      <c r="AA10" s="12">
        <f t="shared" si="70"/>
        <v>1.0769232456070317E-2</v>
      </c>
      <c r="AB10" s="12"/>
      <c r="AC10" s="14">
        <f t="shared" si="71"/>
        <v>6.2789212995126942</v>
      </c>
      <c r="AD10" s="1">
        <f t="shared" si="72"/>
        <v>6.5946122046103923</v>
      </c>
      <c r="AE10" s="14">
        <f t="shared" si="73"/>
        <v>2.7562347473406108</v>
      </c>
      <c r="AF10" s="14">
        <f t="shared" si="5"/>
        <v>249.66131853683567</v>
      </c>
      <c r="AG10" s="15">
        <f t="shared" si="6"/>
        <v>275.39731679417224</v>
      </c>
      <c r="AH10" s="16">
        <f t="shared" si="7"/>
        <v>48.107588511468961</v>
      </c>
      <c r="AI10" s="15">
        <f t="shared" si="8"/>
        <v>140.57814238522946</v>
      </c>
      <c r="AJ10" s="7"/>
      <c r="AK10" s="12">
        <f t="shared" si="74"/>
        <v>0.69489314877420816</v>
      </c>
      <c r="AL10" s="14">
        <f t="shared" si="9"/>
        <v>0.33554756336359531</v>
      </c>
      <c r="AM10" s="14">
        <f t="shared" si="75"/>
        <v>1.0398336989916428</v>
      </c>
      <c r="AN10" s="11">
        <f t="shared" si="91"/>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76"/>
        <v>0.22134156987383763</v>
      </c>
      <c r="BC10" s="12">
        <f t="shared" si="77"/>
        <v>0.45099458602459414</v>
      </c>
      <c r="BD10" s="12">
        <v>0.69508992109573242</v>
      </c>
      <c r="BE10" s="14">
        <f t="shared" si="19"/>
        <v>0.33583269427142576</v>
      </c>
      <c r="BF10" s="14">
        <f t="shared" si="20"/>
        <v>1.0389508524682292</v>
      </c>
      <c r="BG10" s="11">
        <f t="shared" si="78"/>
        <v>6.3272106915315147</v>
      </c>
      <c r="BH10" s="11">
        <f t="shared" si="21"/>
        <v>6.5731018626206419</v>
      </c>
      <c r="BI10" s="12">
        <f t="shared" si="22"/>
        <v>-1.2900757154604925E-2</v>
      </c>
      <c r="BJ10" s="11">
        <f t="shared" si="23"/>
        <v>-1.2676451463121019E-2</v>
      </c>
      <c r="BK10" s="14">
        <f t="shared" si="79"/>
        <v>6.2806992964938884</v>
      </c>
      <c r="BL10" s="14">
        <f t="shared" si="80"/>
        <v>6.5964795955255893</v>
      </c>
      <c r="BM10" s="14">
        <f t="shared" si="81"/>
        <v>2.7570152280675497</v>
      </c>
      <c r="BN10" s="14">
        <f t="shared" si="82"/>
        <v>249.59064215993484</v>
      </c>
      <c r="BO10" s="15">
        <f t="shared" si="83"/>
        <v>275.319354838859</v>
      </c>
      <c r="BP10" s="16">
        <f t="shared" si="84"/>
        <v>48.09396978159382</v>
      </c>
      <c r="BQ10" s="15">
        <f t="shared" si="24"/>
        <v>140.53834625728513</v>
      </c>
      <c r="BR10" s="18">
        <f t="shared" si="25"/>
        <v>275.57910478277131</v>
      </c>
      <c r="BS10" s="18">
        <f t="shared" si="26"/>
        <v>48.070469546391635</v>
      </c>
      <c r="BT10" s="18">
        <f t="shared" si="27"/>
        <v>140.14138721534718</v>
      </c>
      <c r="BU10" s="11">
        <f t="shared" si="85"/>
        <v>0.25974994391231121</v>
      </c>
      <c r="BV10" s="11">
        <f t="shared" si="86"/>
        <v>-0.39695904193794718</v>
      </c>
      <c r="BW10" s="11">
        <f t="shared" si="87"/>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 t="shared" si="39"/>
        <v>3.1069599326058051E-5</v>
      </c>
      <c r="EU10" s="1">
        <f t="shared" si="40"/>
        <v>0.27322589979947404</v>
      </c>
      <c r="EV10" s="1">
        <f t="shared" si="41"/>
        <v>1.456409535826162E-3</v>
      </c>
      <c r="EW10" s="1">
        <f t="shared" si="42"/>
        <v>0.20356191627977407</v>
      </c>
      <c r="EX10" s="1">
        <f t="shared" si="43"/>
        <v>2.6296587139795355</v>
      </c>
      <c r="EY10" s="1">
        <f t="shared" si="44"/>
        <v>1.1461504991175242</v>
      </c>
      <c r="EZ10" s="1">
        <f t="shared" si="45"/>
        <v>7.3362028289187003E-2</v>
      </c>
      <c r="FA10" s="1">
        <f t="shared" si="46"/>
        <v>1.0662417166931568</v>
      </c>
      <c r="FB10" s="1">
        <f t="shared" si="47"/>
        <v>0.41163182524476977</v>
      </c>
      <c r="FC10" s="1">
        <f t="shared" si="48"/>
        <v>0.20720701075515616</v>
      </c>
      <c r="FD10" s="1">
        <f t="shared" si="49"/>
        <v>0.12991869627235778</v>
      </c>
      <c r="FE10" s="1">
        <f t="shared" si="50"/>
        <v>0.7652600973738507</v>
      </c>
      <c r="FF10" s="1">
        <f t="shared" si="51"/>
        <v>0.16495934813617891</v>
      </c>
      <c r="FG10" s="1">
        <f t="shared" si="52"/>
        <v>-0.16495934813617891</v>
      </c>
      <c r="FH10" s="1">
        <f t="shared" si="53"/>
        <v>0.68263004868692534</v>
      </c>
      <c r="FI10" s="1">
        <f t="shared" si="54"/>
        <v>1.6216222476210467</v>
      </c>
      <c r="FJ10" s="1">
        <f t="shared" si="55"/>
        <v>1.0705841859085741</v>
      </c>
      <c r="FK10" s="1">
        <f t="shared" si="56"/>
        <v>0.27085425654618572</v>
      </c>
      <c r="FL10" s="1">
        <f t="shared" si="57"/>
        <v>1.1293669602049077</v>
      </c>
      <c r="FM10" s="1">
        <f t="shared" si="58"/>
        <v>0.3757729591788696</v>
      </c>
      <c r="FN10" s="1">
        <f t="shared" si="59"/>
        <v>0.33368915553974748</v>
      </c>
      <c r="FO10" s="1">
        <f t="shared" si="60"/>
        <v>0.3534713898774442</v>
      </c>
    </row>
    <row r="11" spans="1:171" x14ac:dyDescent="0.25">
      <c r="A11" s="11">
        <v>7.274487157386611</v>
      </c>
      <c r="B11" s="3">
        <v>270</v>
      </c>
      <c r="C11" s="12">
        <v>0.18989875578343543</v>
      </c>
      <c r="D11" s="12">
        <v>0.3872428491668079</v>
      </c>
      <c r="E11" s="11">
        <v>7.274487157386611</v>
      </c>
      <c r="F11" s="12">
        <v>0.20914572005565329</v>
      </c>
      <c r="G11" s="12">
        <v>0.5046336466040745</v>
      </c>
      <c r="H11" s="12">
        <f t="shared" si="88"/>
        <v>0.22024501494487403</v>
      </c>
      <c r="I11" s="12">
        <f t="shared" si="89"/>
        <v>0.44912514961026817</v>
      </c>
      <c r="J11" s="12">
        <f t="shared" si="0"/>
        <v>6.50221549004492E-2</v>
      </c>
      <c r="K11" s="13">
        <f t="shared" si="61"/>
        <v>4.5094393371439889E-2</v>
      </c>
      <c r="L11" s="13">
        <f>SUM(K$3:$K11)</f>
        <v>0.51184427775792474</v>
      </c>
      <c r="M11" s="69">
        <f t="shared" si="90"/>
        <v>0.6940257685658715</v>
      </c>
      <c r="N11" s="12">
        <f t="shared" si="62"/>
        <v>1.4137639436247103E-4</v>
      </c>
      <c r="O11" s="21">
        <f t="shared" si="63"/>
        <v>4.6994311607138134E-9</v>
      </c>
      <c r="P11" s="11">
        <f>SUM(O$2:$O11)</f>
        <v>7.9493921868911995E-8</v>
      </c>
      <c r="Q11" s="12">
        <f t="shared" si="64"/>
        <v>1.0142806575692159E-3</v>
      </c>
      <c r="R11" s="3">
        <f t="shared" si="1"/>
        <v>0.33429261858948089</v>
      </c>
      <c r="S11" s="1">
        <f t="shared" si="65"/>
        <v>1.465651071014774E-3</v>
      </c>
      <c r="T11" s="1">
        <f t="shared" si="66"/>
        <v>0.9580955207001608</v>
      </c>
      <c r="U11" s="1">
        <f t="shared" si="67"/>
        <v>4.2026301125735631E-3</v>
      </c>
      <c r="V11" s="11">
        <f t="shared" si="68"/>
        <v>6.3563599541197364</v>
      </c>
      <c r="W11" s="12">
        <f t="shared" si="69"/>
        <v>4.4114580764170713E-2</v>
      </c>
      <c r="X11" s="13">
        <f t="shared" si="2"/>
        <v>-1.4474828690472008E-2</v>
      </c>
      <c r="Y11" s="12">
        <f t="shared" si="3"/>
        <v>1.1591141756812581E-2</v>
      </c>
      <c r="Z11" s="12">
        <f t="shared" si="4"/>
        <v>4.1650641697307724E-3</v>
      </c>
      <c r="AA11" s="12">
        <f t="shared" si="70"/>
        <v>1.0843686537276222E-2</v>
      </c>
      <c r="AB11" s="12"/>
      <c r="AC11" s="14">
        <f t="shared" si="71"/>
        <v>6.3023062632276323</v>
      </c>
      <c r="AD11" s="1">
        <f t="shared" si="72"/>
        <v>6.6367675932473542</v>
      </c>
      <c r="AE11" s="14">
        <f t="shared" si="73"/>
        <v>2.7506123431773082</v>
      </c>
      <c r="AF11" s="14">
        <f t="shared" si="5"/>
        <v>252.4686693217576</v>
      </c>
      <c r="AG11" s="15">
        <f t="shared" si="6"/>
        <v>279.97657884096049</v>
      </c>
      <c r="AH11" s="16">
        <f t="shared" si="7"/>
        <v>48.091382041515033</v>
      </c>
      <c r="AI11" s="15">
        <f t="shared" si="8"/>
        <v>142.5319504791261</v>
      </c>
      <c r="AJ11" s="7"/>
      <c r="AK11" s="12">
        <f t="shared" si="74"/>
        <v>0.6940257685658715</v>
      </c>
      <c r="AL11" s="14">
        <f t="shared" si="9"/>
        <v>0.33429261858948089</v>
      </c>
      <c r="AM11" s="14">
        <f t="shared" si="75"/>
        <v>1.043737266686328</v>
      </c>
      <c r="AN11" s="11">
        <f t="shared" si="91"/>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76"/>
        <v>0.22024501494487403</v>
      </c>
      <c r="BC11" s="12">
        <f t="shared" si="77"/>
        <v>0.44912514961026817</v>
      </c>
      <c r="BD11" s="12">
        <v>0.69408575629434355</v>
      </c>
      <c r="BE11" s="14">
        <f t="shared" si="19"/>
        <v>0.33437930926770165</v>
      </c>
      <c r="BF11" s="14">
        <f t="shared" si="20"/>
        <v>1.0434666689279575</v>
      </c>
      <c r="BG11" s="11">
        <f t="shared" si="78"/>
        <v>6.3547120137712598</v>
      </c>
      <c r="BH11" s="11">
        <f t="shared" si="21"/>
        <v>7.3835269280588811</v>
      </c>
      <c r="BI11" s="12">
        <f t="shared" si="22"/>
        <v>-1.4385903466671013E-2</v>
      </c>
      <c r="BJ11" s="11">
        <f t="shared" si="23"/>
        <v>0.10903977067227011</v>
      </c>
      <c r="BK11" s="14">
        <f t="shared" si="79"/>
        <v>6.3028509995385722</v>
      </c>
      <c r="BL11" s="14">
        <f t="shared" si="80"/>
        <v>6.6373412385359698</v>
      </c>
      <c r="BM11" s="14">
        <f t="shared" si="81"/>
        <v>2.7508500908141365</v>
      </c>
      <c r="BN11" s="14">
        <f t="shared" si="82"/>
        <v>252.4468492197808</v>
      </c>
      <c r="BO11" s="15">
        <f t="shared" si="83"/>
        <v>279.95238131372736</v>
      </c>
      <c r="BP11" s="16">
        <f t="shared" si="84"/>
        <v>48.087225649107346</v>
      </c>
      <c r="BQ11" s="15">
        <f t="shared" si="24"/>
        <v>142.51963187459285</v>
      </c>
      <c r="BR11" s="18">
        <f t="shared" si="25"/>
        <v>279.77102113454646</v>
      </c>
      <c r="BS11" s="18">
        <f t="shared" si="26"/>
        <v>48.177912430661863</v>
      </c>
      <c r="BT11" s="18">
        <f t="shared" si="27"/>
        <v>142.77048527154255</v>
      </c>
      <c r="BU11" s="11">
        <f t="shared" si="85"/>
        <v>-0.18136017918089919</v>
      </c>
      <c r="BV11" s="11">
        <f t="shared" si="86"/>
        <v>0.25085339694970799</v>
      </c>
      <c r="BW11" s="11">
        <f t="shared" si="87"/>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 t="shared" si="39"/>
        <v>3.1080172778361246E-5</v>
      </c>
      <c r="EU11" s="1">
        <f t="shared" si="40"/>
        <v>0.28672490939649153</v>
      </c>
      <c r="EV11" s="1">
        <f t="shared" si="41"/>
        <v>1.4531220429080973E-3</v>
      </c>
      <c r="EW11" s="1">
        <f t="shared" si="42"/>
        <v>0.21024360276771353</v>
      </c>
      <c r="EX11" s="1">
        <f t="shared" si="43"/>
        <v>2.7230028294140776</v>
      </c>
      <c r="EY11" s="1">
        <f t="shared" si="44"/>
        <v>1.1819466244836816</v>
      </c>
      <c r="EZ11" s="1">
        <f t="shared" si="45"/>
        <v>7.3334755950108424E-2</v>
      </c>
      <c r="FA11" s="1">
        <f t="shared" si="46"/>
        <v>1.0969107327478633</v>
      </c>
      <c r="FB11" s="1">
        <f t="shared" si="47"/>
        <v>0.41847776230392414</v>
      </c>
      <c r="FC11" s="1">
        <f t="shared" si="48"/>
        <v>0.21013461790428739</v>
      </c>
      <c r="FD11" s="1">
        <f t="shared" si="49"/>
        <v>0.126498512050497</v>
      </c>
      <c r="FE11" s="1">
        <f t="shared" si="50"/>
        <v>0.77493933781879465</v>
      </c>
      <c r="FF11" s="1">
        <f t="shared" si="51"/>
        <v>0.16324925602524851</v>
      </c>
      <c r="FG11" s="1">
        <f t="shared" si="52"/>
        <v>-0.16324925602524851</v>
      </c>
      <c r="FH11" s="1">
        <f t="shared" si="53"/>
        <v>0.68746966890939731</v>
      </c>
      <c r="FI11" s="1">
        <f t="shared" si="54"/>
        <v>1.6501523655147963</v>
      </c>
      <c r="FJ11" s="1">
        <f t="shared" si="55"/>
        <v>1.0871736864382258</v>
      </c>
      <c r="FK11" s="1">
        <f t="shared" si="56"/>
        <v>0.27080390682209227</v>
      </c>
      <c r="FL11" s="1">
        <f t="shared" si="57"/>
        <v>1.1469007638142921</v>
      </c>
      <c r="FM11" s="1">
        <f t="shared" si="58"/>
        <v>0.38058899922887041</v>
      </c>
      <c r="FN11" s="1">
        <f t="shared" si="59"/>
        <v>0.33506454658330936</v>
      </c>
      <c r="FO11" s="1">
        <f t="shared" si="60"/>
        <v>0.35640626951996851</v>
      </c>
    </row>
    <row r="12" spans="1:171" x14ac:dyDescent="0.25">
      <c r="A12" s="11">
        <v>7.834063092570239</v>
      </c>
      <c r="B12" s="3">
        <v>300</v>
      </c>
      <c r="C12" s="12">
        <v>0.1891508537216991</v>
      </c>
      <c r="D12" s="12">
        <v>0.38607009792214575</v>
      </c>
      <c r="E12" s="11">
        <v>7.834063092570239</v>
      </c>
      <c r="F12" s="12">
        <v>0.20814572005565329</v>
      </c>
      <c r="G12" s="12">
        <v>0.50383364660407459</v>
      </c>
      <c r="H12" s="12">
        <f t="shared" si="88"/>
        <v>0.21937759640869217</v>
      </c>
      <c r="I12" s="12">
        <f t="shared" si="89"/>
        <v>0.44776499001184611</v>
      </c>
      <c r="J12" s="12">
        <f t="shared" si="0"/>
        <v>6.4407756455996668E-2</v>
      </c>
      <c r="K12" s="13">
        <f t="shared" si="61"/>
        <v>3.6212931844008638E-2</v>
      </c>
      <c r="L12" s="13">
        <f>SUM(K$3:$K12)</f>
        <v>0.54805720960193338</v>
      </c>
      <c r="M12" s="69">
        <f t="shared" si="90"/>
        <v>0.6933307872929303</v>
      </c>
      <c r="N12" s="12">
        <f t="shared" si="62"/>
        <v>1.4015569129308025E-4</v>
      </c>
      <c r="O12" s="21">
        <f t="shared" si="63"/>
        <v>3.0482080873313215E-9</v>
      </c>
      <c r="P12" s="11">
        <f>SUM(O$2:$O12)</f>
        <v>8.2542129956243318E-8</v>
      </c>
      <c r="Q12" s="12">
        <f t="shared" si="64"/>
        <v>1.0152823653699968E-3</v>
      </c>
      <c r="R12" s="3">
        <f t="shared" si="1"/>
        <v>0.33328936532078701</v>
      </c>
      <c r="S12" s="1">
        <f t="shared" si="65"/>
        <v>1.4641617884736504E-3</v>
      </c>
      <c r="T12" s="1">
        <f t="shared" si="66"/>
        <v>0.95522015819015638</v>
      </c>
      <c r="U12" s="1">
        <f t="shared" si="67"/>
        <v>4.1983617714485685E-3</v>
      </c>
      <c r="V12" s="11">
        <f t="shared" si="68"/>
        <v>6.3754935946270725</v>
      </c>
      <c r="W12" s="12">
        <f t="shared" si="69"/>
        <v>4.428255072125057E-2</v>
      </c>
      <c r="X12" s="13">
        <f t="shared" si="2"/>
        <v>-1.5506744712230458E-2</v>
      </c>
      <c r="Y12" s="12">
        <f t="shared" si="3"/>
        <v>1.1668154881392565E-2</v>
      </c>
      <c r="Z12" s="12">
        <f t="shared" si="4"/>
        <v>4.1756824562262313E-3</v>
      </c>
      <c r="AA12" s="12">
        <f t="shared" si="70"/>
        <v>1.090326493702074E-2</v>
      </c>
      <c r="AB12" s="12"/>
      <c r="AC12" s="14">
        <f t="shared" si="71"/>
        <v>6.3208896317861125</v>
      </c>
      <c r="AD12" s="1">
        <f t="shared" si="72"/>
        <v>6.6619749578088836</v>
      </c>
      <c r="AE12" s="14">
        <f t="shared" si="73"/>
        <v>2.7522210633057123</v>
      </c>
      <c r="AF12" s="14">
        <f t="shared" si="5"/>
        <v>254.72421247965286</v>
      </c>
      <c r="AG12" s="15">
        <f t="shared" si="6"/>
        <v>282.95658508024559</v>
      </c>
      <c r="AH12" s="16">
        <f t="shared" si="7"/>
        <v>48.292583822289842</v>
      </c>
      <c r="AI12" s="15">
        <f t="shared" si="8"/>
        <v>144.02285853477684</v>
      </c>
      <c r="AJ12" s="7"/>
      <c r="AK12" s="12">
        <f t="shared" si="74"/>
        <v>0.6933307872929303</v>
      </c>
      <c r="AL12" s="14">
        <f t="shared" si="9"/>
        <v>0.33328936532078701</v>
      </c>
      <c r="AM12" s="14">
        <f t="shared" si="75"/>
        <v>1.0468790795775158</v>
      </c>
      <c r="AN12" s="11">
        <f t="shared" si="91"/>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76"/>
        <v>0.21937759640869217</v>
      </c>
      <c r="BC12" s="12">
        <f t="shared" si="77"/>
        <v>0.44776499001184611</v>
      </c>
      <c r="BD12" s="12">
        <v>0.6934232686995061</v>
      </c>
      <c r="BE12" s="14">
        <f t="shared" si="19"/>
        <v>0.33342275265097754</v>
      </c>
      <c r="BF12" s="14">
        <f t="shared" si="20"/>
        <v>1.046460270709954</v>
      </c>
      <c r="BG12" s="11">
        <f t="shared" si="78"/>
        <v>6.3729430486236192</v>
      </c>
      <c r="BH12" s="11">
        <f t="shared" si="21"/>
        <v>7.9263694868012653</v>
      </c>
      <c r="BI12" s="12">
        <f t="shared" si="22"/>
        <v>-1.536924821793384E-2</v>
      </c>
      <c r="BJ12" s="11">
        <f t="shared" si="23"/>
        <v>9.2306394231026268E-2</v>
      </c>
      <c r="BK12" s="14">
        <f t="shared" si="79"/>
        <v>6.3217327571379238</v>
      </c>
      <c r="BL12" s="14">
        <f t="shared" si="80"/>
        <v>6.6628635795547559</v>
      </c>
      <c r="BM12" s="14">
        <f t="shared" si="81"/>
        <v>2.752588174185262</v>
      </c>
      <c r="BN12" s="14">
        <f t="shared" si="82"/>
        <v>254.69024007849123</v>
      </c>
      <c r="BO12" s="15">
        <f t="shared" si="83"/>
        <v>282.91884734606606</v>
      </c>
      <c r="BP12" s="16">
        <f t="shared" si="84"/>
        <v>48.286143072057371</v>
      </c>
      <c r="BQ12" s="15">
        <f t="shared" si="24"/>
        <v>144.00365030058907</v>
      </c>
      <c r="BR12" s="18">
        <f t="shared" si="25"/>
        <v>282.56628892604624</v>
      </c>
      <c r="BS12" s="18">
        <f t="shared" si="26"/>
        <v>48.244436403463517</v>
      </c>
      <c r="BT12" s="18">
        <f t="shared" si="27"/>
        <v>144.52804921819907</v>
      </c>
      <c r="BU12" s="11">
        <f t="shared" si="85"/>
        <v>-0.35255842001981819</v>
      </c>
      <c r="BV12" s="11">
        <f t="shared" si="86"/>
        <v>0.52439891761000013</v>
      </c>
      <c r="BW12" s="11">
        <f t="shared" si="87"/>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 t="shared" si="39"/>
        <v>3.1088685980358093E-5</v>
      </c>
      <c r="EU12" s="1">
        <f t="shared" si="40"/>
        <v>0.29568182024259848</v>
      </c>
      <c r="EV12" s="1">
        <f t="shared" si="41"/>
        <v>1.4699634407117264E-3</v>
      </c>
      <c r="EW12" s="1">
        <f t="shared" si="42"/>
        <v>0.21571278771972768</v>
      </c>
      <c r="EX12" s="1">
        <f t="shared" si="43"/>
        <v>2.7847797128723482</v>
      </c>
      <c r="EY12" s="1">
        <f t="shared" si="44"/>
        <v>1.2100137547669985</v>
      </c>
      <c r="EZ12" s="1">
        <f t="shared" si="45"/>
        <v>7.3974177766644916E-2</v>
      </c>
      <c r="FA12" s="1">
        <f t="shared" si="46"/>
        <v>1.1190919430857038</v>
      </c>
      <c r="FB12" s="1">
        <f t="shared" si="47"/>
        <v>0.42481771041878191</v>
      </c>
      <c r="FC12" s="1">
        <f t="shared" si="48"/>
        <v>0.21328922005064241</v>
      </c>
      <c r="FD12" s="1">
        <f t="shared" si="49"/>
        <v>0.12536369136177145</v>
      </c>
      <c r="FE12" s="1">
        <f t="shared" si="50"/>
        <v>0.77819335812558965</v>
      </c>
      <c r="FF12" s="1">
        <f t="shared" si="51"/>
        <v>0.16268184568088573</v>
      </c>
      <c r="FG12" s="1">
        <f t="shared" si="52"/>
        <v>-0.16268184568088573</v>
      </c>
      <c r="FH12" s="1">
        <f t="shared" si="53"/>
        <v>0.68909667906279481</v>
      </c>
      <c r="FI12" s="1">
        <f t="shared" si="54"/>
        <v>1.66876592512921</v>
      </c>
      <c r="FJ12" s="1">
        <f t="shared" si="55"/>
        <v>1.1000062521490497</v>
      </c>
      <c r="FK12" s="1">
        <f t="shared" si="56"/>
        <v>0.27198194382466812</v>
      </c>
      <c r="FL12" s="1">
        <f t="shared" si="57"/>
        <v>1.1595594232429236</v>
      </c>
      <c r="FM12" s="1">
        <f t="shared" si="58"/>
        <v>0.3842680378890016</v>
      </c>
      <c r="FN12" s="1">
        <f t="shared" si="59"/>
        <v>0.33716000550981945</v>
      </c>
      <c r="FO12" s="1">
        <f t="shared" si="60"/>
        <v>0.35922482262419181</v>
      </c>
    </row>
    <row r="13" spans="1:171" x14ac:dyDescent="0.25">
      <c r="A13" s="11">
        <v>8.5227719358730862</v>
      </c>
      <c r="B13" s="3">
        <v>330</v>
      </c>
      <c r="C13" s="12">
        <v>0.18825875165145373</v>
      </c>
      <c r="D13" s="12">
        <v>0.38477686045836157</v>
      </c>
      <c r="E13" s="11">
        <v>8.5227719358730862</v>
      </c>
      <c r="F13" s="12">
        <v>0.20734572005565327</v>
      </c>
      <c r="G13" s="12">
        <v>0.50403364660407457</v>
      </c>
      <c r="H13" s="12">
        <f t="shared" si="88"/>
        <v>0.21834293437005509</v>
      </c>
      <c r="I13" s="12">
        <f t="shared" si="89"/>
        <v>0.44626509021859395</v>
      </c>
      <c r="J13" s="12">
        <f t="shared" si="0"/>
        <v>6.3582325213876231E-2</v>
      </c>
      <c r="K13" s="13">
        <f t="shared" si="61"/>
        <v>4.407395055054756E-2</v>
      </c>
      <c r="L13" s="13">
        <f>SUM(K$3:$K13)</f>
        <v>0.59213116015248091</v>
      </c>
      <c r="M13" s="69">
        <f t="shared" si="90"/>
        <v>0.69248681671030432</v>
      </c>
      <c r="N13" s="12">
        <f t="shared" si="62"/>
        <v>1.3890838379065608E-4</v>
      </c>
      <c r="O13" s="21">
        <f t="shared" si="63"/>
        <v>4.5241558546774555E-9</v>
      </c>
      <c r="P13" s="11">
        <f>SUM(O$2:$O13)</f>
        <v>8.7066285810920778E-8</v>
      </c>
      <c r="Q13" s="12">
        <f t="shared" si="64"/>
        <v>1.0164996659044819E-3</v>
      </c>
      <c r="R13" s="3">
        <f t="shared" si="1"/>
        <v>0.33207373709915805</v>
      </c>
      <c r="S13" s="1">
        <f t="shared" si="65"/>
        <v>1.4623506238884507E-3</v>
      </c>
      <c r="T13" s="1">
        <f t="shared" si="66"/>
        <v>0.95173612088507398</v>
      </c>
      <c r="U13" s="1">
        <f t="shared" si="67"/>
        <v>4.1931709039874435E-3</v>
      </c>
      <c r="V13" s="11">
        <f t="shared" si="68"/>
        <v>6.3988324771540244</v>
      </c>
      <c r="W13" s="12">
        <f t="shared" si="69"/>
        <v>4.4487699609290852E-2</v>
      </c>
      <c r="X13" s="13">
        <f t="shared" si="2"/>
        <v>-1.6764061508428685E-2</v>
      </c>
      <c r="Y13" s="12">
        <f t="shared" si="3"/>
        <v>1.1732287521457522E-2</v>
      </c>
      <c r="Z13" s="12">
        <f t="shared" si="4"/>
        <v>4.1782275363312161E-3</v>
      </c>
      <c r="AA13" s="12">
        <f t="shared" si="70"/>
        <v>1.0975162054274496E-2</v>
      </c>
      <c r="AB13" s="12"/>
      <c r="AC13" s="14">
        <f t="shared" si="71"/>
        <v>6.3431117540689819</v>
      </c>
      <c r="AD13" s="1">
        <f t="shared" si="72"/>
        <v>6.6795380828158422</v>
      </c>
      <c r="AE13" s="14">
        <f t="shared" si="73"/>
        <v>2.7477801189501236</v>
      </c>
      <c r="AF13" s="14">
        <f t="shared" si="5"/>
        <v>257.45745167788135</v>
      </c>
      <c r="AG13" s="15">
        <f t="shared" si="6"/>
        <v>285.49177513197918</v>
      </c>
      <c r="AH13" s="16">
        <f t="shared" si="7"/>
        <v>48.313076582838384</v>
      </c>
      <c r="AI13" s="15">
        <f t="shared" si="8"/>
        <v>146.81413678515565</v>
      </c>
      <c r="AJ13" s="7"/>
      <c r="AK13" s="12">
        <f t="shared" si="74"/>
        <v>0.69248681671030432</v>
      </c>
      <c r="AL13" s="14">
        <f t="shared" si="9"/>
        <v>0.33207373709915805</v>
      </c>
      <c r="AM13" s="14">
        <f t="shared" si="75"/>
        <v>1.0507114083996756</v>
      </c>
      <c r="AN13" s="11">
        <f t="shared" si="91"/>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76"/>
        <v>0.21834293437005509</v>
      </c>
      <c r="BC13" s="12">
        <f t="shared" si="77"/>
        <v>0.44626509021859395</v>
      </c>
      <c r="BD13" s="12">
        <v>0.69270792350755728</v>
      </c>
      <c r="BE13" s="14">
        <f t="shared" si="19"/>
        <v>0.33239192600156636</v>
      </c>
      <c r="BF13" s="14">
        <f t="shared" si="20"/>
        <v>1.049705593626109</v>
      </c>
      <c r="BG13" s="11">
        <f t="shared" si="78"/>
        <v>6.3927070651830045</v>
      </c>
      <c r="BH13" s="11">
        <f t="shared" si="21"/>
        <v>8.5199138073620215</v>
      </c>
      <c r="BI13" s="12">
        <f t="shared" si="22"/>
        <v>-1.6434220217874662E-2</v>
      </c>
      <c r="BJ13" s="11">
        <f t="shared" si="23"/>
        <v>-2.8581285110647059E-3</v>
      </c>
      <c r="BK13" s="14">
        <f t="shared" si="79"/>
        <v>6.3451370707836343</v>
      </c>
      <c r="BL13" s="14">
        <f t="shared" si="80"/>
        <v>6.6816708183957578</v>
      </c>
      <c r="BM13" s="14">
        <f t="shared" si="81"/>
        <v>2.7486574683046467</v>
      </c>
      <c r="BN13" s="14">
        <f t="shared" si="82"/>
        <v>257.37527333021478</v>
      </c>
      <c r="BO13" s="15">
        <f t="shared" si="83"/>
        <v>285.40064845376554</v>
      </c>
      <c r="BP13" s="16">
        <f t="shared" si="84"/>
        <v>48.297655437408764</v>
      </c>
      <c r="BQ13" s="15">
        <f t="shared" si="24"/>
        <v>146.76727489362187</v>
      </c>
      <c r="BR13" s="18">
        <f t="shared" si="25"/>
        <v>285.61135743065904</v>
      </c>
      <c r="BS13" s="18">
        <f t="shared" si="26"/>
        <v>48.312271726725463</v>
      </c>
      <c r="BT13" s="18">
        <f t="shared" si="27"/>
        <v>146.44667877760955</v>
      </c>
      <c r="BU13" s="11">
        <f t="shared" si="85"/>
        <v>0.21070897689349977</v>
      </c>
      <c r="BV13" s="11">
        <f t="shared" si="86"/>
        <v>-0.32059611601232518</v>
      </c>
      <c r="BW13" s="11">
        <f t="shared" si="87"/>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 t="shared" si="39"/>
        <v>3.109907364757218E-5</v>
      </c>
      <c r="EU13" s="1">
        <f t="shared" si="40"/>
        <v>0.30333116566758817</v>
      </c>
      <c r="EV13" s="1">
        <f t="shared" si="41"/>
        <v>1.4700439329710369E-3</v>
      </c>
      <c r="EW13" s="1">
        <f t="shared" si="42"/>
        <v>0.22246035707931158</v>
      </c>
      <c r="EX13" s="1">
        <f t="shared" si="43"/>
        <v>2.8380783818751332</v>
      </c>
      <c r="EY13" s="1">
        <f t="shared" si="44"/>
        <v>1.2525703562501009</v>
      </c>
      <c r="EZ13" s="1">
        <f t="shared" si="45"/>
        <v>7.4060051457096182E-2</v>
      </c>
      <c r="FA13" s="1">
        <f t="shared" si="46"/>
        <v>1.1518280969545398</v>
      </c>
      <c r="FB13" s="1">
        <f t="shared" si="47"/>
        <v>0.42894908730088349</v>
      </c>
      <c r="FC13" s="1">
        <f t="shared" si="48"/>
        <v>0.21764696739246836</v>
      </c>
      <c r="FD13" s="1">
        <f t="shared" si="49"/>
        <v>0.12575292513785735</v>
      </c>
      <c r="FE13" s="1">
        <f t="shared" si="50"/>
        <v>0.77707483514899123</v>
      </c>
      <c r="FF13" s="1">
        <f t="shared" si="51"/>
        <v>0.16287646256892868</v>
      </c>
      <c r="FG13" s="1">
        <f t="shared" si="52"/>
        <v>-0.16287646256892868</v>
      </c>
      <c r="FH13" s="1">
        <f t="shared" si="53"/>
        <v>0.6885374175744956</v>
      </c>
      <c r="FI13" s="1">
        <f t="shared" si="54"/>
        <v>1.6846597228743652</v>
      </c>
      <c r="FJ13" s="1">
        <f t="shared" si="55"/>
        <v>1.1191828966929851</v>
      </c>
      <c r="FK13" s="1">
        <f t="shared" si="56"/>
        <v>0.27213976456426975</v>
      </c>
      <c r="FL13" s="1">
        <f t="shared" si="57"/>
        <v>1.1764198133269383</v>
      </c>
      <c r="FM13" s="1">
        <f t="shared" si="58"/>
        <v>0.3858157968139983</v>
      </c>
      <c r="FN13" s="1">
        <f t="shared" si="59"/>
        <v>0.33804822190275013</v>
      </c>
      <c r="FO13" s="1">
        <f t="shared" si="60"/>
        <v>0.36043159669577429</v>
      </c>
    </row>
    <row r="14" spans="1:171" x14ac:dyDescent="0.25">
      <c r="A14" s="11">
        <v>9.1253921737631298</v>
      </c>
      <c r="B14" s="3">
        <v>360</v>
      </c>
      <c r="C14" s="12">
        <v>0.18750571978017941</v>
      </c>
      <c r="D14" s="12">
        <v>0.38374368110821533</v>
      </c>
      <c r="E14" s="11">
        <v>9.1253921737631298</v>
      </c>
      <c r="F14" s="12">
        <v>0.20634572005565327</v>
      </c>
      <c r="G14" s="12">
        <v>0.50443364660407453</v>
      </c>
      <c r="H14" s="12">
        <f t="shared" si="88"/>
        <v>0.21746956626893954</v>
      </c>
      <c r="I14" s="12">
        <f t="shared" si="89"/>
        <v>0.44506680642534358</v>
      </c>
      <c r="J14" s="12">
        <f t="shared" si="0"/>
        <v>6.2874177611697807E-2</v>
      </c>
      <c r="K14" s="13">
        <f t="shared" si="61"/>
        <v>3.8102623907745201E-2</v>
      </c>
      <c r="L14" s="13">
        <f>SUM(K$3:$K14)</f>
        <v>0.63023378406022612</v>
      </c>
      <c r="M14" s="69">
        <f t="shared" si="90"/>
        <v>0.69175884509037111</v>
      </c>
      <c r="N14" s="12">
        <f t="shared" si="62"/>
        <v>1.3732168282651387E-4</v>
      </c>
      <c r="O14" s="21">
        <f t="shared" si="63"/>
        <v>3.400095117608118E-9</v>
      </c>
      <c r="P14" s="11">
        <f>SUM(O$2:$O14)</f>
        <v>9.0466380928528898E-8</v>
      </c>
      <c r="Q14" s="12">
        <f t="shared" si="64"/>
        <v>1.0175503483713353E-3</v>
      </c>
      <c r="R14" s="3">
        <f t="shared" si="1"/>
        <v>0.33102756750325524</v>
      </c>
      <c r="S14" s="1">
        <f t="shared" si="65"/>
        <v>1.460786019683415E-3</v>
      </c>
      <c r="T14" s="1">
        <f t="shared" si="66"/>
        <v>0.94873775852829678</v>
      </c>
      <c r="U14" s="1">
        <f t="shared" si="67"/>
        <v>4.1886866880725413E-3</v>
      </c>
      <c r="V14" s="11">
        <f t="shared" si="68"/>
        <v>6.4190551553960971</v>
      </c>
      <c r="W14" s="12">
        <f t="shared" si="69"/>
        <v>4.4665688694352355E-2</v>
      </c>
      <c r="X14" s="13">
        <f t="shared" si="2"/>
        <v>-1.7852265922046695E-2</v>
      </c>
      <c r="Y14" s="12">
        <f t="shared" si="3"/>
        <v>1.181113940155303E-2</v>
      </c>
      <c r="Z14" s="12">
        <f t="shared" si="4"/>
        <v>4.1784128206378921E-3</v>
      </c>
      <c r="AA14" s="12">
        <f t="shared" si="70"/>
        <v>1.103658370927338E-2</v>
      </c>
      <c r="AB14" s="12"/>
      <c r="AC14" s="14">
        <f t="shared" si="71"/>
        <v>6.3618910632753929</v>
      </c>
      <c r="AD14" s="1">
        <f t="shared" si="72"/>
        <v>6.7048528547507322</v>
      </c>
      <c r="AE14" s="14">
        <f t="shared" si="73"/>
        <v>2.7427149229532919</v>
      </c>
      <c r="AF14" s="14">
        <f t="shared" si="5"/>
        <v>259.80264240704486</v>
      </c>
      <c r="AG14" s="15">
        <f t="shared" si="6"/>
        <v>288.56895704265997</v>
      </c>
      <c r="AH14" s="16">
        <f t="shared" si="7"/>
        <v>48.287247074451592</v>
      </c>
      <c r="AI14" s="15">
        <f t="shared" si="8"/>
        <v>148.84499094033407</v>
      </c>
      <c r="AJ14" s="7"/>
      <c r="AK14" s="12">
        <f t="shared" si="74"/>
        <v>0.69175884509037111</v>
      </c>
      <c r="AL14" s="14">
        <f t="shared" si="9"/>
        <v>0.33102756750325524</v>
      </c>
      <c r="AM14" s="14">
        <f t="shared" si="75"/>
        <v>1.0540320452210339</v>
      </c>
      <c r="AN14" s="11">
        <f t="shared" si="91"/>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76"/>
        <v>0.21746956626893954</v>
      </c>
      <c r="BC14" s="12">
        <f t="shared" si="77"/>
        <v>0.44506680642534358</v>
      </c>
      <c r="BD14" s="12">
        <v>0.69198305522938908</v>
      </c>
      <c r="BE14" s="14">
        <f t="shared" si="19"/>
        <v>0.33134954587416565</v>
      </c>
      <c r="BF14" s="14">
        <f t="shared" si="20"/>
        <v>1.0530078231418627</v>
      </c>
      <c r="BG14" s="11">
        <f t="shared" si="78"/>
        <v>6.4128176429339421</v>
      </c>
      <c r="BH14" s="11">
        <f t="shared" si="21"/>
        <v>9.1292770191575698</v>
      </c>
      <c r="BI14" s="12">
        <f t="shared" si="22"/>
        <v>-1.7516740518962792E-2</v>
      </c>
      <c r="BJ14" s="11">
        <f t="shared" si="23"/>
        <v>3.8848453944400063E-3</v>
      </c>
      <c r="BK14" s="14">
        <f t="shared" si="79"/>
        <v>6.3639530542276406</v>
      </c>
      <c r="BL14" s="14">
        <f t="shared" si="80"/>
        <v>6.7070260051214543</v>
      </c>
      <c r="BM14" s="14">
        <f t="shared" si="81"/>
        <v>2.7436038808589642</v>
      </c>
      <c r="BN14" s="14">
        <f t="shared" si="82"/>
        <v>259.71846348657681</v>
      </c>
      <c r="BO14" s="15">
        <f t="shared" si="83"/>
        <v>288.47545751910093</v>
      </c>
      <c r="BP14" s="16">
        <f t="shared" si="84"/>
        <v>48.271601474031812</v>
      </c>
      <c r="BQ14" s="15">
        <f t="shared" si="24"/>
        <v>148.7967635222511</v>
      </c>
      <c r="BR14" s="18">
        <f t="shared" si="25"/>
        <v>288.72557922336136</v>
      </c>
      <c r="BS14" s="18">
        <f t="shared" si="26"/>
        <v>48.376678056593335</v>
      </c>
      <c r="BT14" s="18">
        <f t="shared" si="27"/>
        <v>148.41317110854635</v>
      </c>
      <c r="BU14" s="11">
        <f t="shared" si="85"/>
        <v>0.25012170426043667</v>
      </c>
      <c r="BV14" s="11">
        <f t="shared" si="86"/>
        <v>-0.38359241370474706</v>
      </c>
      <c r="BW14" s="11">
        <f t="shared" si="87"/>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 t="shared" si="39"/>
        <v>3.1108077125365428E-5</v>
      </c>
      <c r="EU14" s="1">
        <f t="shared" si="40"/>
        <v>0.31291636139588991</v>
      </c>
      <c r="EV14" s="1">
        <f t="shared" si="41"/>
        <v>1.4661445192291698E-3</v>
      </c>
      <c r="EW14" s="1">
        <f t="shared" si="42"/>
        <v>0.22835479420193544</v>
      </c>
      <c r="EX14" s="1">
        <f t="shared" si="43"/>
        <v>2.9033494964525968</v>
      </c>
      <c r="EY14" s="1">
        <f t="shared" si="44"/>
        <v>1.2870861570320051</v>
      </c>
      <c r="EZ14" s="1">
        <f t="shared" si="45"/>
        <v>7.399954856896851E-2</v>
      </c>
      <c r="FA14" s="1">
        <f t="shared" si="46"/>
        <v>1.1796973104211375</v>
      </c>
      <c r="FB14" s="1">
        <f t="shared" si="47"/>
        <v>0.43346618466600267</v>
      </c>
      <c r="FC14" s="1">
        <f t="shared" si="48"/>
        <v>0.22065125574322886</v>
      </c>
      <c r="FD14" s="1">
        <f t="shared" si="49"/>
        <v>0.12437604450019488</v>
      </c>
      <c r="FE14" s="1">
        <f t="shared" si="50"/>
        <v>0.7810429579193936</v>
      </c>
      <c r="FF14" s="1">
        <f t="shared" si="51"/>
        <v>0.16218802225009743</v>
      </c>
      <c r="FG14" s="1">
        <f t="shared" si="52"/>
        <v>-0.16218802225009743</v>
      </c>
      <c r="FH14" s="1">
        <f t="shared" si="53"/>
        <v>0.69052147895969673</v>
      </c>
      <c r="FI14" s="1">
        <f t="shared" si="54"/>
        <v>1.7039217988078552</v>
      </c>
      <c r="FJ14" s="1">
        <f t="shared" si="55"/>
        <v>1.1344981961343108</v>
      </c>
      <c r="FK14" s="1">
        <f t="shared" si="56"/>
        <v>0.27202858042670536</v>
      </c>
      <c r="FL14" s="1">
        <f t="shared" si="57"/>
        <v>1.1911937693976096</v>
      </c>
      <c r="FM14" s="1">
        <f t="shared" si="58"/>
        <v>0.38853193141875414</v>
      </c>
      <c r="FN14" s="1">
        <f t="shared" si="59"/>
        <v>0.33884197903671837</v>
      </c>
      <c r="FO14" s="1">
        <f t="shared" si="60"/>
        <v>0.36210224106785877</v>
      </c>
    </row>
    <row r="15" spans="1:171" x14ac:dyDescent="0.25">
      <c r="A15" s="11">
        <v>9.5558352008274561</v>
      </c>
      <c r="B15" s="3">
        <v>390</v>
      </c>
      <c r="C15" s="12">
        <v>0.18698292219101309</v>
      </c>
      <c r="D15" s="12">
        <v>0.38303388868104921</v>
      </c>
      <c r="E15" s="11">
        <v>9.5558352008274561</v>
      </c>
      <c r="F15" s="12">
        <v>0.20554572005565327</v>
      </c>
      <c r="G15" s="12">
        <v>0.50383364660407459</v>
      </c>
      <c r="H15" s="12">
        <f t="shared" si="88"/>
        <v>0.216863224419231</v>
      </c>
      <c r="I15" s="12">
        <f t="shared" si="89"/>
        <v>0.44424358753123327</v>
      </c>
      <c r="J15" s="12">
        <f t="shared" si="0"/>
        <v>6.2458237951210013E-2</v>
      </c>
      <c r="K15" s="13">
        <f t="shared" si="61"/>
        <v>2.6974232172091057E-2</v>
      </c>
      <c r="L15" s="13">
        <f>SUM(K$3:$K15)</f>
        <v>0.65720801623231717</v>
      </c>
      <c r="M15" s="69">
        <f t="shared" si="90"/>
        <v>0.69124441213842269</v>
      </c>
      <c r="N15" s="12">
        <f t="shared" si="62"/>
        <v>1.3635898908012113E-4</v>
      </c>
      <c r="O15" s="21">
        <f t="shared" si="63"/>
        <v>1.7104900764775685E-9</v>
      </c>
      <c r="P15" s="11">
        <f>SUM(O$2:$O15)</f>
        <v>9.2176871005006468E-8</v>
      </c>
      <c r="Q15" s="12">
        <f t="shared" si="64"/>
        <v>1.0182931896831821E-3</v>
      </c>
      <c r="R15" s="3">
        <f t="shared" si="1"/>
        <v>0.33028960130680834</v>
      </c>
      <c r="S15" s="1">
        <f t="shared" si="65"/>
        <v>1.4596790038132509E-3</v>
      </c>
      <c r="T15" s="1">
        <f t="shared" si="66"/>
        <v>0.94662271898531436</v>
      </c>
      <c r="U15" s="1">
        <f t="shared" si="67"/>
        <v>4.1855139379501378E-3</v>
      </c>
      <c r="V15" s="11">
        <f t="shared" si="68"/>
        <v>6.4333972530554471</v>
      </c>
      <c r="W15" s="12">
        <f t="shared" si="69"/>
        <v>4.479204980597197E-2</v>
      </c>
      <c r="X15" s="13">
        <f t="shared" si="2"/>
        <v>-1.8623337328145362E-2</v>
      </c>
      <c r="Y15" s="12">
        <f t="shared" si="3"/>
        <v>1.1874443200891866E-2</v>
      </c>
      <c r="Z15" s="12">
        <f t="shared" si="4"/>
        <v>4.1863623830211503E-3</v>
      </c>
      <c r="AA15" s="12">
        <f t="shared" si="70"/>
        <v>1.1079629417478146E-2</v>
      </c>
      <c r="AB15" s="12"/>
      <c r="AC15" s="14">
        <f t="shared" si="71"/>
        <v>6.3749343761682491</v>
      </c>
      <c r="AD15" s="1">
        <f t="shared" si="72"/>
        <v>6.7259431327615316</v>
      </c>
      <c r="AE15" s="14">
        <f t="shared" si="73"/>
        <v>2.7439390632107599</v>
      </c>
      <c r="AF15" s="14">
        <f t="shared" si="5"/>
        <v>261.45190241688061</v>
      </c>
      <c r="AG15" s="15">
        <f t="shared" si="6"/>
        <v>291.03602588201653</v>
      </c>
      <c r="AH15" s="16">
        <f t="shared" si="7"/>
        <v>48.43834477928926</v>
      </c>
      <c r="AI15" s="15">
        <f t="shared" si="8"/>
        <v>149.78315112573415</v>
      </c>
      <c r="AJ15" s="7"/>
      <c r="AK15" s="12">
        <f t="shared" si="74"/>
        <v>0.69124441213842269</v>
      </c>
      <c r="AL15" s="14">
        <f t="shared" si="9"/>
        <v>0.33028960130680834</v>
      </c>
      <c r="AM15" s="14">
        <f t="shared" si="75"/>
        <v>1.0563870694672328</v>
      </c>
      <c r="AN15" s="11">
        <f t="shared" si="91"/>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76"/>
        <v>0.216863224419231</v>
      </c>
      <c r="BC15" s="12">
        <f t="shared" si="77"/>
        <v>0.44424358753123327</v>
      </c>
      <c r="BD15" s="12">
        <v>0.69148022633616735</v>
      </c>
      <c r="BE15" s="14">
        <f t="shared" si="19"/>
        <v>0.33062774603414036</v>
      </c>
      <c r="BF15" s="14">
        <f t="shared" si="20"/>
        <v>1.0553066649281497</v>
      </c>
      <c r="BG15" s="11">
        <f t="shared" si="78"/>
        <v>6.4268175894124324</v>
      </c>
      <c r="BH15" s="11">
        <f t="shared" si="21"/>
        <v>9.5567131879295548</v>
      </c>
      <c r="BI15" s="12">
        <f t="shared" si="22"/>
        <v>-1.826966728102053E-2</v>
      </c>
      <c r="BJ15" s="11">
        <f t="shared" si="23"/>
        <v>8.7798710209874287E-4</v>
      </c>
      <c r="BK15" s="14">
        <f t="shared" si="79"/>
        <v>6.3771091496770005</v>
      </c>
      <c r="BL15" s="14">
        <f t="shared" si="80"/>
        <v>6.7282376509609945</v>
      </c>
      <c r="BM15" s="14">
        <f t="shared" si="81"/>
        <v>2.7448751428050229</v>
      </c>
      <c r="BN15" s="14">
        <f t="shared" si="82"/>
        <v>261.36273996758842</v>
      </c>
      <c r="BO15" s="15">
        <f t="shared" si="83"/>
        <v>290.93677441488234</v>
      </c>
      <c r="BP15" s="16">
        <f t="shared" si="84"/>
        <v>48.421825941903649</v>
      </c>
      <c r="BQ15" s="15">
        <f t="shared" si="24"/>
        <v>149.7320708601342</v>
      </c>
      <c r="BR15" s="18">
        <f t="shared" si="25"/>
        <v>290.90292381521692</v>
      </c>
      <c r="BS15" s="18">
        <f t="shared" si="26"/>
        <v>48.418738927257856</v>
      </c>
      <c r="BT15" s="18">
        <f t="shared" si="27"/>
        <v>149.79063175135568</v>
      </c>
      <c r="BU15" s="11">
        <f t="shared" si="85"/>
        <v>-3.3850599665413483E-2</v>
      </c>
      <c r="BV15" s="11">
        <f t="shared" si="86"/>
        <v>5.8560891221475231E-2</v>
      </c>
      <c r="BW15" s="11">
        <f t="shared" si="87"/>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 t="shared" si="39"/>
        <v>3.1114463895057283E-5</v>
      </c>
      <c r="EU15" s="1">
        <f t="shared" si="40"/>
        <v>0.32077211611971856</v>
      </c>
      <c r="EV15" s="1">
        <f t="shared" si="41"/>
        <v>1.4788503800757663E-3</v>
      </c>
      <c r="EW15" s="1">
        <f t="shared" si="42"/>
        <v>0.23255826227459997</v>
      </c>
      <c r="EX15" s="1">
        <f t="shared" si="43"/>
        <v>2.9562284525344915</v>
      </c>
      <c r="EY15" s="1">
        <f t="shared" si="44"/>
        <v>1.3074172804751107</v>
      </c>
      <c r="EZ15" s="1">
        <f t="shared" si="45"/>
        <v>7.4481884548238536E-2</v>
      </c>
      <c r="FA15" s="1">
        <f t="shared" si="46"/>
        <v>1.1959647700761549</v>
      </c>
      <c r="FB15" s="1">
        <f t="shared" si="47"/>
        <v>0.4386300365638322</v>
      </c>
      <c r="FC15" s="1">
        <f t="shared" si="48"/>
        <v>0.22278544858301855</v>
      </c>
      <c r="FD15" s="1">
        <f t="shared" si="49"/>
        <v>0.12306024518081946</v>
      </c>
      <c r="FE15" s="1">
        <f t="shared" si="50"/>
        <v>0.78486514266977991</v>
      </c>
      <c r="FF15" s="1">
        <f t="shared" si="51"/>
        <v>0.16153012259040972</v>
      </c>
      <c r="FG15" s="1">
        <f t="shared" si="52"/>
        <v>-0.16153012259040972</v>
      </c>
      <c r="FH15" s="1">
        <f t="shared" si="53"/>
        <v>0.69243257133489</v>
      </c>
      <c r="FI15" s="1">
        <f t="shared" si="54"/>
        <v>1.719368620318078</v>
      </c>
      <c r="FJ15" s="1">
        <f t="shared" si="55"/>
        <v>1.143423491308059</v>
      </c>
      <c r="FK15" s="1">
        <f t="shared" si="56"/>
        <v>0.27291369432155388</v>
      </c>
      <c r="FL15" s="1">
        <f t="shared" si="57"/>
        <v>1.200451611998101</v>
      </c>
      <c r="FM15" s="1">
        <f t="shared" si="58"/>
        <v>0.39177139669334315</v>
      </c>
      <c r="FN15" s="1">
        <f t="shared" si="59"/>
        <v>0.3404728642731471</v>
      </c>
      <c r="FO15" s="1">
        <f t="shared" si="60"/>
        <v>0.36446119298986296</v>
      </c>
    </row>
    <row r="16" spans="1:171" s="58" customFormat="1" x14ac:dyDescent="0.25">
      <c r="A16" s="53">
        <v>10.115411136011028</v>
      </c>
      <c r="B16" s="54">
        <v>420</v>
      </c>
      <c r="C16" s="55">
        <v>0.18631788772602825</v>
      </c>
      <c r="D16" s="55">
        <v>0.38210920584357133</v>
      </c>
      <c r="E16" s="53">
        <v>10.115411136011028</v>
      </c>
      <c r="F16" s="55">
        <v>0.20474572005565328</v>
      </c>
      <c r="G16" s="55">
        <v>0.50323364660407455</v>
      </c>
      <c r="H16" s="12">
        <f t="shared" si="88"/>
        <v>0.2160919159128894</v>
      </c>
      <c r="I16" s="12">
        <f t="shared" si="89"/>
        <v>0.44317113824361481</v>
      </c>
      <c r="J16" s="12">
        <f t="shared" si="0"/>
        <v>6.1918629238749787E-2</v>
      </c>
      <c r="K16" s="56">
        <f t="shared" si="61"/>
        <v>3.4799150886512351E-2</v>
      </c>
      <c r="L16" s="56">
        <f>SUM(K$3:$K16)</f>
        <v>0.69200716711882948</v>
      </c>
      <c r="M16" s="69">
        <f t="shared" si="90"/>
        <v>0.69058187719080544</v>
      </c>
      <c r="N16" s="55">
        <f t="shared" si="62"/>
        <v>1.3540186741751415E-4</v>
      </c>
      <c r="O16" s="57">
        <f t="shared" si="63"/>
        <v>2.8387457116006314E-9</v>
      </c>
      <c r="P16" s="53">
        <f>SUM(O$2:$O16)</f>
        <v>9.5015616716607097E-8</v>
      </c>
      <c r="Q16" s="55">
        <f t="shared" si="64"/>
        <v>1.0192502984531226E-3</v>
      </c>
      <c r="R16" s="54">
        <f t="shared" si="1"/>
        <v>0.32934079625144491</v>
      </c>
      <c r="S16" s="58">
        <f t="shared" si="65"/>
        <v>1.458251581568771E-3</v>
      </c>
      <c r="T16" s="58">
        <f t="shared" si="66"/>
        <v>0.94390340715187626</v>
      </c>
      <c r="U16" s="58">
        <f t="shared" si="67"/>
        <v>4.1814228908179738E-3</v>
      </c>
      <c r="V16" s="11">
        <f t="shared" si="68"/>
        <v>6.4519313669773659</v>
      </c>
      <c r="W16" s="55">
        <f t="shared" si="69"/>
        <v>4.4955503426311751E-2</v>
      </c>
      <c r="X16" s="56">
        <f t="shared" si="2"/>
        <v>-1.9618935168832841E-2</v>
      </c>
      <c r="Y16" s="55">
        <f t="shared" si="3"/>
        <v>1.1939310377574588E-2</v>
      </c>
      <c r="Z16" s="55">
        <f t="shared" si="4"/>
        <v>4.1950926500362818E-3</v>
      </c>
      <c r="AA16" s="55">
        <f t="shared" si="70"/>
        <v>1.1134851581915821E-2</v>
      </c>
      <c r="AB16" s="55"/>
      <c r="AC16" s="14">
        <f t="shared" si="71"/>
        <v>6.3915567990909166</v>
      </c>
      <c r="AD16" s="1">
        <f t="shared" si="72"/>
        <v>6.7457515302697786</v>
      </c>
      <c r="AE16" s="14">
        <f t="shared" si="73"/>
        <v>2.7445775212011192</v>
      </c>
      <c r="AF16" s="59">
        <f t="shared" si="5"/>
        <v>263.57428933874127</v>
      </c>
      <c r="AG16" s="60">
        <f t="shared" si="6"/>
        <v>293.5961930879696</v>
      </c>
      <c r="AH16" s="61">
        <f t="shared" si="7"/>
        <v>48.600500634916159</v>
      </c>
      <c r="AI16" s="60">
        <f t="shared" si="8"/>
        <v>151.36233619429481</v>
      </c>
      <c r="AJ16" s="7"/>
      <c r="AK16" s="12">
        <f t="shared" si="74"/>
        <v>0.69058187719080544</v>
      </c>
      <c r="AL16" s="40">
        <f t="shared" si="9"/>
        <v>0.32934079625144491</v>
      </c>
      <c r="AM16" s="28">
        <f t="shared" si="75"/>
        <v>1.0594304379273183</v>
      </c>
      <c r="AN16" s="22">
        <f t="shared" si="91"/>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76"/>
        <v>0.2160919159128894</v>
      </c>
      <c r="BC16" s="12">
        <f t="shared" si="77"/>
        <v>0.44317113824361481</v>
      </c>
      <c r="BD16" s="55">
        <v>0.69090337486906561</v>
      </c>
      <c r="BE16" s="59">
        <f t="shared" si="19"/>
        <v>0.32980098036105704</v>
      </c>
      <c r="BF16" s="59">
        <f t="shared" si="20"/>
        <v>1.0579521735139139</v>
      </c>
      <c r="BG16" s="53">
        <f t="shared" si="78"/>
        <v>6.4429287366997361</v>
      </c>
      <c r="BH16" s="53">
        <f t="shared" si="21"/>
        <v>10.051893367132232</v>
      </c>
      <c r="BI16" s="55">
        <f t="shared" si="22"/>
        <v>-1.9135459619710526E-2</v>
      </c>
      <c r="BJ16" s="53">
        <f t="shared" si="23"/>
        <v>-6.3517768878796232E-2</v>
      </c>
      <c r="BK16" s="14">
        <f t="shared" si="79"/>
        <v>6.3945323632336288</v>
      </c>
      <c r="BL16" s="14">
        <f t="shared" si="80"/>
        <v>6.7488919883772578</v>
      </c>
      <c r="BM16" s="14">
        <f t="shared" si="81"/>
        <v>2.7458552484772252</v>
      </c>
      <c r="BN16" s="14">
        <f t="shared" si="82"/>
        <v>263.45164046314778</v>
      </c>
      <c r="BO16" s="15">
        <f t="shared" si="83"/>
        <v>293.45957413681504</v>
      </c>
      <c r="BP16" s="16">
        <f t="shared" si="84"/>
        <v>48.577885391331101</v>
      </c>
      <c r="BQ16" s="60">
        <f t="shared" si="24"/>
        <v>151.29190284365194</v>
      </c>
      <c r="BR16" s="63">
        <f t="shared" si="25"/>
        <v>293.41814615908515</v>
      </c>
      <c r="BS16" s="63">
        <f t="shared" si="26"/>
        <v>48.464299260068337</v>
      </c>
      <c r="BT16" s="63">
        <f t="shared" si="27"/>
        <v>151.38446014600186</v>
      </c>
      <c r="BU16" s="11">
        <f t="shared" si="85"/>
        <v>-4.1427977729881604E-2</v>
      </c>
      <c r="BV16" s="11">
        <f t="shared" si="86"/>
        <v>9.2557302349916881E-2</v>
      </c>
      <c r="BW16" s="11">
        <f t="shared" si="87"/>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 t="shared" si="39"/>
        <v>3.1122719042489427E-5</v>
      </c>
      <c r="EU16" s="58">
        <f t="shared" si="40"/>
        <v>0.32899640952631382</v>
      </c>
      <c r="EV16" s="58">
        <f t="shared" si="41"/>
        <v>1.4923205765752321E-3</v>
      </c>
      <c r="EW16" s="58">
        <f t="shared" si="42"/>
        <v>0.23803950090007767</v>
      </c>
      <c r="EX16" s="58">
        <f t="shared" si="43"/>
        <v>3.0117350969407117</v>
      </c>
      <c r="EY16" s="58">
        <f t="shared" si="44"/>
        <v>1.3368460846727193</v>
      </c>
      <c r="EZ16" s="58">
        <f t="shared" si="45"/>
        <v>7.5004452538822305E-2</v>
      </c>
      <c r="FA16" s="58">
        <f t="shared" si="46"/>
        <v>1.2185769327410638</v>
      </c>
      <c r="FB16" s="58">
        <f t="shared" si="47"/>
        <v>0.44408764946734641</v>
      </c>
      <c r="FC16" s="58">
        <f t="shared" si="48"/>
        <v>0.22596295994285628</v>
      </c>
      <c r="FD16" s="58">
        <f t="shared" si="49"/>
        <v>0.12245694652874493</v>
      </c>
      <c r="FE16" s="58">
        <f t="shared" si="50"/>
        <v>0.7866275943453056</v>
      </c>
      <c r="FF16" s="58">
        <f t="shared" si="51"/>
        <v>0.16122847326437248</v>
      </c>
      <c r="FG16" s="58">
        <f t="shared" si="52"/>
        <v>-0.16122847326437248</v>
      </c>
      <c r="FH16" s="58">
        <f t="shared" si="53"/>
        <v>0.69331379717265285</v>
      </c>
      <c r="FI16" s="58">
        <f t="shared" si="54"/>
        <v>1.7354351318734769</v>
      </c>
      <c r="FJ16" s="58">
        <f t="shared" si="55"/>
        <v>1.1562206038091172</v>
      </c>
      <c r="FK16" s="58">
        <f t="shared" si="56"/>
        <v>0.27386940781843871</v>
      </c>
      <c r="FL16" s="58">
        <f t="shared" si="57"/>
        <v>1.2125925928721597</v>
      </c>
      <c r="FM16" s="58">
        <f t="shared" si="58"/>
        <v>0.39472600756107495</v>
      </c>
      <c r="FN16" s="58">
        <f t="shared" si="59"/>
        <v>0.34219542927492963</v>
      </c>
      <c r="FO16" s="58">
        <f t="shared" si="60"/>
        <v>0.36674932189575182</v>
      </c>
    </row>
    <row r="17" spans="1:171" x14ac:dyDescent="0.25">
      <c r="A17" s="11">
        <v>10.631942768488157</v>
      </c>
      <c r="B17" s="3">
        <v>450</v>
      </c>
      <c r="C17" s="12">
        <v>0.18571014495393662</v>
      </c>
      <c r="D17" s="12">
        <v>0.38121999542129603</v>
      </c>
      <c r="E17" s="11">
        <v>10.631942768488157</v>
      </c>
      <c r="F17" s="12">
        <v>0.20394572005565328</v>
      </c>
      <c r="G17" s="12">
        <v>0.50443364660407453</v>
      </c>
      <c r="H17" s="12">
        <f t="shared" si="88"/>
        <v>0.21538705444410439</v>
      </c>
      <c r="I17" s="12">
        <f t="shared" si="89"/>
        <v>0.44213982994496276</v>
      </c>
      <c r="J17" s="12">
        <f t="shared" si="0"/>
        <v>6.129087648946549E-2</v>
      </c>
      <c r="K17" s="13">
        <f t="shared" si="61"/>
        <v>3.1820803565247607E-2</v>
      </c>
      <c r="L17" s="13">
        <f>SUM(K$3:$K17)</f>
        <v>0.72382797068407712</v>
      </c>
      <c r="M17" s="69">
        <f t="shared" si="90"/>
        <v>0.68997715714342744</v>
      </c>
      <c r="N17" s="12">
        <f t="shared" si="62"/>
        <v>1.3390192775030208E-4</v>
      </c>
      <c r="O17" s="21">
        <f t="shared" si="63"/>
        <v>2.3727186493252283E-9</v>
      </c>
      <c r="P17" s="11">
        <f>SUM(O$2:$O17)</f>
        <v>9.7388335365932324E-8</v>
      </c>
      <c r="Q17" s="12">
        <f t="shared" si="64"/>
        <v>1.0201242601241022E-3</v>
      </c>
      <c r="R17" s="13">
        <f t="shared" si="1"/>
        <v>0.32847637462806339</v>
      </c>
      <c r="S17" s="1">
        <f t="shared" si="65"/>
        <v>1.4569470097662023E-3</v>
      </c>
      <c r="T17" s="1">
        <f t="shared" si="66"/>
        <v>0.94142594148466319</v>
      </c>
      <c r="U17" s="1">
        <f t="shared" si="67"/>
        <v>4.1776839377841123E-3</v>
      </c>
      <c r="V17" s="11">
        <f t="shared" si="68"/>
        <v>6.4689103323367592</v>
      </c>
      <c r="W17" s="12">
        <f t="shared" si="69"/>
        <v>4.5105398503328419E-2</v>
      </c>
      <c r="X17" s="13">
        <f t="shared" si="2"/>
        <v>-2.0530158631359652E-2</v>
      </c>
      <c r="Y17" s="12">
        <f t="shared" si="3"/>
        <v>1.2004408593322895E-2</v>
      </c>
      <c r="Z17" s="12">
        <f t="shared" si="4"/>
        <v>4.1875408237733412E-3</v>
      </c>
      <c r="AA17" s="12">
        <f t="shared" si="70"/>
        <v>1.1185717118330208E-2</v>
      </c>
      <c r="AB17" s="12"/>
      <c r="AC17" s="14">
        <f t="shared" si="71"/>
        <v>6.4068581923291505</v>
      </c>
      <c r="AD17" s="1">
        <f t="shared" si="72"/>
        <v>6.7662822927114581</v>
      </c>
      <c r="AE17" s="14">
        <f t="shared" si="73"/>
        <v>2.7356508107199455</v>
      </c>
      <c r="AF17" s="14">
        <f t="shared" si="5"/>
        <v>265.53474387603615</v>
      </c>
      <c r="AG17" s="15">
        <f t="shared" si="6"/>
        <v>296.16337934567673</v>
      </c>
      <c r="AH17" s="16">
        <f t="shared" si="7"/>
        <v>48.411936428603283</v>
      </c>
      <c r="AI17" s="15">
        <f t="shared" si="8"/>
        <v>153.39655328400929</v>
      </c>
      <c r="AJ17" s="7"/>
      <c r="AK17" s="12">
        <f t="shared" si="74"/>
        <v>0.68997715714342744</v>
      </c>
      <c r="AL17" s="14">
        <f t="shared" si="9"/>
        <v>0.32847637462806339</v>
      </c>
      <c r="AM17" s="14">
        <f t="shared" si="75"/>
        <v>1.0622184453754944</v>
      </c>
      <c r="AN17" s="11">
        <f t="shared" si="91"/>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76"/>
        <v>0.21538705444410439</v>
      </c>
      <c r="BC17" s="12">
        <f t="shared" si="77"/>
        <v>0.44213982994496276</v>
      </c>
      <c r="BD17" s="12">
        <v>0.70076247745953202</v>
      </c>
      <c r="BE17" s="14">
        <f t="shared" si="19"/>
        <v>0.34412206318973526</v>
      </c>
      <c r="BF17" s="14">
        <f t="shared" si="20"/>
        <v>1.0139241313557474</v>
      </c>
      <c r="BG17" s="11">
        <f t="shared" si="78"/>
        <v>6.1747979599565026</v>
      </c>
      <c r="BH17" s="11">
        <f t="shared" si="21"/>
        <v>2.2644891463951935</v>
      </c>
      <c r="BI17" s="12">
        <f t="shared" si="22"/>
        <v>-4.6306720512305777E-3</v>
      </c>
      <c r="BJ17" s="11">
        <f t="shared" si="23"/>
        <v>-8.3674536220929632</v>
      </c>
      <c r="BK17" s="14">
        <f t="shared" si="79"/>
        <v>6.5070064611649032</v>
      </c>
      <c r="BL17" s="14">
        <f t="shared" si="80"/>
        <v>6.8720488693590234</v>
      </c>
      <c r="BM17" s="14">
        <f t="shared" si="81"/>
        <v>2.7784129079302051</v>
      </c>
      <c r="BN17" s="14">
        <f t="shared" si="82"/>
        <v>261.44794219946772</v>
      </c>
      <c r="BO17" s="15">
        <f t="shared" si="83"/>
        <v>291.60517736585177</v>
      </c>
      <c r="BP17" s="16">
        <f t="shared" si="84"/>
        <v>47.666836258003002</v>
      </c>
      <c r="BQ17" s="15">
        <f t="shared" si="24"/>
        <v>151.03565210026971</v>
      </c>
      <c r="BR17" s="18">
        <f t="shared" si="25"/>
        <v>252.88627020864195</v>
      </c>
      <c r="BS17" s="18">
        <f t="shared" si="26"/>
        <v>47.325662943460095</v>
      </c>
      <c r="BT17" s="18">
        <f t="shared" si="27"/>
        <v>126.04953689120002</v>
      </c>
      <c r="BU17" s="11">
        <f t="shared" si="85"/>
        <v>-38.718907157209827</v>
      </c>
      <c r="BV17" s="11">
        <f t="shared" si="86"/>
        <v>-24.986115209069695</v>
      </c>
      <c r="BW17" s="11">
        <f t="shared" si="87"/>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 t="shared" si="39"/>
        <v>3.1130282975062905E-5</v>
      </c>
      <c r="EU17" s="1">
        <f t="shared" si="40"/>
        <v>0.33740654669036813</v>
      </c>
      <c r="EV17" s="1">
        <f t="shared" si="41"/>
        <v>1.4737261751521587E-3</v>
      </c>
      <c r="EW17" s="1">
        <f t="shared" si="42"/>
        <v>0.24317756043889166</v>
      </c>
      <c r="EX17" s="1">
        <f t="shared" si="43"/>
        <v>3.0679291895840399</v>
      </c>
      <c r="EY17" s="1">
        <f t="shared" si="44"/>
        <v>1.3699072555807035</v>
      </c>
      <c r="EZ17" s="1">
        <f t="shared" si="45"/>
        <v>7.4434255666538954E-2</v>
      </c>
      <c r="FA17" s="1">
        <f t="shared" si="46"/>
        <v>1.245559229362672</v>
      </c>
      <c r="FB17" s="1">
        <f t="shared" si="47"/>
        <v>0.44634110029633511</v>
      </c>
      <c r="FC17" s="1">
        <f t="shared" si="48"/>
        <v>0.22823300799464738</v>
      </c>
      <c r="FD17" s="1">
        <f t="shared" si="49"/>
        <v>0.12117874223009314</v>
      </c>
      <c r="FE17" s="1">
        <f t="shared" si="50"/>
        <v>0.79038266086113551</v>
      </c>
      <c r="FF17" s="1">
        <f t="shared" si="51"/>
        <v>0.16058937111504656</v>
      </c>
      <c r="FG17" s="1">
        <f t="shared" si="52"/>
        <v>-0.16058937111504656</v>
      </c>
      <c r="FH17" s="1">
        <f t="shared" si="53"/>
        <v>0.69519133043056769</v>
      </c>
      <c r="FI17" s="1">
        <f t="shared" si="54"/>
        <v>1.7515505101435243</v>
      </c>
      <c r="FJ17" s="1">
        <f t="shared" si="55"/>
        <v>1.1704303719490123</v>
      </c>
      <c r="FK17" s="1">
        <f t="shared" si="56"/>
        <v>0.27282642039681376</v>
      </c>
      <c r="FL17" s="1">
        <f t="shared" si="57"/>
        <v>1.2260956610022791</v>
      </c>
      <c r="FM17" s="1">
        <f t="shared" si="58"/>
        <v>0.39624612761506584</v>
      </c>
      <c r="FN17" s="1">
        <f t="shared" si="59"/>
        <v>0.34185571362496425</v>
      </c>
      <c r="FO17" s="1">
        <f t="shared" si="60"/>
        <v>0.36725540512521848</v>
      </c>
    </row>
    <row r="18" spans="1:171" x14ac:dyDescent="0.25">
      <c r="A18" s="11">
        <v>10.933252887433179</v>
      </c>
      <c r="B18" s="3">
        <v>480</v>
      </c>
      <c r="C18" s="12">
        <v>0.18535279504154922</v>
      </c>
      <c r="D18" s="12">
        <v>0.38067451549496861</v>
      </c>
      <c r="E18" s="11">
        <v>10.933252887433179</v>
      </c>
      <c r="F18" s="12">
        <v>0.2033457200556533</v>
      </c>
      <c r="G18" s="12">
        <v>0.50523364660407455</v>
      </c>
      <c r="H18" s="12">
        <f t="shared" si="88"/>
        <v>0.21497259919151673</v>
      </c>
      <c r="I18" s="12">
        <f t="shared" si="89"/>
        <v>0.44150718106829961</v>
      </c>
      <c r="J18" s="12">
        <f t="shared" si="0"/>
        <v>6.091833382282659E-2</v>
      </c>
      <c r="K18" s="13">
        <f t="shared" si="61"/>
        <v>1.8411435847686956E-2</v>
      </c>
      <c r="L18" s="13">
        <f>SUM(K$3:$K18)</f>
        <v>0.74223940653176412</v>
      </c>
      <c r="M18" s="69">
        <f t="shared" si="90"/>
        <v>0.68962775108165864</v>
      </c>
      <c r="N18" s="12">
        <f t="shared" si="62"/>
        <v>1.3282548711181843E-4</v>
      </c>
      <c r="O18" s="21">
        <f t="shared" si="63"/>
        <v>7.919065595810542E-10</v>
      </c>
      <c r="P18" s="11">
        <f>SUM(O$2:$O18)</f>
        <v>9.8180241925513379E-8</v>
      </c>
      <c r="Q18" s="12">
        <f t="shared" si="64"/>
        <v>1.0206293849027404E-3</v>
      </c>
      <c r="R18" s="3">
        <f t="shared" si="1"/>
        <v>0.32797760365671319</v>
      </c>
      <c r="S18" s="1">
        <f t="shared" si="65"/>
        <v>1.4561924720560835E-3</v>
      </c>
      <c r="T18" s="1">
        <f t="shared" si="66"/>
        <v>0.93999644466980015</v>
      </c>
      <c r="U18" s="1">
        <f t="shared" si="67"/>
        <v>4.1755214036446669E-3</v>
      </c>
      <c r="V18" s="11">
        <f t="shared" si="68"/>
        <v>6.4787479086043573</v>
      </c>
      <c r="W18" s="12">
        <f t="shared" si="69"/>
        <v>4.5192315565787469E-2</v>
      </c>
      <c r="X18" s="13">
        <f t="shared" si="2"/>
        <v>-2.1057754767198733E-2</v>
      </c>
      <c r="Y18" s="12">
        <f t="shared" si="3"/>
        <v>1.2052959932294034E-2</v>
      </c>
      <c r="Z18" s="12">
        <f t="shared" si="4"/>
        <v>4.1822564039299022E-3</v>
      </c>
      <c r="AA18" s="12">
        <f t="shared" si="70"/>
        <v>1.1215766633482843E-2</v>
      </c>
      <c r="AB18" s="12"/>
      <c r="AC18" s="14">
        <f t="shared" si="71"/>
        <v>6.4159595564760963</v>
      </c>
      <c r="AD18" s="1">
        <f t="shared" si="72"/>
        <v>6.7828105837970503</v>
      </c>
      <c r="AE18" s="14">
        <f t="shared" si="73"/>
        <v>2.7299359641504011</v>
      </c>
      <c r="AF18" s="14">
        <f t="shared" si="5"/>
        <v>266.69465819396208</v>
      </c>
      <c r="AG18" s="15">
        <f t="shared" si="6"/>
        <v>298.06464144643314</v>
      </c>
      <c r="AH18" s="16">
        <f t="shared" si="7"/>
        <v>48.283195112792512</v>
      </c>
      <c r="AI18" s="15">
        <f t="shared" si="8"/>
        <v>154.4432763421415</v>
      </c>
      <c r="AJ18" s="7"/>
      <c r="AK18" s="12">
        <f t="shared" si="74"/>
        <v>0.68962775108165864</v>
      </c>
      <c r="AL18" s="14">
        <f t="shared" si="9"/>
        <v>0.32797760365671319</v>
      </c>
      <c r="AM18" s="14">
        <f t="shared" si="75"/>
        <v>1.0638338109366763</v>
      </c>
      <c r="AN18" s="11">
        <f t="shared" si="91"/>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76"/>
        <v>0.21497259919151673</v>
      </c>
      <c r="BC18" s="12">
        <f t="shared" si="77"/>
        <v>0.44150718106829961</v>
      </c>
      <c r="BD18" s="12">
        <v>0.70047969348942407</v>
      </c>
      <c r="BE18" s="14">
        <f t="shared" si="19"/>
        <v>0.34370563276210564</v>
      </c>
      <c r="BF18" s="14">
        <f t="shared" si="20"/>
        <v>1.0151525920481468</v>
      </c>
      <c r="BG18" s="11">
        <f t="shared" si="78"/>
        <v>6.1822792855732125</v>
      </c>
      <c r="BH18" s="11">
        <f t="shared" si="21"/>
        <v>2.4688026280081901</v>
      </c>
      <c r="BI18" s="12">
        <f t="shared" si="22"/>
        <v>-5.0381935557137769E-3</v>
      </c>
      <c r="BJ18" s="11">
        <f t="shared" si="23"/>
        <v>-8.4644502594249893</v>
      </c>
      <c r="BK18" s="14">
        <f t="shared" si="79"/>
        <v>6.5169207250024863</v>
      </c>
      <c r="BL18" s="14">
        <f t="shared" si="80"/>
        <v>6.8895444988732599</v>
      </c>
      <c r="BM18" s="14">
        <f t="shared" si="81"/>
        <v>2.7728940786018303</v>
      </c>
      <c r="BN18" s="14">
        <f t="shared" si="82"/>
        <v>262.56298228946525</v>
      </c>
      <c r="BO18" s="15">
        <f t="shared" si="83"/>
        <v>293.4469767905814</v>
      </c>
      <c r="BP18" s="16">
        <f t="shared" si="84"/>
        <v>47.535184203273062</v>
      </c>
      <c r="BQ18" s="15">
        <f t="shared" si="24"/>
        <v>152.05061663236106</v>
      </c>
      <c r="BR18" s="18">
        <f t="shared" si="25"/>
        <v>253.97886604835733</v>
      </c>
      <c r="BS18" s="18">
        <f t="shared" si="26"/>
        <v>47.367947447631401</v>
      </c>
      <c r="BT18" s="18">
        <f t="shared" si="27"/>
        <v>126.72248368746151</v>
      </c>
      <c r="BU18" s="11">
        <f t="shared" si="85"/>
        <v>-39.46811074222407</v>
      </c>
      <c r="BV18" s="11">
        <f t="shared" si="86"/>
        <v>-25.328132944899551</v>
      </c>
      <c r="BW18" s="11">
        <f t="shared" si="87"/>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 t="shared" si="39"/>
        <v>3.1134666083992965E-5</v>
      </c>
      <c r="EU18" s="1">
        <f t="shared" si="40"/>
        <v>0.34377226112095521</v>
      </c>
      <c r="EV18" s="1">
        <f t="shared" si="41"/>
        <v>1.4612598627119255E-3</v>
      </c>
      <c r="EW18" s="1">
        <f t="shared" si="42"/>
        <v>0.24625349427500126</v>
      </c>
      <c r="EX18" s="1">
        <f t="shared" si="43"/>
        <v>3.1098547816911153</v>
      </c>
      <c r="EY18" s="1">
        <f t="shared" si="44"/>
        <v>1.38850511382608</v>
      </c>
      <c r="EZ18" s="1">
        <f t="shared" si="45"/>
        <v>7.4044477290257441E-2</v>
      </c>
      <c r="FA18" s="1">
        <f t="shared" si="46"/>
        <v>1.2613695720833382</v>
      </c>
      <c r="FB18" s="1">
        <f t="shared" si="47"/>
        <v>0.44807495914531653</v>
      </c>
      <c r="FC18" s="1">
        <f t="shared" si="48"/>
        <v>0.22924914747217828</v>
      </c>
      <c r="FD18" s="1">
        <f t="shared" si="49"/>
        <v>0.11974493932834644</v>
      </c>
      <c r="FE18" s="1">
        <f t="shared" si="50"/>
        <v>0.79462921701592415</v>
      </c>
      <c r="FF18" s="1">
        <f t="shared" si="51"/>
        <v>0.15987246966417323</v>
      </c>
      <c r="FG18" s="1">
        <f t="shared" si="52"/>
        <v>-0.15987246966417323</v>
      </c>
      <c r="FH18" s="1">
        <f t="shared" si="53"/>
        <v>0.69731460850796201</v>
      </c>
      <c r="FI18" s="1">
        <f t="shared" si="54"/>
        <v>1.7634780355000499</v>
      </c>
      <c r="FJ18" s="1">
        <f t="shared" si="55"/>
        <v>1.1783484687587453</v>
      </c>
      <c r="FK18" s="1">
        <f t="shared" si="56"/>
        <v>0.27211114877979081</v>
      </c>
      <c r="FL18" s="1">
        <f t="shared" si="57"/>
        <v>1.2342048058625885</v>
      </c>
      <c r="FM18" s="1">
        <f t="shared" si="58"/>
        <v>0.39774242504423213</v>
      </c>
      <c r="FN18" s="1">
        <f t="shared" si="59"/>
        <v>0.3416522184159983</v>
      </c>
      <c r="FO18" s="1">
        <f t="shared" si="60"/>
        <v>0.36781690059565636</v>
      </c>
    </row>
    <row r="19" spans="1:171" x14ac:dyDescent="0.25">
      <c r="A19" s="11">
        <v>11.148474400965315</v>
      </c>
      <c r="B19" s="3">
        <v>510</v>
      </c>
      <c r="C19" s="12">
        <v>0.18509361736470731</v>
      </c>
      <c r="D19" s="12">
        <v>0.3802705460036464</v>
      </c>
      <c r="E19" s="11">
        <v>11.148474400965315</v>
      </c>
      <c r="F19" s="12">
        <v>0.20234572005565329</v>
      </c>
      <c r="G19" s="12">
        <v>0.5056336466040745</v>
      </c>
      <c r="H19" s="12">
        <f t="shared" si="88"/>
        <v>0.2146720043241416</v>
      </c>
      <c r="I19" s="12">
        <f t="shared" si="89"/>
        <v>0.44103865632053879</v>
      </c>
      <c r="J19" s="12">
        <f t="shared" si="0"/>
        <v>6.0663700156712796E-2</v>
      </c>
      <c r="K19" s="13">
        <f t="shared" si="61"/>
        <v>1.3083534685696003E-2</v>
      </c>
      <c r="L19" s="13">
        <f>SUM(K$3:$K19)</f>
        <v>0.75532294121746013</v>
      </c>
      <c r="M19" s="69">
        <f t="shared" si="90"/>
        <v>0.68937967115441801</v>
      </c>
      <c r="N19" s="12">
        <f t="shared" si="62"/>
        <v>1.3133100972784838E-4</v>
      </c>
      <c r="O19" s="21">
        <f t="shared" si="63"/>
        <v>3.9732652985210963E-10</v>
      </c>
      <c r="P19" s="11">
        <f>SUM(O$2:$O19)</f>
        <v>9.8577568455365487E-8</v>
      </c>
      <c r="Q19" s="12">
        <f t="shared" si="64"/>
        <v>1.0209880895701263E-3</v>
      </c>
      <c r="R19" s="3">
        <f t="shared" si="1"/>
        <v>0.32762378062345249</v>
      </c>
      <c r="S19" s="1">
        <f t="shared" si="65"/>
        <v>1.4556564047631501E-3</v>
      </c>
      <c r="T19" s="1">
        <f t="shared" si="66"/>
        <v>0.93898237422840658</v>
      </c>
      <c r="U19" s="1">
        <f t="shared" si="67"/>
        <v>4.1739850141356179E-3</v>
      </c>
      <c r="V19" s="11">
        <f t="shared" si="68"/>
        <v>6.4857447457460076</v>
      </c>
      <c r="W19" s="12">
        <f t="shared" si="69"/>
        <v>4.525416445164096E-2</v>
      </c>
      <c r="X19" s="13">
        <f t="shared" si="2"/>
        <v>-2.1432837568130414E-2</v>
      </c>
      <c r="Y19" s="12">
        <f t="shared" si="3"/>
        <v>1.2132498937788476E-2</v>
      </c>
      <c r="Z19" s="12">
        <f t="shared" si="4"/>
        <v>4.17999780480326E-3</v>
      </c>
      <c r="AA19" s="12">
        <f t="shared" si="70"/>
        <v>1.1237609903760975E-2</v>
      </c>
      <c r="AB19" s="12"/>
      <c r="AC19" s="14">
        <f t="shared" si="71"/>
        <v>6.4226322693991982</v>
      </c>
      <c r="AD19" s="1">
        <f t="shared" si="72"/>
        <v>6.8138794432104675</v>
      </c>
      <c r="AE19" s="14">
        <f t="shared" si="73"/>
        <v>2.7267950848778142</v>
      </c>
      <c r="AF19" s="14">
        <f t="shared" si="5"/>
        <v>267.53830207740759</v>
      </c>
      <c r="AG19" s="15">
        <f t="shared" si="6"/>
        <v>301.12633840222907</v>
      </c>
      <c r="AH19" s="16">
        <f t="shared" si="7"/>
        <v>48.224180646451998</v>
      </c>
      <c r="AI19" s="15">
        <f t="shared" si="8"/>
        <v>154.29592262209286</v>
      </c>
      <c r="AJ19" s="7"/>
      <c r="AK19" s="12">
        <f t="shared" si="74"/>
        <v>0.68937967115441801</v>
      </c>
      <c r="AL19" s="14">
        <f t="shared" si="9"/>
        <v>0.32762378062345249</v>
      </c>
      <c r="AM19" s="14">
        <f t="shared" si="75"/>
        <v>1.0649827168712658</v>
      </c>
      <c r="AN19" s="11">
        <f t="shared" si="91"/>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76"/>
        <v>0.2146720043241416</v>
      </c>
      <c r="BC19" s="12">
        <f t="shared" si="77"/>
        <v>0.44103865632053879</v>
      </c>
      <c r="BD19" s="12">
        <v>0.70027881142857706</v>
      </c>
      <c r="BE19" s="14">
        <f t="shared" si="19"/>
        <v>0.34341001606688859</v>
      </c>
      <c r="BF19" s="14">
        <f t="shared" si="20"/>
        <v>1.0160264630488802</v>
      </c>
      <c r="BG19" s="11">
        <f t="shared" si="78"/>
        <v>6.187601159967679</v>
      </c>
      <c r="BH19" s="11">
        <f t="shared" si="21"/>
        <v>2.6145905953661366</v>
      </c>
      <c r="BI19" s="12">
        <f t="shared" si="22"/>
        <v>-5.3279857440495793E-3</v>
      </c>
      <c r="BJ19" s="11">
        <f t="shared" si="23"/>
        <v>-8.5338838055991779</v>
      </c>
      <c r="BK19" s="14">
        <f t="shared" si="79"/>
        <v>6.5241745297276754</v>
      </c>
      <c r="BL19" s="14">
        <f t="shared" si="80"/>
        <v>6.9216073484131213</v>
      </c>
      <c r="BM19" s="14">
        <f t="shared" si="81"/>
        <v>2.7699059037379103</v>
      </c>
      <c r="BN19" s="14">
        <f t="shared" si="82"/>
        <v>263.37433561795763</v>
      </c>
      <c r="BO19" s="15">
        <f t="shared" si="83"/>
        <v>296.43960770450246</v>
      </c>
      <c r="BP19" s="16">
        <f t="shared" si="84"/>
        <v>47.473619440123564</v>
      </c>
      <c r="BQ19" s="15">
        <f t="shared" si="24"/>
        <v>151.89446069443807</v>
      </c>
      <c r="BR19" s="18">
        <f t="shared" si="25"/>
        <v>254.75742755529402</v>
      </c>
      <c r="BS19" s="18">
        <f t="shared" si="26"/>
        <v>47.397676133934532</v>
      </c>
      <c r="BT19" s="18">
        <f t="shared" si="27"/>
        <v>127.20235839911709</v>
      </c>
      <c r="BU19" s="11">
        <f t="shared" si="85"/>
        <v>-41.682180149208449</v>
      </c>
      <c r="BV19" s="11">
        <f t="shared" si="86"/>
        <v>-24.692102295320979</v>
      </c>
      <c r="BW19" s="11">
        <f t="shared" si="87"/>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 t="shared" si="39"/>
        <v>3.1137783750945637E-5</v>
      </c>
      <c r="EU19" s="1">
        <f t="shared" si="40"/>
        <v>0.35434754130441048</v>
      </c>
      <c r="EV19" s="1">
        <f t="shared" si="41"/>
        <v>1.4553845701772998E-3</v>
      </c>
      <c r="EW19" s="1">
        <f t="shared" si="42"/>
        <v>0.24850841150930045</v>
      </c>
      <c r="EX19" s="1">
        <f t="shared" si="43"/>
        <v>3.1778305904307302</v>
      </c>
      <c r="EY19" s="1">
        <f t="shared" si="44"/>
        <v>1.3948567830630931</v>
      </c>
      <c r="EZ19" s="1">
        <f t="shared" si="45"/>
        <v>7.3868530117853839E-2</v>
      </c>
      <c r="FA19" s="1">
        <f t="shared" si="46"/>
        <v>1.2695675684958305</v>
      </c>
      <c r="FB19" s="1">
        <f t="shared" si="47"/>
        <v>0.45216953566973278</v>
      </c>
      <c r="FC19" s="1">
        <f t="shared" si="48"/>
        <v>0.22877907924006954</v>
      </c>
      <c r="FD19" s="1">
        <f t="shared" si="49"/>
        <v>0.11593647447257552</v>
      </c>
      <c r="FE19" s="1">
        <f t="shared" si="50"/>
        <v>0.80609030027192796</v>
      </c>
      <c r="FF19" s="1">
        <f t="shared" si="51"/>
        <v>0.15796823723628778</v>
      </c>
      <c r="FG19" s="1">
        <f t="shared" si="52"/>
        <v>-0.15796823723628778</v>
      </c>
      <c r="FH19" s="1">
        <f t="shared" si="53"/>
        <v>0.70304515013596403</v>
      </c>
      <c r="FI19" s="1">
        <f t="shared" si="54"/>
        <v>1.7826470739971865</v>
      </c>
      <c r="FJ19" s="1">
        <f t="shared" si="55"/>
        <v>1.1810405509816728</v>
      </c>
      <c r="FK19" s="1">
        <f t="shared" si="56"/>
        <v>0.27178765630148444</v>
      </c>
      <c r="FL19" s="1">
        <f t="shared" si="57"/>
        <v>1.2398713193386206</v>
      </c>
      <c r="FM19" s="1">
        <f t="shared" si="58"/>
        <v>0.40193092670959407</v>
      </c>
      <c r="FN19" s="1">
        <f t="shared" si="59"/>
        <v>0.34217825199073049</v>
      </c>
      <c r="FO19" s="1">
        <f t="shared" si="60"/>
        <v>0.36996665319021371</v>
      </c>
    </row>
    <row r="20" spans="1:171" x14ac:dyDescent="0.25">
      <c r="A20" s="11">
        <v>11.535873125323196</v>
      </c>
      <c r="B20" s="3">
        <v>540</v>
      </c>
      <c r="C20" s="12">
        <v>0.18461246669301723</v>
      </c>
      <c r="D20" s="12">
        <v>0.37951268340633953</v>
      </c>
      <c r="E20" s="11">
        <v>11.535873125323196</v>
      </c>
      <c r="F20" s="12">
        <v>0.20174572005565328</v>
      </c>
      <c r="G20" s="12">
        <v>0.50523364660407455</v>
      </c>
      <c r="H20" s="12">
        <f t="shared" si="88"/>
        <v>0.21411396466537747</v>
      </c>
      <c r="I20" s="12">
        <f t="shared" si="89"/>
        <v>0.44015968553222901</v>
      </c>
      <c r="J20" s="12">
        <f t="shared" si="0"/>
        <v>6.0279752024753046E-2</v>
      </c>
      <c r="K20" s="13">
        <f t="shared" si="61"/>
        <v>2.3426669547269144E-2</v>
      </c>
      <c r="L20" s="13">
        <f>SUM(K$3:$K20)</f>
        <v>0.77874961076472926</v>
      </c>
      <c r="M20" s="69">
        <f t="shared" si="90"/>
        <v>0.68893591827363032</v>
      </c>
      <c r="N20" s="12">
        <f t="shared" si="62"/>
        <v>1.30626905590321E-4</v>
      </c>
      <c r="O20" s="21">
        <f t="shared" si="63"/>
        <v>1.2682190157043404E-9</v>
      </c>
      <c r="P20" s="11">
        <f>SUM(O$2:$O20)</f>
        <v>9.9845787471069831E-8</v>
      </c>
      <c r="Q20" s="12">
        <f t="shared" si="64"/>
        <v>1.0216298479723681E-3</v>
      </c>
      <c r="R20" s="3">
        <f t="shared" si="1"/>
        <v>0.32699151466413368</v>
      </c>
      <c r="S20" s="1">
        <f t="shared" si="65"/>
        <v>1.4546967978604807E-3</v>
      </c>
      <c r="T20" s="1">
        <f t="shared" si="66"/>
        <v>0.93717027563624944</v>
      </c>
      <c r="U20" s="1">
        <f t="shared" si="67"/>
        <v>4.1712347437917506E-3</v>
      </c>
      <c r="V20" s="11">
        <f t="shared" si="68"/>
        <v>6.4982854859171351</v>
      </c>
      <c r="W20" s="12">
        <f t="shared" si="69"/>
        <v>4.5365081924775078E-2</v>
      </c>
      <c r="X20" s="13">
        <f t="shared" si="2"/>
        <v>-2.2104777696867473E-2</v>
      </c>
      <c r="Y20" s="12">
        <f t="shared" si="3"/>
        <v>1.218260801078733E-2</v>
      </c>
      <c r="Z20" s="12">
        <f t="shared" si="4"/>
        <v>4.1858026911558693E-3</v>
      </c>
      <c r="AA20" s="12">
        <f t="shared" si="70"/>
        <v>1.1278238236576511E-2</v>
      </c>
      <c r="AB20" s="12"/>
      <c r="AC20" s="14">
        <f t="shared" si="71"/>
        <v>6.4352263931062712</v>
      </c>
      <c r="AD20" s="1">
        <f t="shared" si="72"/>
        <v>6.8297450680349652</v>
      </c>
      <c r="AE20" s="14">
        <f t="shared" si="73"/>
        <v>2.7271972993260039</v>
      </c>
      <c r="AF20" s="14">
        <f t="shared" si="5"/>
        <v>269.10790005340004</v>
      </c>
      <c r="AG20" s="15">
        <f t="shared" si="6"/>
        <v>303.11524078772351</v>
      </c>
      <c r="AH20" s="16">
        <f t="shared" si="7"/>
        <v>48.331681332728877</v>
      </c>
      <c r="AI20" s="15">
        <f t="shared" si="8"/>
        <v>155.44086702078056</v>
      </c>
      <c r="AJ20" s="7"/>
      <c r="AK20" s="12">
        <f t="shared" si="74"/>
        <v>0.68893591827363032</v>
      </c>
      <c r="AL20" s="14">
        <f t="shared" si="9"/>
        <v>0.32699151466413368</v>
      </c>
      <c r="AM20" s="14">
        <f t="shared" si="75"/>
        <v>1.0670419517105312</v>
      </c>
      <c r="AN20" s="11">
        <f t="shared" si="91"/>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76"/>
        <v>0.21411396466537747</v>
      </c>
      <c r="BC20" s="12">
        <f t="shared" si="77"/>
        <v>0.44015968553222901</v>
      </c>
      <c r="BD20" s="12">
        <v>0.6999193250127862</v>
      </c>
      <c r="BE20" s="14">
        <f t="shared" si="19"/>
        <v>0.34288142143602313</v>
      </c>
      <c r="BF20" s="14">
        <f t="shared" si="20"/>
        <v>1.0175927950214192</v>
      </c>
      <c r="BG20" s="11">
        <f t="shared" si="78"/>
        <v>6.1971401216804427</v>
      </c>
      <c r="BH20" s="11">
        <f t="shared" si="21"/>
        <v>2.8768361286602655</v>
      </c>
      <c r="BI20" s="12">
        <f t="shared" si="22"/>
        <v>-5.8472032907718186E-3</v>
      </c>
      <c r="BJ20" s="11">
        <f t="shared" si="23"/>
        <v>-8.6590369966629304</v>
      </c>
      <c r="BK20" s="14">
        <f t="shared" si="79"/>
        <v>6.5378204182677875</v>
      </c>
      <c r="BL20" s="14">
        <f t="shared" si="80"/>
        <v>6.9386287334344194</v>
      </c>
      <c r="BM20" s="14">
        <f t="shared" si="81"/>
        <v>2.7706758238185065</v>
      </c>
      <c r="BN20" s="14">
        <f t="shared" si="82"/>
        <v>264.88495404036826</v>
      </c>
      <c r="BO20" s="15">
        <f t="shared" si="83"/>
        <v>298.35863833450793</v>
      </c>
      <c r="BP20" s="16">
        <f t="shared" si="84"/>
        <v>47.573241759060956</v>
      </c>
      <c r="BQ20" s="15">
        <f t="shared" si="24"/>
        <v>153.00162837517649</v>
      </c>
      <c r="BR20" s="18">
        <f t="shared" si="25"/>
        <v>256.15571111823749</v>
      </c>
      <c r="BS20" s="18">
        <f t="shared" si="26"/>
        <v>47.45022959238856</v>
      </c>
      <c r="BT20" s="18">
        <f t="shared" si="27"/>
        <v>128.06492787641378</v>
      </c>
      <c r="BU20" s="11">
        <f t="shared" si="85"/>
        <v>-42.202927216270439</v>
      </c>
      <c r="BV20" s="11">
        <f t="shared" si="86"/>
        <v>-24.936700498762718</v>
      </c>
      <c r="BW20" s="11">
        <f t="shared" si="87"/>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 t="shared" si="39"/>
        <v>3.1143372156623765E-5</v>
      </c>
      <c r="EU20" s="1">
        <f t="shared" si="40"/>
        <v>0.36118264103882824</v>
      </c>
      <c r="EV20" s="1">
        <f t="shared" si="41"/>
        <v>1.4641961448434344E-3</v>
      </c>
      <c r="EW20" s="1">
        <f t="shared" si="42"/>
        <v>0.25274518508152927</v>
      </c>
      <c r="EX20" s="1">
        <f t="shared" si="43"/>
        <v>3.2225998349282139</v>
      </c>
      <c r="EY20" s="1">
        <f t="shared" si="44"/>
        <v>1.417311007044308</v>
      </c>
      <c r="EZ20" s="1">
        <f t="shared" si="45"/>
        <v>7.4213600571663513E-2</v>
      </c>
      <c r="FA20" s="1">
        <f t="shared" si="46"/>
        <v>1.2867752439939899</v>
      </c>
      <c r="FB20" s="1">
        <f t="shared" si="47"/>
        <v>0.45625255798966824</v>
      </c>
      <c r="FC20" s="1">
        <f t="shared" si="48"/>
        <v>0.23104299433560532</v>
      </c>
      <c r="FD20" s="1">
        <f t="shared" si="49"/>
        <v>0.11537239677165748</v>
      </c>
      <c r="FE20" s="1">
        <f t="shared" si="50"/>
        <v>0.8078107852030505</v>
      </c>
      <c r="FF20" s="1">
        <f t="shared" si="51"/>
        <v>0.15768619838582876</v>
      </c>
      <c r="FG20" s="1">
        <f t="shared" si="52"/>
        <v>-0.15768619838582876</v>
      </c>
      <c r="FH20" s="1">
        <f t="shared" si="53"/>
        <v>0.70390539260152529</v>
      </c>
      <c r="FI20" s="1">
        <f t="shared" si="54"/>
        <v>1.7951601140088351</v>
      </c>
      <c r="FJ20" s="1">
        <f t="shared" si="55"/>
        <v>1.1905087177523346</v>
      </c>
      <c r="FK20" s="1">
        <f t="shared" si="56"/>
        <v>0.27242173292831007</v>
      </c>
      <c r="FL20" s="1">
        <f t="shared" si="57"/>
        <v>1.2489526651950962</v>
      </c>
      <c r="FM20" s="1">
        <f t="shared" si="58"/>
        <v>0.404254382341312</v>
      </c>
      <c r="FN20" s="1">
        <f t="shared" si="59"/>
        <v>0.34338350160875214</v>
      </c>
      <c r="FO20" s="1">
        <f t="shared" si="60"/>
        <v>0.37168034524137666</v>
      </c>
    </row>
    <row r="21" spans="1:171" x14ac:dyDescent="0.25">
      <c r="A21" s="11">
        <v>12.052404757800351</v>
      </c>
      <c r="B21" s="3">
        <v>570</v>
      </c>
      <c r="C21" s="12">
        <v>0.18392145983988545</v>
      </c>
      <c r="D21" s="12">
        <v>0.37845132044607521</v>
      </c>
      <c r="E21" s="11">
        <v>12.052404757800351</v>
      </c>
      <c r="F21" s="12">
        <v>0.20094572005565328</v>
      </c>
      <c r="G21" s="12">
        <v>0.50583364660407459</v>
      </c>
      <c r="H21" s="12">
        <f t="shared" si="88"/>
        <v>0.21331253332335973</v>
      </c>
      <c r="I21" s="12">
        <f t="shared" si="89"/>
        <v>0.43892871432296038</v>
      </c>
      <c r="J21" s="12">
        <f t="shared" si="0"/>
        <v>5.9644822037137113E-2</v>
      </c>
      <c r="K21" s="13">
        <f t="shared" si="61"/>
        <v>3.0972418007157838E-2</v>
      </c>
      <c r="L21" s="13">
        <f>SUM(K$3:$K21)</f>
        <v>0.80972202877188715</v>
      </c>
      <c r="M21" s="69">
        <f t="shared" si="90"/>
        <v>0.6883501084388236</v>
      </c>
      <c r="N21" s="12">
        <f t="shared" si="62"/>
        <v>1.2937642711028898E-4</v>
      </c>
      <c r="O21" s="21">
        <f t="shared" si="63"/>
        <v>2.2135021076904881E-9</v>
      </c>
      <c r="P21" s="11">
        <f>SUM(O$2:$O21)</f>
        <v>1.0205928957876032E-7</v>
      </c>
      <c r="Q21" s="12">
        <f t="shared" si="64"/>
        <v>1.0224772813077893E-3</v>
      </c>
      <c r="R21" s="3">
        <f t="shared" si="1"/>
        <v>0.32615809022621112</v>
      </c>
      <c r="S21" s="1">
        <f t="shared" si="65"/>
        <v>1.4534285675964654E-3</v>
      </c>
      <c r="T21" s="1">
        <f t="shared" si="66"/>
        <v>0.93478164909646866</v>
      </c>
      <c r="U21" s="1">
        <f t="shared" si="67"/>
        <v>4.167599947007136E-3</v>
      </c>
      <c r="V21" s="11">
        <f t="shared" si="68"/>
        <v>6.514890408777716</v>
      </c>
      <c r="W21" s="12">
        <f t="shared" si="69"/>
        <v>4.5512069384984796E-2</v>
      </c>
      <c r="X21" s="13">
        <f t="shared" si="2"/>
        <v>-2.2993814416954583E-2</v>
      </c>
      <c r="Y21" s="12">
        <f t="shared" si="3"/>
        <v>1.2249943053060215E-2</v>
      </c>
      <c r="Z21" s="12">
        <f t="shared" si="4"/>
        <v>4.1835099222671986E-3</v>
      </c>
      <c r="AA21" s="12">
        <f t="shared" si="70"/>
        <v>1.1336676488148838E-2</v>
      </c>
      <c r="AB21" s="12"/>
      <c r="AC21" s="14">
        <f t="shared" si="71"/>
        <v>6.4539115232892206</v>
      </c>
      <c r="AD21" s="1">
        <f t="shared" si="72"/>
        <v>6.8511049476264576</v>
      </c>
      <c r="AE21" s="14">
        <f t="shared" si="73"/>
        <v>2.7216461896517852</v>
      </c>
      <c r="AF21" s="14">
        <f t="shared" si="5"/>
        <v>271.3645604868247</v>
      </c>
      <c r="AG21" s="15">
        <f t="shared" si="6"/>
        <v>305.79357415386755</v>
      </c>
      <c r="AH21" s="16">
        <f t="shared" si="7"/>
        <v>48.258125469009116</v>
      </c>
      <c r="AI21" s="15">
        <f t="shared" si="8"/>
        <v>157.63380271528501</v>
      </c>
      <c r="AJ21" s="7"/>
      <c r="AK21" s="12">
        <f t="shared" si="74"/>
        <v>0.6883501084388236</v>
      </c>
      <c r="AL21" s="14">
        <f t="shared" si="9"/>
        <v>0.32615809022621112</v>
      </c>
      <c r="AM21" s="14">
        <f t="shared" si="75"/>
        <v>1.0697685400291816</v>
      </c>
      <c r="AN21" s="11">
        <f t="shared" si="91"/>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76"/>
        <v>0.21331253332335973</v>
      </c>
      <c r="BC21" s="12">
        <f t="shared" si="77"/>
        <v>0.43892871432296038</v>
      </c>
      <c r="BD21" s="12">
        <v>0.6994444259770346</v>
      </c>
      <c r="BE21" s="14">
        <f t="shared" si="19"/>
        <v>0.34218395420599546</v>
      </c>
      <c r="BF21" s="14">
        <f t="shared" si="20"/>
        <v>1.0196669356095909</v>
      </c>
      <c r="BG21" s="11">
        <f t="shared" si="78"/>
        <v>6.2097716378624073</v>
      </c>
      <c r="BH21" s="11">
        <f t="shared" si="21"/>
        <v>3.2259499488379442</v>
      </c>
      <c r="BI21" s="12">
        <f t="shared" si="22"/>
        <v>-6.5343426632402668E-3</v>
      </c>
      <c r="BJ21" s="11">
        <f t="shared" si="23"/>
        <v>-8.8264548089624064</v>
      </c>
      <c r="BK21" s="14">
        <f t="shared" si="79"/>
        <v>6.5579308921032711</v>
      </c>
      <c r="BL21" s="14">
        <f t="shared" si="80"/>
        <v>6.9615259860555252</v>
      </c>
      <c r="BM21" s="14">
        <f t="shared" si="81"/>
        <v>2.7655116684023304</v>
      </c>
      <c r="BN21" s="14">
        <f t="shared" si="82"/>
        <v>267.06028056000639</v>
      </c>
      <c r="BO21" s="15">
        <f t="shared" si="83"/>
        <v>300.94319449994651</v>
      </c>
      <c r="BP21" s="16">
        <f t="shared" si="84"/>
        <v>47.492673707771395</v>
      </c>
      <c r="BQ21" s="15">
        <f t="shared" si="24"/>
        <v>155.13347617449352</v>
      </c>
      <c r="BR21" s="18">
        <f t="shared" si="25"/>
        <v>258.01282351848198</v>
      </c>
      <c r="BS21" s="18">
        <f t="shared" si="26"/>
        <v>47.518366649548526</v>
      </c>
      <c r="BT21" s="18">
        <f t="shared" si="27"/>
        <v>129.21196941973022</v>
      </c>
      <c r="BU21" s="11">
        <f t="shared" si="85"/>
        <v>-42.930370981464534</v>
      </c>
      <c r="BV21" s="11">
        <f t="shared" si="86"/>
        <v>-25.9215067547633</v>
      </c>
      <c r="BW21" s="11">
        <f t="shared" si="87"/>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 t="shared" si="39"/>
        <v>3.1150772503988212E-5</v>
      </c>
      <c r="EU21" s="1">
        <f t="shared" si="40"/>
        <v>0.37052641253552204</v>
      </c>
      <c r="EV21" s="1">
        <f t="shared" si="41"/>
        <v>1.4562818979881635E-3</v>
      </c>
      <c r="EW21" s="1">
        <f t="shared" si="42"/>
        <v>0.2589366316878513</v>
      </c>
      <c r="EX21" s="1">
        <f t="shared" si="43"/>
        <v>3.2834261154662019</v>
      </c>
      <c r="EY21" s="1">
        <f t="shared" si="44"/>
        <v>1.4551114984004683</v>
      </c>
      <c r="EZ21" s="1">
        <f t="shared" si="45"/>
        <v>7.4001654829660396E-2</v>
      </c>
      <c r="FA21" s="1">
        <f t="shared" si="46"/>
        <v>1.3163100637779455</v>
      </c>
      <c r="FB21" s="1">
        <f t="shared" si="47"/>
        <v>0.45969271830393776</v>
      </c>
      <c r="FC21" s="1">
        <f t="shared" si="48"/>
        <v>0.23405484622001838</v>
      </c>
      <c r="FD21" s="1">
        <f t="shared" si="49"/>
        <v>0.11460258521575631</v>
      </c>
      <c r="FE21" s="1">
        <f t="shared" si="50"/>
        <v>0.81016854998292609</v>
      </c>
      <c r="FF21" s="1">
        <f t="shared" si="51"/>
        <v>0.15730129260787817</v>
      </c>
      <c r="FG21" s="1">
        <f t="shared" si="52"/>
        <v>-0.15730129260787817</v>
      </c>
      <c r="FH21" s="1">
        <f t="shared" si="53"/>
        <v>0.70508427499146298</v>
      </c>
      <c r="FI21" s="1">
        <f t="shared" si="54"/>
        <v>1.8120226586514314</v>
      </c>
      <c r="FJ21" s="1">
        <f t="shared" si="55"/>
        <v>1.2062800248700416</v>
      </c>
      <c r="FK21" s="1">
        <f t="shared" si="56"/>
        <v>0.27203245179511287</v>
      </c>
      <c r="FL21" s="1">
        <f t="shared" si="57"/>
        <v>1.2635537346960868</v>
      </c>
      <c r="FM21" s="1">
        <f t="shared" si="58"/>
        <v>0.40623931923344098</v>
      </c>
      <c r="FN21" s="1">
        <f t="shared" si="59"/>
        <v>0.34370201826992836</v>
      </c>
      <c r="FO21" s="1">
        <f t="shared" si="60"/>
        <v>0.37275856006591856</v>
      </c>
    </row>
    <row r="22" spans="1:171" x14ac:dyDescent="0.25">
      <c r="A22" s="11">
        <v>12.31067057403893</v>
      </c>
      <c r="B22" s="3">
        <v>600</v>
      </c>
      <c r="C22" s="12">
        <v>0.18354359518627872</v>
      </c>
      <c r="D22" s="12">
        <v>0.3779100638847388</v>
      </c>
      <c r="E22" s="11">
        <v>12.31067057403893</v>
      </c>
      <c r="F22" s="12">
        <v>0.20034572005565329</v>
      </c>
      <c r="G22" s="12">
        <v>0.50703364660407457</v>
      </c>
      <c r="H22" s="12">
        <f t="shared" si="88"/>
        <v>0.21287428502659014</v>
      </c>
      <c r="I22" s="12">
        <f t="shared" si="89"/>
        <v>0.43830096371475474</v>
      </c>
      <c r="J22" s="12">
        <f t="shared" si="0"/>
        <v>5.9237728976594045E-2</v>
      </c>
      <c r="K22" s="13">
        <f t="shared" si="61"/>
        <v>1.5351649537042876E-2</v>
      </c>
      <c r="L22" s="13">
        <f>SUM(K$3:$K22)</f>
        <v>0.82507367830892997</v>
      </c>
      <c r="M22" s="69">
        <f t="shared" si="90"/>
        <v>0.68806011768450803</v>
      </c>
      <c r="N22" s="12">
        <f t="shared" si="62"/>
        <v>1.2824611447049164E-4</v>
      </c>
      <c r="O22" s="21">
        <f t="shared" si="63"/>
        <v>5.4536668453315195E-10</v>
      </c>
      <c r="P22" s="11">
        <f>SUM(O$2:$O22)</f>
        <v>1.0260465626329348E-7</v>
      </c>
      <c r="Q22" s="12">
        <f t="shared" si="64"/>
        <v>1.0228968730074837E-3</v>
      </c>
      <c r="R22" s="3">
        <f t="shared" si="1"/>
        <v>0.32574604849556127</v>
      </c>
      <c r="S22" s="1">
        <f t="shared" si="65"/>
        <v>1.4528001514837225E-3</v>
      </c>
      <c r="T22" s="1">
        <f t="shared" si="66"/>
        <v>0.93360072162597019</v>
      </c>
      <c r="U22" s="1">
        <f t="shared" si="67"/>
        <v>4.1657988822235486E-3</v>
      </c>
      <c r="V22" s="11">
        <f t="shared" si="68"/>
        <v>6.5231312047334145</v>
      </c>
      <c r="W22" s="12">
        <f t="shared" si="69"/>
        <v>4.5585069560682416E-2</v>
      </c>
      <c r="X22" s="13">
        <f t="shared" si="2"/>
        <v>-2.3434750689034556E-2</v>
      </c>
      <c r="Y22" s="12">
        <f t="shared" si="3"/>
        <v>1.229990813047571E-2</v>
      </c>
      <c r="Z22" s="12">
        <f t="shared" si="4"/>
        <v>4.1744398759688481E-3</v>
      </c>
      <c r="AA22" s="12">
        <f t="shared" si="70"/>
        <v>1.1368647682458207E-2</v>
      </c>
      <c r="AB22" s="12"/>
      <c r="AC22" s="14">
        <f t="shared" si="71"/>
        <v>6.4644737864750779</v>
      </c>
      <c r="AD22" s="1">
        <f t="shared" si="72"/>
        <v>6.8687278918998054</v>
      </c>
      <c r="AE22" s="14">
        <f t="shared" si="73"/>
        <v>2.7140609791594006</v>
      </c>
      <c r="AF22" s="14">
        <f t="shared" si="5"/>
        <v>272.5978783447668</v>
      </c>
      <c r="AG22" s="15">
        <f t="shared" si="6"/>
        <v>307.75756543347148</v>
      </c>
      <c r="AH22" s="16">
        <f t="shared" si="7"/>
        <v>48.050212882568793</v>
      </c>
      <c r="AI22" s="15">
        <f t="shared" si="8"/>
        <v>158.91760903527688</v>
      </c>
      <c r="AJ22" s="7"/>
      <c r="AK22" s="12">
        <f t="shared" si="74"/>
        <v>0.68806011768450803</v>
      </c>
      <c r="AL22" s="14">
        <f t="shared" si="9"/>
        <v>0.32574604849556127</v>
      </c>
      <c r="AM22" s="14">
        <f t="shared" si="75"/>
        <v>1.0711217084948135</v>
      </c>
      <c r="AN22" s="11">
        <f t="shared" si="91"/>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76"/>
        <v>0.21287428502659014</v>
      </c>
      <c r="BC22" s="12">
        <f t="shared" si="77"/>
        <v>0.43830096371475474</v>
      </c>
      <c r="BD22" s="12">
        <v>0.69920914995911065</v>
      </c>
      <c r="BE22" s="14">
        <f t="shared" si="19"/>
        <v>0.34183876337721347</v>
      </c>
      <c r="BF22" s="14">
        <f t="shared" si="20"/>
        <v>1.0206966013827385</v>
      </c>
      <c r="BG22" s="11">
        <f t="shared" si="78"/>
        <v>6.2160423024208775</v>
      </c>
      <c r="BH22" s="11">
        <f t="shared" si="21"/>
        <v>3.4000434409958045</v>
      </c>
      <c r="BI22" s="12">
        <f t="shared" si="22"/>
        <v>-6.8752862385306202E-3</v>
      </c>
      <c r="BJ22" s="11">
        <f t="shared" si="23"/>
        <v>-8.9106271330431248</v>
      </c>
      <c r="BK22" s="14">
        <f t="shared" si="79"/>
        <v>6.5692213587166943</v>
      </c>
      <c r="BL22" s="14">
        <f t="shared" si="80"/>
        <v>6.980025825007691</v>
      </c>
      <c r="BM22" s="14">
        <f t="shared" si="81"/>
        <v>2.7580384640828361</v>
      </c>
      <c r="BN22" s="14">
        <f t="shared" si="82"/>
        <v>268.25124966602061</v>
      </c>
      <c r="BO22" s="15">
        <f t="shared" si="83"/>
        <v>302.85030838460193</v>
      </c>
      <c r="BP22" s="16">
        <f t="shared" si="84"/>
        <v>47.284042453791344</v>
      </c>
      <c r="BQ22" s="15">
        <f t="shared" si="24"/>
        <v>156.38363539914727</v>
      </c>
      <c r="BR22" s="18">
        <f t="shared" si="25"/>
        <v>258.93707871732028</v>
      </c>
      <c r="BS22" s="18">
        <f t="shared" si="26"/>
        <v>47.55157313050352</v>
      </c>
      <c r="BT22" s="18">
        <f t="shared" si="27"/>
        <v>129.78344040955614</v>
      </c>
      <c r="BU22" s="11">
        <f t="shared" si="85"/>
        <v>-43.913229667281655</v>
      </c>
      <c r="BV22" s="11">
        <f t="shared" si="86"/>
        <v>-26.600194989591131</v>
      </c>
      <c r="BW22" s="11">
        <f t="shared" si="87"/>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 t="shared" si="39"/>
        <v>3.1154445526522732E-5</v>
      </c>
      <c r="EU22" s="1">
        <f t="shared" si="40"/>
        <v>0.37755247355541677</v>
      </c>
      <c r="EV22" s="1">
        <f t="shared" si="41"/>
        <v>1.4369347743651737E-3</v>
      </c>
      <c r="EW22" s="1">
        <f t="shared" si="42"/>
        <v>0.26237262521293558</v>
      </c>
      <c r="EX22" s="1">
        <f t="shared" si="43"/>
        <v>3.3283370297410793</v>
      </c>
      <c r="EY22" s="1">
        <f t="shared" si="44"/>
        <v>1.4772737564027569</v>
      </c>
      <c r="EZ22" s="1">
        <f t="shared" si="45"/>
        <v>7.3367033851636135E-2</v>
      </c>
      <c r="FA22" s="1">
        <f t="shared" si="46"/>
        <v>1.334928390228824</v>
      </c>
      <c r="FB22" s="1">
        <f t="shared" si="47"/>
        <v>0.46070622470519729</v>
      </c>
      <c r="FC22" s="1">
        <f t="shared" si="48"/>
        <v>0.23502225363738133</v>
      </c>
      <c r="FD22" s="1">
        <f t="shared" si="49"/>
        <v>0.11318753898618081</v>
      </c>
      <c r="FE22" s="1">
        <f t="shared" si="50"/>
        <v>0.81453231101463031</v>
      </c>
      <c r="FF22" s="1">
        <f t="shared" si="51"/>
        <v>0.1565937694930904</v>
      </c>
      <c r="FG22" s="1">
        <f t="shared" si="52"/>
        <v>-0.1565937694930904</v>
      </c>
      <c r="FH22" s="1">
        <f t="shared" si="53"/>
        <v>0.7072661555073152</v>
      </c>
      <c r="FI22" s="1">
        <f t="shared" si="54"/>
        <v>1.8243730511441676</v>
      </c>
      <c r="FJ22" s="1">
        <f t="shared" si="55"/>
        <v>1.2154315103710109</v>
      </c>
      <c r="FK22" s="1">
        <f t="shared" si="56"/>
        <v>0.27086349671307897</v>
      </c>
      <c r="FL22" s="1">
        <f t="shared" si="57"/>
        <v>1.2726676102784786</v>
      </c>
      <c r="FM22" s="1">
        <f t="shared" si="58"/>
        <v>0.40743888556483215</v>
      </c>
      <c r="FN22" s="1">
        <f t="shared" si="59"/>
        <v>0.34300461975028945</v>
      </c>
      <c r="FO22" s="1">
        <f t="shared" si="60"/>
        <v>0.37291117730968809</v>
      </c>
    </row>
    <row r="23" spans="1:171" x14ac:dyDescent="0.25">
      <c r="A23" s="11">
        <v>12.482847784864649</v>
      </c>
      <c r="B23" s="3">
        <v>630</v>
      </c>
      <c r="C23" s="12">
        <v>0.18327562531204289</v>
      </c>
      <c r="D23" s="12">
        <v>0.37755099650116486</v>
      </c>
      <c r="E23" s="11">
        <v>12.482847784864649</v>
      </c>
      <c r="F23" s="12">
        <v>0.19974572005565328</v>
      </c>
      <c r="G23" s="12">
        <v>0.50683364660407459</v>
      </c>
      <c r="H23" s="12">
        <f t="shared" si="88"/>
        <v>0.21256349294839896</v>
      </c>
      <c r="I23" s="12">
        <f t="shared" si="89"/>
        <v>0.43788451653512361</v>
      </c>
      <c r="J23" s="12">
        <f t="shared" si="0"/>
        <v>5.9026242943168272E-2</v>
      </c>
      <c r="K23" s="13">
        <f t="shared" si="61"/>
        <v>1.0181180413157921E-2</v>
      </c>
      <c r="L23" s="13">
        <f>SUM(K$3:$K23)</f>
        <v>0.83525485872208793</v>
      </c>
      <c r="M23" s="69">
        <f t="shared" si="90"/>
        <v>0.68786793116786382</v>
      </c>
      <c r="N23" s="12">
        <f t="shared" si="62"/>
        <v>1.2750677771652236E-4</v>
      </c>
      <c r="O23" s="21">
        <f t="shared" si="63"/>
        <v>1.2049190933788425E-10</v>
      </c>
      <c r="P23" s="11">
        <f>SUM(O$2:$O23)</f>
        <v>1.0272514817263136E-7</v>
      </c>
      <c r="Q23" s="12">
        <f t="shared" si="64"/>
        <v>1.0231749814907439E-3</v>
      </c>
      <c r="R23" s="3">
        <f t="shared" si="1"/>
        <v>0.32547316603051257</v>
      </c>
      <c r="S23" s="1">
        <f t="shared" si="65"/>
        <v>1.4523834541767698E-3</v>
      </c>
      <c r="T23" s="1">
        <f t="shared" si="66"/>
        <v>0.9328186299706297</v>
      </c>
      <c r="U23" s="12">
        <f t="shared" si="67"/>
        <v>4.1646046116920491E-3</v>
      </c>
      <c r="V23" s="11">
        <f t="shared" si="68"/>
        <v>6.5286003134304327</v>
      </c>
      <c r="W23" s="12">
        <f t="shared" si="69"/>
        <v>4.5633536161135038E-2</v>
      </c>
      <c r="X23" s="13">
        <f t="shared" si="2"/>
        <v>-2.3727281131313616E-2</v>
      </c>
      <c r="Y23" s="12">
        <f t="shared" si="3"/>
        <v>1.2349617096123986E-2</v>
      </c>
      <c r="Z23" s="12">
        <f t="shared" si="4"/>
        <v>4.1771795090154449E-3</v>
      </c>
      <c r="AA23" s="12">
        <f t="shared" si="70"/>
        <v>1.1391324983349136E-2</v>
      </c>
      <c r="AB23" s="12"/>
      <c r="AC23" s="14">
        <f t="shared" si="71"/>
        <v>6.4721173107072323</v>
      </c>
      <c r="AD23" s="1">
        <f t="shared" si="72"/>
        <v>6.8874359958872677</v>
      </c>
      <c r="AE23" s="14">
        <f t="shared" si="73"/>
        <v>2.7143735850086865</v>
      </c>
      <c r="AF23" s="14">
        <f t="shared" si="5"/>
        <v>273.47198472321389</v>
      </c>
      <c r="AG23" s="15">
        <f t="shared" si="6"/>
        <v>309.69574150499932</v>
      </c>
      <c r="AH23" s="16">
        <f t="shared" si="7"/>
        <v>48.101577807981357</v>
      </c>
      <c r="AI23" s="15">
        <f t="shared" si="8"/>
        <v>159.15695071635849</v>
      </c>
      <c r="AJ23" s="7"/>
      <c r="AK23" s="12">
        <f t="shared" si="74"/>
        <v>0.68786793116786382</v>
      </c>
      <c r="AL23" s="14">
        <f t="shared" si="9"/>
        <v>0.32547316603051257</v>
      </c>
      <c r="AM23" s="14">
        <f t="shared" si="75"/>
        <v>1.0720197558999069</v>
      </c>
      <c r="AN23" s="11">
        <f t="shared" si="91"/>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76"/>
        <v>0.21256349294839896</v>
      </c>
      <c r="BC23" s="12">
        <f t="shared" si="77"/>
        <v>0.43788451653512361</v>
      </c>
      <c r="BD23" s="12">
        <v>0.69905315311788063</v>
      </c>
      <c r="BE23" s="14">
        <f t="shared" si="19"/>
        <v>0.3416100169243565</v>
      </c>
      <c r="BF23" s="14">
        <f t="shared" si="20"/>
        <v>1.0213800729305333</v>
      </c>
      <c r="BG23" s="11">
        <f t="shared" si="78"/>
        <v>6.2202046441469472</v>
      </c>
      <c r="BH23" s="11">
        <f t="shared" si="21"/>
        <v>3.515890308744928</v>
      </c>
      <c r="BI23" s="12">
        <f t="shared" si="22"/>
        <v>-7.1015344594425045E-3</v>
      </c>
      <c r="BJ23" s="11">
        <f t="shared" si="23"/>
        <v>-8.9669574761197204</v>
      </c>
      <c r="BK23" s="14">
        <f t="shared" si="79"/>
        <v>6.5773585428197672</v>
      </c>
      <c r="BL23" s="14">
        <f t="shared" si="80"/>
        <v>6.999430605302682</v>
      </c>
      <c r="BM23" s="14">
        <f t="shared" si="81"/>
        <v>2.7585112306640642</v>
      </c>
      <c r="BN23" s="14">
        <f t="shared" si="82"/>
        <v>269.09628763552053</v>
      </c>
      <c r="BO23" s="15">
        <f t="shared" si="83"/>
        <v>304.74044505828641</v>
      </c>
      <c r="BP23" s="16">
        <f t="shared" si="84"/>
        <v>47.331927000272955</v>
      </c>
      <c r="BQ23" s="15">
        <f t="shared" si="24"/>
        <v>156.61035492359167</v>
      </c>
      <c r="BR23" s="18">
        <f t="shared" si="25"/>
        <v>259.55143403927627</v>
      </c>
      <c r="BS23" s="18">
        <f t="shared" si="26"/>
        <v>47.573387250673804</v>
      </c>
      <c r="BT23" s="18">
        <f t="shared" si="27"/>
        <v>130.16352154403742</v>
      </c>
      <c r="BU23" s="11">
        <f t="shared" si="85"/>
        <v>-45.189011019010138</v>
      </c>
      <c r="BV23" s="11">
        <f t="shared" si="86"/>
        <v>-26.446833379554249</v>
      </c>
      <c r="BW23" s="11">
        <f t="shared" si="87"/>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 t="shared" si="39"/>
        <v>3.1156883286291546E-5</v>
      </c>
      <c r="EU23" s="1">
        <f t="shared" si="40"/>
        <v>0.38462320717550319</v>
      </c>
      <c r="EV23" s="1">
        <f t="shared" si="41"/>
        <v>1.4411452364843666E-3</v>
      </c>
      <c r="EW23" s="1">
        <f t="shared" si="42"/>
        <v>0.26483068980183994</v>
      </c>
      <c r="EX23" s="1">
        <f t="shared" si="43"/>
        <v>3.3729251325025875</v>
      </c>
      <c r="EY23" s="1">
        <f t="shared" si="44"/>
        <v>1.4870224189167343</v>
      </c>
      <c r="EZ23" s="1">
        <f t="shared" si="45"/>
        <v>7.3530751205557382E-2</v>
      </c>
      <c r="FA23" s="1">
        <f t="shared" si="46"/>
        <v>1.3434183355570666</v>
      </c>
      <c r="FB23" s="1">
        <f t="shared" si="47"/>
        <v>0.46413953539151542</v>
      </c>
      <c r="FC23" s="1">
        <f t="shared" si="48"/>
        <v>0.23564547487774881</v>
      </c>
      <c r="FD23" s="1">
        <f t="shared" si="49"/>
        <v>0.11156971186814955</v>
      </c>
      <c r="FE23" s="1">
        <f t="shared" si="50"/>
        <v>0.81956947945072578</v>
      </c>
      <c r="FF23" s="1">
        <f t="shared" si="51"/>
        <v>0.15578485593407479</v>
      </c>
      <c r="FG23" s="1">
        <f t="shared" si="52"/>
        <v>-0.15578485593407479</v>
      </c>
      <c r="FH23" s="1">
        <f t="shared" si="53"/>
        <v>0.70978473972536293</v>
      </c>
      <c r="FI23" s="1">
        <f t="shared" si="54"/>
        <v>1.8365525128627789</v>
      </c>
      <c r="FJ23" s="1">
        <f t="shared" si="55"/>
        <v>1.2194352868917375</v>
      </c>
      <c r="FK23" s="1">
        <f t="shared" si="56"/>
        <v>0.27116554206896826</v>
      </c>
      <c r="FL23" s="1">
        <f t="shared" si="57"/>
        <v>1.2777883736448601</v>
      </c>
      <c r="FM23" s="1">
        <f t="shared" si="58"/>
        <v>0.41016347980959028</v>
      </c>
      <c r="FN23" s="1">
        <f t="shared" si="59"/>
        <v>0.34384185540875106</v>
      </c>
      <c r="FO23" s="1">
        <f t="shared" si="60"/>
        <v>0.37458551696641251</v>
      </c>
    </row>
    <row r="24" spans="1:171" x14ac:dyDescent="0.25">
      <c r="AX24" s="7"/>
      <c r="AY24" s="65"/>
      <c r="CI24" s="8"/>
    </row>
    <row r="25" spans="1:171" x14ac:dyDescent="0.25">
      <c r="AV25" s="162" t="s">
        <v>195</v>
      </c>
      <c r="AW25" s="162"/>
      <c r="AX25" s="7"/>
      <c r="AY25" s="65"/>
      <c r="AZ25" s="163" t="s">
        <v>196</v>
      </c>
      <c r="BA25" s="163"/>
    </row>
    <row r="26" spans="1:171" ht="15.6" x14ac:dyDescent="0.3">
      <c r="AV26" s="46" t="s">
        <v>62</v>
      </c>
      <c r="AW26" s="11">
        <v>240.76884696381055</v>
      </c>
      <c r="AX26" s="7"/>
      <c r="AY26" s="65"/>
      <c r="AZ26" s="46" t="s">
        <v>62</v>
      </c>
      <c r="BA26" s="11">
        <v>240.65582170334505</v>
      </c>
    </row>
    <row r="27" spans="1:171" ht="15.6" x14ac:dyDescent="0.3">
      <c r="B27" s="5" t="s">
        <v>69</v>
      </c>
      <c r="AV27" s="46" t="s">
        <v>66</v>
      </c>
      <c r="AW27" s="11">
        <v>118.60800766287956</v>
      </c>
      <c r="AX27" s="7"/>
      <c r="AY27" s="65"/>
      <c r="AZ27" s="46" t="s">
        <v>66</v>
      </c>
      <c r="BA27" s="11">
        <v>118.55576332155938</v>
      </c>
      <c r="BK27" s="11"/>
      <c r="BL27" s="11"/>
      <c r="BM27" s="11"/>
      <c r="BN27" s="11"/>
      <c r="BO27" s="11"/>
      <c r="BP27" s="11"/>
      <c r="BQ27" s="11"/>
    </row>
    <row r="28" spans="1:171" ht="15.6" x14ac:dyDescent="0.3">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6" x14ac:dyDescent="0.3">
      <c r="A29" s="1" t="s">
        <v>80</v>
      </c>
      <c r="B29" s="1">
        <v>0.623</v>
      </c>
      <c r="C29" s="1">
        <v>0.60699999999999998</v>
      </c>
      <c r="J29" s="21">
        <f>12*$B$31*$B$38^2+$K$29*L2</f>
        <v>36.219617279999994</v>
      </c>
      <c r="K29" s="1">
        <f>C34</f>
        <v>1.016974</v>
      </c>
      <c r="L29" s="1" t="s">
        <v>81</v>
      </c>
      <c r="M29" s="1">
        <f>36*$B$40*($B$38^2)*(4*$B$40*$B$38^2 + $K$29*L2)/J29^2</f>
        <v>1.0000000000000002</v>
      </c>
      <c r="N29" s="1">
        <f t="shared" ref="N29" si="92">36*$B$40*($B$38^2)*(4*$B$40*$B$38^2 + $K$29*M2)/K29^2</f>
        <v>1343.6534708520289</v>
      </c>
      <c r="O29" s="14">
        <f t="shared" ref="O29:O50" si="93">-(12*$B$40*$K$29*$D$38^3)/(J29^2)</f>
        <v>-1.9766903953326372E-2</v>
      </c>
      <c r="AQ29" s="46"/>
      <c r="AV29" s="46" t="s">
        <v>63</v>
      </c>
      <c r="AW29" s="11">
        <v>5.355886228175784</v>
      </c>
      <c r="AX29" s="7"/>
      <c r="AY29" s="65"/>
      <c r="AZ29" s="46" t="s">
        <v>63</v>
      </c>
      <c r="BA29" s="11">
        <v>5.4517390016618767</v>
      </c>
      <c r="BV29" s="66"/>
      <c r="BX29" s="66"/>
      <c r="CK29" s="21"/>
      <c r="CO29" s="14"/>
      <c r="CP29" s="14"/>
    </row>
    <row r="30" spans="1:171" ht="15.6" x14ac:dyDescent="0.3">
      <c r="A30" s="1" t="s">
        <v>83</v>
      </c>
      <c r="B30" s="1">
        <f>0.000046</f>
        <v>4.6E-5</v>
      </c>
      <c r="F30" s="1" t="s">
        <v>84</v>
      </c>
      <c r="G30" s="1" t="s">
        <v>85</v>
      </c>
      <c r="H30" s="1" t="s">
        <v>86</v>
      </c>
      <c r="J30" s="21">
        <f t="shared" ref="J30:J50" si="94">12*$B$31*$B$38^2+$K$29*L3</f>
        <v>36.230004961873007</v>
      </c>
      <c r="M30" s="1">
        <f t="shared" ref="M30:M50" si="95">36*$B$40*($B$38^2)*(4*$B$40*$B$38^2 + $K$29*L3)/J30^2</f>
        <v>1.0002865504787488</v>
      </c>
      <c r="N30" s="14">
        <f t="shared" ref="N30:N50" si="96">(12*$K$29*L3*$D$38^3)/(J30^2)</f>
        <v>3.3134550026316022E-5</v>
      </c>
      <c r="O30" s="14">
        <f t="shared" si="93"/>
        <v>-1.9755570646903569E-2</v>
      </c>
      <c r="AV30" s="46" t="s">
        <v>67</v>
      </c>
      <c r="AW30" s="11">
        <v>3.2636229984273477</v>
      </c>
      <c r="AX30" s="7"/>
      <c r="AY30" s="65"/>
      <c r="AZ30" s="46" t="s">
        <v>67</v>
      </c>
      <c r="BA30" s="11">
        <v>3.3241860363045044</v>
      </c>
      <c r="BV30" s="66"/>
      <c r="BY30" s="46"/>
      <c r="CA30" s="46"/>
      <c r="CK30" s="21"/>
      <c r="CO30" s="14"/>
      <c r="CP30" s="14"/>
    </row>
    <row r="31" spans="1:171" ht="15.6" x14ac:dyDescent="0.3">
      <c r="A31" s="1" t="s">
        <v>89</v>
      </c>
      <c r="B31" s="1">
        <v>6.09</v>
      </c>
      <c r="E31" s="1" t="s">
        <v>62</v>
      </c>
      <c r="F31" s="1">
        <v>231</v>
      </c>
      <c r="G31" s="1">
        <v>6.1588176205143972</v>
      </c>
      <c r="H31" s="1">
        <v>0.23121321132432957</v>
      </c>
      <c r="J31" s="21">
        <f t="shared" si="94"/>
        <v>36.344840316824367</v>
      </c>
      <c r="M31" s="1">
        <f t="shared" si="95"/>
        <v>1.0034216726563492</v>
      </c>
      <c r="N31" s="14">
        <f t="shared" si="96"/>
        <v>3.9691537765960033E-4</v>
      </c>
      <c r="O31" s="14">
        <f t="shared" si="93"/>
        <v>-1.9630928252146327E-2</v>
      </c>
      <c r="AV31" s="46" t="s">
        <v>72</v>
      </c>
      <c r="AW31" s="11">
        <v>0.25384815206003492</v>
      </c>
      <c r="AX31" s="7"/>
      <c r="AY31" s="65"/>
      <c r="AZ31" s="46" t="s">
        <v>72</v>
      </c>
      <c r="BA31" s="11">
        <v>0.2500540282210012</v>
      </c>
      <c r="BW31" s="47"/>
      <c r="BY31" s="46"/>
      <c r="CA31" s="46"/>
      <c r="CK31" s="21"/>
      <c r="CO31" s="14"/>
      <c r="CP31" s="14"/>
    </row>
    <row r="32" spans="1:171" ht="15.6" x14ac:dyDescent="0.3">
      <c r="A32" s="1" t="s">
        <v>90</v>
      </c>
      <c r="B32" s="1">
        <v>1.23</v>
      </c>
      <c r="E32" s="1" t="s">
        <v>91</v>
      </c>
      <c r="F32" s="1">
        <v>120</v>
      </c>
      <c r="G32" s="1">
        <v>5.9398554585183101</v>
      </c>
      <c r="H32" s="1">
        <v>0.23973647337795911</v>
      </c>
      <c r="J32" s="21">
        <f t="shared" si="94"/>
        <v>36.408431985393911</v>
      </c>
      <c r="M32" s="1">
        <f t="shared" si="95"/>
        <v>1.005132226330391</v>
      </c>
      <c r="N32" s="14">
        <f t="shared" si="96"/>
        <v>5.9639100951119049E-4</v>
      </c>
      <c r="O32" s="14">
        <f t="shared" si="93"/>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202" ht="15.6" x14ac:dyDescent="0.3">
      <c r="A33" s="1" t="s">
        <v>93</v>
      </c>
      <c r="B33" s="1">
        <v>300</v>
      </c>
      <c r="E33" s="1" t="s">
        <v>94</v>
      </c>
      <c r="F33" s="1">
        <v>120</v>
      </c>
      <c r="G33" s="1">
        <v>2.9070625361253621</v>
      </c>
      <c r="H33" s="1">
        <v>0.48984154358714227</v>
      </c>
      <c r="J33" s="21">
        <f t="shared" si="94"/>
        <v>36.476877100438806</v>
      </c>
      <c r="M33" s="1">
        <f t="shared" si="95"/>
        <v>1.0069532015102993</v>
      </c>
      <c r="N33" s="14">
        <f t="shared" si="96"/>
        <v>8.0953547660503897E-4</v>
      </c>
      <c r="O33" s="14">
        <f t="shared" si="93"/>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202" ht="15.6" x14ac:dyDescent="0.3">
      <c r="A34" s="1" t="s">
        <v>95</v>
      </c>
      <c r="B34" s="1">
        <f>C34/C35</f>
        <v>3.5853802171808245E-2</v>
      </c>
      <c r="C34" s="1">
        <f>1+B30*B32*B33</f>
        <v>1.016974</v>
      </c>
      <c r="E34" s="1" t="s">
        <v>71</v>
      </c>
      <c r="F34" s="1">
        <v>43.4</v>
      </c>
      <c r="G34" s="1">
        <v>2.6695386832951487</v>
      </c>
      <c r="H34" s="1">
        <v>0.53342549741301504</v>
      </c>
      <c r="J34" s="21">
        <f t="shared" si="94"/>
        <v>36.546902534855903</v>
      </c>
      <c r="M34" s="1">
        <f t="shared" si="95"/>
        <v>1.0087948202165875</v>
      </c>
      <c r="N34" s="14">
        <f t="shared" si="96"/>
        <v>1.0259460245183164E-3</v>
      </c>
      <c r="O34" s="14">
        <f t="shared" si="93"/>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202" ht="15.6" x14ac:dyDescent="0.3">
      <c r="C35" s="1">
        <f>12*B31*(B29^2)</f>
        <v>28.364467319999999</v>
      </c>
      <c r="J35" s="21">
        <f t="shared" si="94"/>
        <v>36.594740156054016</v>
      </c>
      <c r="M35" s="1">
        <f t="shared" si="95"/>
        <v>1.0100405770420833</v>
      </c>
      <c r="N35" s="14">
        <f t="shared" si="96"/>
        <v>1.1728310021441432E-3</v>
      </c>
      <c r="O35" s="14">
        <f t="shared" si="93"/>
        <v>-1.9363730538264741E-2</v>
      </c>
      <c r="AV35" s="96" t="s">
        <v>92</v>
      </c>
      <c r="AW35" s="51">
        <f>SUMSQ(AW6:AW16)</f>
        <v>0.24841942786943827</v>
      </c>
      <c r="AX35" s="7"/>
      <c r="AY35" s="65"/>
      <c r="AZ35" s="96" t="s">
        <v>92</v>
      </c>
      <c r="BA35" s="94">
        <f>SUMSQ(BJ6:BJ16)</f>
        <v>3.5791134836464011E-2</v>
      </c>
      <c r="BU35" s="21"/>
      <c r="BY35" s="14"/>
      <c r="BZ35" s="14"/>
    </row>
    <row r="36" spans="1:202" ht="15.6" x14ac:dyDescent="0.3">
      <c r="B36" s="5" t="s">
        <v>96</v>
      </c>
      <c r="J36" s="21">
        <f t="shared" si="94"/>
        <v>36.639003272748873</v>
      </c>
      <c r="M36" s="1">
        <f t="shared" si="95"/>
        <v>1.0111843938589871</v>
      </c>
      <c r="N36" s="14">
        <f t="shared" si="96"/>
        <v>1.3080545127141447E-3</v>
      </c>
      <c r="O36" s="14">
        <f t="shared" si="93"/>
        <v>-1.9316972642979553E-2</v>
      </c>
      <c r="AV36" s="96" t="s">
        <v>62</v>
      </c>
      <c r="AW36" s="14">
        <f>SUMSQ(AT6:AT16)</f>
        <v>2.16851667795898</v>
      </c>
      <c r="AX36" s="7"/>
      <c r="AY36" s="65"/>
      <c r="AZ36" s="96" t="s">
        <v>62</v>
      </c>
      <c r="BA36" s="84">
        <f>SUMSQ(BU6:BU16)</f>
        <v>0.65011771886168601</v>
      </c>
      <c r="BU36" s="21"/>
      <c r="BY36" s="14"/>
      <c r="BZ36" s="14"/>
    </row>
    <row r="37" spans="1:202" ht="15.6" x14ac:dyDescent="0.3">
      <c r="A37" s="1" t="s">
        <v>74</v>
      </c>
      <c r="B37" s="13">
        <v>2.34</v>
      </c>
      <c r="C37" s="13">
        <f>B37/2</f>
        <v>1.17</v>
      </c>
      <c r="J37" s="21">
        <f t="shared" si="94"/>
        <v>36.694289776924059</v>
      </c>
      <c r="M37" s="1">
        <f t="shared" si="95"/>
        <v>1.012601194845324</v>
      </c>
      <c r="N37" s="14">
        <f t="shared" si="96"/>
        <v>1.476033858530353E-3</v>
      </c>
      <c r="O37" s="14">
        <f t="shared" si="93"/>
        <v>-1.9258807552283427E-2</v>
      </c>
      <c r="AV37" s="96" t="s">
        <v>66</v>
      </c>
      <c r="AW37" s="12">
        <f>SUMSQ(AV6:AV16)</f>
        <v>0.93313012767770342</v>
      </c>
      <c r="AX37" s="7"/>
      <c r="AY37" s="65"/>
      <c r="AZ37" s="96" t="s">
        <v>66</v>
      </c>
      <c r="BA37" s="95">
        <f>SUMSQ(BV6:BV16)</f>
        <v>1.5003586734343692</v>
      </c>
      <c r="BU37" s="21"/>
      <c r="BY37" s="14"/>
      <c r="BZ37" s="14"/>
    </row>
    <row r="38" spans="1:202" ht="15.6" x14ac:dyDescent="0.3">
      <c r="A38" s="1" t="s">
        <v>80</v>
      </c>
      <c r="B38" s="1">
        <v>0.70399999999999996</v>
      </c>
      <c r="C38" s="1" t="s">
        <v>97</v>
      </c>
      <c r="D38" s="1">
        <v>0.70399999999999996</v>
      </c>
      <c r="J38" s="21">
        <f t="shared" si="94"/>
        <v>36.740149602528582</v>
      </c>
      <c r="M38" s="1">
        <f t="shared" si="95"/>
        <v>1.0137664811955698</v>
      </c>
      <c r="N38" s="14">
        <f t="shared" si="96"/>
        <v>1.6146005086871489E-3</v>
      </c>
      <c r="O38" s="14">
        <f t="shared" si="93"/>
        <v>-1.9210759063238346E-2</v>
      </c>
      <c r="AV38" s="96" t="s">
        <v>71</v>
      </c>
      <c r="AW38" s="12">
        <f>SUMSQ(AU6:AU16)</f>
        <v>5.044893196528466E-2</v>
      </c>
      <c r="AX38" s="7"/>
      <c r="AY38" s="65"/>
      <c r="AZ38" s="96" t="s">
        <v>71</v>
      </c>
      <c r="BA38" s="95">
        <f>SUMSQ(BW6:BW16)</f>
        <v>4.9666920089677422E-2</v>
      </c>
      <c r="BU38" s="21"/>
      <c r="BY38" s="14"/>
      <c r="BZ38" s="14"/>
    </row>
    <row r="39" spans="1:202" ht="15.6" x14ac:dyDescent="0.3">
      <c r="A39" s="1" t="s">
        <v>83</v>
      </c>
      <c r="B39" s="1">
        <f>0.000046</f>
        <v>4.6E-5</v>
      </c>
      <c r="C39" s="1" t="s">
        <v>98</v>
      </c>
      <c r="J39" s="21">
        <f t="shared" si="94"/>
        <v>36.776977212677714</v>
      </c>
      <c r="M39" s="1">
        <f t="shared" si="95"/>
        <v>1.0146957756533277</v>
      </c>
      <c r="N39" s="14">
        <f t="shared" si="96"/>
        <v>1.7253726409698147E-3</v>
      </c>
      <c r="O39" s="14">
        <f t="shared" si="93"/>
        <v>-1.9172303911735834E-2</v>
      </c>
      <c r="AV39" s="46" t="s">
        <v>64</v>
      </c>
      <c r="AW39" s="1">
        <f>3*AW32*(AW29-3)-7*AW26</f>
        <v>-559.30397440217803</v>
      </c>
      <c r="AX39" s="7"/>
      <c r="AY39" s="65"/>
      <c r="AZ39" s="46" t="s">
        <v>64</v>
      </c>
      <c r="BA39" s="1">
        <f>3*BA32*(BA29-3)-7*BA26</f>
        <v>-513.22991026181421</v>
      </c>
      <c r="BU39" s="21"/>
      <c r="BY39" s="14"/>
      <c r="BZ39" s="14"/>
    </row>
    <row r="40" spans="1:202" ht="15.6" x14ac:dyDescent="0.3">
      <c r="A40" s="1" t="s">
        <v>89</v>
      </c>
      <c r="B40" s="1">
        <v>6.09</v>
      </c>
      <c r="C40" s="1" t="s">
        <v>99</v>
      </c>
      <c r="J40" s="21">
        <f t="shared" si="94"/>
        <v>36.821799274464901</v>
      </c>
      <c r="M40" s="1">
        <f t="shared" si="95"/>
        <v>1.0158190499439517</v>
      </c>
      <c r="N40" s="14">
        <f t="shared" si="96"/>
        <v>1.8595890353232756E-3</v>
      </c>
      <c r="O40" s="14">
        <f t="shared" si="93"/>
        <v>-1.9125656589669172E-2</v>
      </c>
      <c r="AV40" s="46" t="s">
        <v>68</v>
      </c>
      <c r="AW40" s="1">
        <f>3*AW32*(AW30-1)-7*AW27</f>
        <v>251.72147353864159</v>
      </c>
      <c r="AX40" s="7"/>
      <c r="AY40" s="65"/>
      <c r="AZ40" s="46" t="s">
        <v>68</v>
      </c>
      <c r="BA40" s="1">
        <f>3*BA32*(BA30-1)-7*BA27</f>
        <v>280.52985637816539</v>
      </c>
      <c r="BU40" s="21"/>
      <c r="BY40" s="14"/>
      <c r="BZ40" s="14"/>
    </row>
    <row r="41" spans="1:202" ht="15.6" x14ac:dyDescent="0.3">
      <c r="A41" s="1" t="s">
        <v>90</v>
      </c>
      <c r="B41" s="1">
        <v>1.23</v>
      </c>
      <c r="J41" s="21">
        <f t="shared" si="94"/>
        <v>36.860548652310861</v>
      </c>
      <c r="M41" s="1">
        <f t="shared" si="95"/>
        <v>1.0167833187575375</v>
      </c>
      <c r="N41" s="14">
        <f t="shared" si="96"/>
        <v>1.9750912409634801E-3</v>
      </c>
      <c r="O41" s="14">
        <f t="shared" si="93"/>
        <v>-1.9085466316921772E-2</v>
      </c>
      <c r="AV41" s="46" t="s">
        <v>73</v>
      </c>
      <c r="AW41" s="11">
        <f>3*AW32*(AW31-1)-7*AW28</f>
        <v>-684.1444467433048</v>
      </c>
      <c r="AX41" s="7"/>
      <c r="AY41" s="65"/>
      <c r="AZ41" s="46" t="s">
        <v>73</v>
      </c>
      <c r="BA41" s="11">
        <f>3*BA32*(BA31-1)-7*BA28</f>
        <v>-685.94768885520205</v>
      </c>
      <c r="BU41" s="21"/>
      <c r="BY41" s="14"/>
      <c r="BZ41" s="14"/>
    </row>
    <row r="42" spans="1:202" x14ac:dyDescent="0.25">
      <c r="A42" s="1" t="s">
        <v>93</v>
      </c>
      <c r="B42" s="1">
        <v>300</v>
      </c>
      <c r="J42" s="21">
        <f t="shared" si="94"/>
        <v>36.887980745099838</v>
      </c>
      <c r="M42" s="1">
        <f t="shared" si="95"/>
        <v>1.0174621558044163</v>
      </c>
      <c r="N42" s="14">
        <f t="shared" si="96"/>
        <v>2.0565636738822867E-3</v>
      </c>
      <c r="O42" s="14">
        <f t="shared" si="93"/>
        <v>-1.9057090699751658E-2</v>
      </c>
      <c r="BU42" s="21"/>
      <c r="BY42" s="14"/>
      <c r="BZ42" s="14"/>
      <c r="GR42" s="1" t="s">
        <v>270</v>
      </c>
    </row>
    <row r="43" spans="1:202" x14ac:dyDescent="0.25">
      <c r="A43" s="1" t="s">
        <v>95</v>
      </c>
      <c r="B43" s="1">
        <f>C43/C44</f>
        <v>2.8077988570065868E-2</v>
      </c>
      <c r="C43" s="1">
        <f>1+B39*B41*B42</f>
        <v>1.016974</v>
      </c>
      <c r="J43" s="21">
        <f t="shared" si="94"/>
        <v>36.9233705767735</v>
      </c>
      <c r="M43" s="1">
        <f t="shared" si="95"/>
        <v>1.0183332790269639</v>
      </c>
      <c r="N43" s="14">
        <f t="shared" si="96"/>
        <v>2.1613096259587091E-3</v>
      </c>
      <c r="O43" s="14">
        <f t="shared" si="93"/>
        <v>-1.9020577022186149E-2</v>
      </c>
      <c r="BU43" s="21"/>
      <c r="BY43" s="14"/>
      <c r="BZ43" s="14"/>
      <c r="GR43" s="1" t="s">
        <v>271</v>
      </c>
      <c r="GS43" s="1" t="s">
        <v>272</v>
      </c>
      <c r="GT43" s="1" t="s">
        <v>273</v>
      </c>
    </row>
    <row r="44" spans="1:202" x14ac:dyDescent="0.25">
      <c r="C44" s="1">
        <f>12*B40*(B38^2)</f>
        <v>36.219617279999994</v>
      </c>
      <c r="J44" s="21">
        <f t="shared" si="94"/>
        <v>36.955731506658466</v>
      </c>
      <c r="M44" s="1">
        <f t="shared" si="95"/>
        <v>1.0191252928224006</v>
      </c>
      <c r="N44" s="14">
        <f t="shared" si="96"/>
        <v>2.25673637139102E-3</v>
      </c>
      <c r="O44" s="14">
        <f t="shared" si="93"/>
        <v>-1.8987280208006538E-2</v>
      </c>
      <c r="BU44" s="21"/>
      <c r="BY44" s="14"/>
      <c r="BZ44" s="14"/>
      <c r="GR44" s="1" t="s">
        <v>274</v>
      </c>
      <c r="GS44" s="1">
        <v>240.76884696381055</v>
      </c>
      <c r="GT44" s="1">
        <v>0.30564718766321392</v>
      </c>
    </row>
    <row r="45" spans="1:202" x14ac:dyDescent="0.25">
      <c r="A45" s="1" t="s">
        <v>100</v>
      </c>
      <c r="B45" s="1">
        <v>3</v>
      </c>
      <c r="J45" s="21">
        <f t="shared" si="94"/>
        <v>36.97445545821823</v>
      </c>
      <c r="M45" s="1">
        <f t="shared" si="95"/>
        <v>1.019581571540408</v>
      </c>
      <c r="N45" s="14">
        <f t="shared" si="96"/>
        <v>2.3117960002289376E-3</v>
      </c>
      <c r="O45" s="14">
        <f t="shared" si="93"/>
        <v>-1.8968054670096161E-2</v>
      </c>
      <c r="BU45" s="21"/>
      <c r="BY45" s="14"/>
      <c r="BZ45" s="14"/>
      <c r="GR45" s="1" t="s">
        <v>275</v>
      </c>
      <c r="GS45" s="1">
        <v>118.60800766287956</v>
      </c>
      <c r="GT45" s="1">
        <v>0.30689909547091432</v>
      </c>
    </row>
    <row r="46" spans="1:202" x14ac:dyDescent="0.25">
      <c r="A46" s="1" t="s">
        <v>101</v>
      </c>
      <c r="B46" s="1">
        <v>1</v>
      </c>
      <c r="J46" s="21">
        <f t="shared" si="94"/>
        <v>36.987761072821677</v>
      </c>
      <c r="M46" s="1">
        <f t="shared" si="95"/>
        <v>1.0199049334084935</v>
      </c>
      <c r="N46" s="14">
        <f t="shared" si="96"/>
        <v>2.3508540201281703E-3</v>
      </c>
      <c r="O46" s="14">
        <f t="shared" si="93"/>
        <v>-1.8954410360559573E-2</v>
      </c>
      <c r="BU46" s="21"/>
      <c r="BY46" s="14"/>
      <c r="BZ46" s="14"/>
      <c r="GR46" s="1" t="s">
        <v>276</v>
      </c>
      <c r="GS46" s="1">
        <v>46.785022636944674</v>
      </c>
      <c r="GT46" s="1">
        <v>0.31079846874593353</v>
      </c>
    </row>
    <row r="47" spans="1:202" x14ac:dyDescent="0.25">
      <c r="J47" s="21">
        <f t="shared" si="94"/>
        <v>37.011585386657842</v>
      </c>
      <c r="M47" s="1">
        <f t="shared" si="95"/>
        <v>1.0204821079602897</v>
      </c>
      <c r="N47" s="14">
        <f t="shared" si="96"/>
        <v>2.42064743271047E-3</v>
      </c>
      <c r="O47" s="14">
        <f t="shared" si="93"/>
        <v>-1.8930016351122701E-2</v>
      </c>
      <c r="BU47" s="21"/>
      <c r="BY47" s="14"/>
      <c r="BZ47" s="14"/>
      <c r="GR47" s="1" t="s">
        <v>63</v>
      </c>
      <c r="GS47" s="1">
        <v>5.355886228175784</v>
      </c>
      <c r="GT47" s="1">
        <v>4.1322695915279303E-2</v>
      </c>
    </row>
    <row r="48" spans="1:202" x14ac:dyDescent="0.25">
      <c r="A48" s="1" t="s">
        <v>50</v>
      </c>
      <c r="B48" s="1">
        <v>151.13999999999999</v>
      </c>
      <c r="J48" s="21">
        <f t="shared" si="94"/>
        <v>37.043083530488254</v>
      </c>
      <c r="M48" s="1">
        <f t="shared" si="95"/>
        <v>1.021241617395958</v>
      </c>
      <c r="N48" s="14">
        <f t="shared" si="96"/>
        <v>2.5126428742143232E-3</v>
      </c>
      <c r="O48" s="14">
        <f t="shared" si="93"/>
        <v>-1.8897837233320558E-2</v>
      </c>
      <c r="BU48" s="21"/>
      <c r="BY48" s="14"/>
      <c r="BZ48" s="14"/>
      <c r="GR48" s="1" t="s">
        <v>67</v>
      </c>
      <c r="GS48" s="1">
        <v>3.2636229984273477</v>
      </c>
      <c r="GT48" s="1">
        <v>4.2465281692808908E-2</v>
      </c>
    </row>
    <row r="49" spans="1:205" x14ac:dyDescent="0.25">
      <c r="A49" s="1" t="s">
        <v>102</v>
      </c>
      <c r="B49" s="1">
        <v>3.47</v>
      </c>
      <c r="J49" s="21">
        <f t="shared" si="94"/>
        <v>37.058695758924543</v>
      </c>
      <c r="M49" s="1">
        <f t="shared" si="95"/>
        <v>1.0216165689841386</v>
      </c>
      <c r="N49" s="14">
        <f t="shared" si="96"/>
        <v>2.5581237175965259E-3</v>
      </c>
      <c r="O49" s="14">
        <f t="shared" si="93"/>
        <v>-1.8881917881677535E-2</v>
      </c>
      <c r="BU49" s="21"/>
      <c r="BY49" s="14"/>
      <c r="BZ49" s="14"/>
      <c r="GR49" s="1" t="s">
        <v>72</v>
      </c>
      <c r="GS49" s="1">
        <v>0.25384815206003492</v>
      </c>
      <c r="GT49" s="1">
        <v>3.9705174439248529E-2</v>
      </c>
    </row>
    <row r="50" spans="1:205" x14ac:dyDescent="0.25">
      <c r="J50" s="21">
        <f t="shared" si="94"/>
        <v>37.069049754694028</v>
      </c>
      <c r="M50" s="1">
        <f t="shared" si="95"/>
        <v>1.0218646879201123</v>
      </c>
      <c r="N50" s="14">
        <f t="shared" si="96"/>
        <v>2.5882437707631352E-3</v>
      </c>
      <c r="O50" s="14">
        <f t="shared" si="93"/>
        <v>-1.8871371293862869E-2</v>
      </c>
      <c r="BI50" s="169" t="s">
        <v>128</v>
      </c>
      <c r="BJ50" s="170"/>
      <c r="BK50" s="170"/>
      <c r="BP50" s="169" t="s">
        <v>131</v>
      </c>
      <c r="BQ50" s="170"/>
      <c r="BR50" s="170"/>
      <c r="BU50" s="21"/>
      <c r="BY50" s="14"/>
      <c r="BZ50" s="14"/>
      <c r="GR50" s="1" t="s">
        <v>277</v>
      </c>
      <c r="GS50" s="1">
        <v>8.9487241196615927E-2</v>
      </c>
    </row>
    <row r="51" spans="1:205" ht="15.6" x14ac:dyDescent="0.3">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c r="GR51" s="1" t="s">
        <v>278</v>
      </c>
      <c r="GS51" s="1">
        <v>0.278000783414176</v>
      </c>
    </row>
    <row r="52" spans="1:205" ht="15.6" x14ac:dyDescent="0.3">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c r="GR52" s="1" t="s">
        <v>279</v>
      </c>
      <c r="GS52" s="1">
        <v>38</v>
      </c>
    </row>
    <row r="53" spans="1:205" ht="15.6" x14ac:dyDescent="0.3">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c r="GR53" s="1" t="s">
        <v>280</v>
      </c>
      <c r="GS53" s="1">
        <v>44</v>
      </c>
    </row>
    <row r="54" spans="1:205" ht="15.6" x14ac:dyDescent="0.3">
      <c r="D54" s="1" t="s">
        <v>91</v>
      </c>
      <c r="E54" s="1">
        <v>120</v>
      </c>
      <c r="F54" s="1">
        <v>5.9509029363680046</v>
      </c>
      <c r="G54" s="1">
        <v>0.20400265522410566</v>
      </c>
      <c r="H54" s="1">
        <v>1.9882247380219502E-3</v>
      </c>
      <c r="I54" s="1">
        <v>-1.2665075522852213E-2</v>
      </c>
      <c r="J54" s="1">
        <v>0.2020144304860837</v>
      </c>
      <c r="BJ54" s="46"/>
      <c r="BQ54" s="46"/>
      <c r="GR54" s="1" t="s">
        <v>281</v>
      </c>
      <c r="GS54" s="1">
        <v>0.2247806564920222</v>
      </c>
    </row>
    <row r="55" spans="1:205" x14ac:dyDescent="0.25">
      <c r="D55" s="1" t="s">
        <v>94</v>
      </c>
      <c r="E55" s="1">
        <v>120</v>
      </c>
      <c r="F55" s="1">
        <v>2.9407578825736391</v>
      </c>
      <c r="G55" s="1">
        <v>0.41281875233385534</v>
      </c>
      <c r="H55" s="1">
        <v>-4.6133080851788809E-4</v>
      </c>
      <c r="I55" s="1">
        <v>-1.249999999999964E-2</v>
      </c>
      <c r="J55" s="1">
        <v>0.41328008314237324</v>
      </c>
      <c r="GR55" s="1" t="s">
        <v>282</v>
      </c>
      <c r="GS55" s="1">
        <v>0.20669963981283224</v>
      </c>
    </row>
    <row r="56" spans="1:205" ht="15.6" x14ac:dyDescent="0.3">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c r="GR56" s="1" t="s">
        <v>283</v>
      </c>
      <c r="GS56" s="1">
        <v>0.23585680821965893</v>
      </c>
    </row>
    <row r="57" spans="1:205" ht="15.6" x14ac:dyDescent="0.3">
      <c r="BH57" s="48"/>
      <c r="BJ57" s="49"/>
      <c r="BO57" s="48"/>
      <c r="BQ57" s="49"/>
      <c r="GR57" s="1" t="s">
        <v>284</v>
      </c>
      <c r="GS57" s="1">
        <v>0.22047411164728517</v>
      </c>
    </row>
    <row r="58" spans="1:205" ht="15.6" x14ac:dyDescent="0.3">
      <c r="BJ58" s="49"/>
      <c r="BL58" s="47" t="s">
        <v>82</v>
      </c>
      <c r="BM58" s="50">
        <v>2.5014686721071131</v>
      </c>
      <c r="BQ58" s="49"/>
      <c r="BS58" s="47" t="s">
        <v>82</v>
      </c>
      <c r="BT58" s="50">
        <v>2.2338493833369557</v>
      </c>
    </row>
    <row r="59" spans="1:205" x14ac:dyDescent="0.25">
      <c r="BL59" s="1" t="s">
        <v>92</v>
      </c>
      <c r="BM59" s="51">
        <v>0.16902744195528865</v>
      </c>
      <c r="BS59" s="1" t="s">
        <v>92</v>
      </c>
      <c r="BT59" s="51">
        <v>3.3737921953186929E-2</v>
      </c>
      <c r="GR59" s="1" t="s">
        <v>285</v>
      </c>
    </row>
    <row r="60" spans="1:205" x14ac:dyDescent="0.25">
      <c r="BL60" s="1" t="s">
        <v>62</v>
      </c>
      <c r="BM60" s="14">
        <v>0.66973378751338508</v>
      </c>
      <c r="BS60" s="1" t="s">
        <v>62</v>
      </c>
      <c r="BT60" s="14">
        <v>0.65061082748974697</v>
      </c>
      <c r="GR60" s="1">
        <v>9.3420203326431903E-2</v>
      </c>
      <c r="GS60" s="1">
        <v>-3.8578326832582875E-3</v>
      </c>
      <c r="GT60" s="1">
        <v>-4.9221224403366611E-4</v>
      </c>
      <c r="GU60" s="1">
        <v>-1.2058581722524624E-2</v>
      </c>
      <c r="GV60" s="1">
        <v>1.3661569187480948E-5</v>
      </c>
      <c r="GW60" s="1">
        <v>1.1422275325658073E-4</v>
      </c>
    </row>
    <row r="61" spans="1:205" x14ac:dyDescent="0.25">
      <c r="BL61" s="1" t="s">
        <v>66</v>
      </c>
      <c r="BM61" s="12">
        <v>1.5708437588731103</v>
      </c>
      <c r="BS61" s="1" t="s">
        <v>66</v>
      </c>
      <c r="BT61" s="12">
        <v>1.4998886834399847</v>
      </c>
      <c r="GR61" s="1">
        <v>-3.8578326832582905E-3</v>
      </c>
      <c r="GS61" s="1">
        <v>9.4187054800865394E-2</v>
      </c>
      <c r="GT61" s="1">
        <v>-1.0646139776498999E-3</v>
      </c>
      <c r="GU61" s="1">
        <v>-9.4626715966343253E-4</v>
      </c>
      <c r="GV61" s="1">
        <v>-1.2541854311699694E-2</v>
      </c>
      <c r="GW61" s="1">
        <v>2.4750860509810727E-4</v>
      </c>
    </row>
    <row r="62" spans="1:205" x14ac:dyDescent="0.25">
      <c r="BL62" s="1" t="s">
        <v>71</v>
      </c>
      <c r="BM62" s="12">
        <v>9.1863683765329066E-2</v>
      </c>
      <c r="BS62" s="1" t="s">
        <v>71</v>
      </c>
      <c r="BT62" s="12">
        <v>4.9611950454036956E-2</v>
      </c>
      <c r="GR62" s="1">
        <v>-4.9221224403366481E-4</v>
      </c>
      <c r="GS62" s="1">
        <v>-1.064613977649901E-3</v>
      </c>
      <c r="GT62" s="1">
        <v>9.6595688174817035E-2</v>
      </c>
      <c r="GU62" s="1">
        <v>8.462804458071552E-5</v>
      </c>
      <c r="GV62" s="1">
        <v>1.5443183915507132E-4</v>
      </c>
      <c r="GW62" s="1">
        <v>-1.1800830873700659E-2</v>
      </c>
    </row>
    <row r="63" spans="1:205" x14ac:dyDescent="0.25">
      <c r="GR63" s="1">
        <v>-1.2058581722524619E-2</v>
      </c>
      <c r="GS63" s="1">
        <v>-9.4626715966343242E-4</v>
      </c>
      <c r="GT63" s="1">
        <v>8.4628044580715642E-5</v>
      </c>
      <c r="GU63" s="1">
        <v>1.7075651977066406E-3</v>
      </c>
      <c r="GV63" s="1">
        <v>1.838869671571125E-4</v>
      </c>
      <c r="GW63" s="1">
        <v>-2.0055366161410718E-5</v>
      </c>
    </row>
    <row r="64" spans="1:205" x14ac:dyDescent="0.25">
      <c r="BI64" s="169" t="s">
        <v>129</v>
      </c>
      <c r="BJ64" s="170"/>
      <c r="BK64" s="170"/>
      <c r="BO64" s="169" t="s">
        <v>130</v>
      </c>
      <c r="BP64" s="170"/>
      <c r="BQ64" s="170"/>
      <c r="GR64" s="1">
        <v>1.3661569187481322E-5</v>
      </c>
      <c r="GS64" s="1">
        <v>-1.2541854311699695E-2</v>
      </c>
      <c r="GT64" s="1">
        <v>1.5443183915507113E-4</v>
      </c>
      <c r="GU64" s="1">
        <v>1.8388696715711253E-4</v>
      </c>
      <c r="GV64" s="1">
        <v>1.8033001492496115E-3</v>
      </c>
      <c r="GW64" s="1">
        <v>-3.6803902752019629E-5</v>
      </c>
    </row>
    <row r="65" spans="60:205" ht="15.6" x14ac:dyDescent="0.3">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c r="GR65" s="1">
        <v>1.1422275325658058E-4</v>
      </c>
      <c r="GS65" s="1">
        <v>2.4750860509810749E-4</v>
      </c>
      <c r="GT65" s="1">
        <v>-1.180083087370066E-2</v>
      </c>
      <c r="GU65" s="1">
        <v>-2.0055366161410705E-5</v>
      </c>
      <c r="GV65" s="1">
        <v>-3.6803902752019656E-5</v>
      </c>
      <c r="GW65" s="1">
        <v>1.576500877251155E-3</v>
      </c>
    </row>
    <row r="66" spans="60:205" ht="15.6" x14ac:dyDescent="0.3">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205" ht="15.6" x14ac:dyDescent="0.3">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c r="GR67" s="1" t="s">
        <v>286</v>
      </c>
    </row>
    <row r="68" spans="60:205" ht="15.6" x14ac:dyDescent="0.3">
      <c r="BJ68" s="46"/>
      <c r="BQ68" s="46"/>
      <c r="GR68" s="1" t="s">
        <v>287</v>
      </c>
    </row>
    <row r="69" spans="60:205" x14ac:dyDescent="0.25">
      <c r="GR69" s="1" t="s">
        <v>271</v>
      </c>
      <c r="GS69" s="1" t="s">
        <v>272</v>
      </c>
      <c r="GT69" s="1" t="s">
        <v>273</v>
      </c>
    </row>
    <row r="70" spans="60:205" ht="15.6" x14ac:dyDescent="0.3">
      <c r="BH70" s="48" t="s">
        <v>87</v>
      </c>
      <c r="BI70" s="11">
        <v>156.87421677282589</v>
      </c>
      <c r="BJ70" s="49" t="s">
        <v>88</v>
      </c>
      <c r="BK70" s="11">
        <v>4.1634318632652132</v>
      </c>
      <c r="BO70" s="48" t="s">
        <v>87</v>
      </c>
      <c r="BP70" s="11">
        <v>158.00423503548714</v>
      </c>
      <c r="BQ70" s="49" t="s">
        <v>88</v>
      </c>
      <c r="BR70" s="11">
        <v>4.0133389245761828</v>
      </c>
      <c r="GR70" s="1" t="s">
        <v>274</v>
      </c>
      <c r="GS70" s="1">
        <v>240.65582170334505</v>
      </c>
      <c r="GT70" s="1">
        <v>0.24929593702339123</v>
      </c>
    </row>
    <row r="71" spans="60:205" ht="15.6" x14ac:dyDescent="0.3">
      <c r="BH71" s="48"/>
      <c r="BJ71" s="49"/>
      <c r="BO71" s="48"/>
      <c r="BQ71" s="49"/>
      <c r="GR71" s="1" t="s">
        <v>275</v>
      </c>
      <c r="GS71" s="1">
        <v>118.55576332155938</v>
      </c>
      <c r="GT71" s="1">
        <v>0.25029012420796298</v>
      </c>
    </row>
    <row r="72" spans="60:205" ht="15.6" x14ac:dyDescent="0.3">
      <c r="BJ72" s="49"/>
      <c r="BL72" s="47" t="s">
        <v>82</v>
      </c>
      <c r="BM72" s="74">
        <v>2.536687702948659</v>
      </c>
      <c r="BQ72" s="49"/>
      <c r="BS72" s="47" t="s">
        <v>82</v>
      </c>
      <c r="BT72" s="50">
        <v>2.2978424545426903</v>
      </c>
      <c r="GR72" s="1" t="s">
        <v>276</v>
      </c>
      <c r="GS72" s="1">
        <v>46.806855787891116</v>
      </c>
      <c r="GT72" s="1">
        <v>0.2533772444728683</v>
      </c>
    </row>
    <row r="73" spans="60:205" x14ac:dyDescent="0.25">
      <c r="BL73" s="1" t="s">
        <v>92</v>
      </c>
      <c r="BM73" s="51">
        <v>0.16482003685112537</v>
      </c>
      <c r="BS73" s="1" t="s">
        <v>92</v>
      </c>
      <c r="BT73" s="51">
        <v>3.1890737364157713E-2</v>
      </c>
      <c r="GR73" s="1" t="s">
        <v>63</v>
      </c>
      <c r="GS73" s="1">
        <v>5.4517390016618767</v>
      </c>
      <c r="GT73" s="1">
        <v>3.4413926976978267E-2</v>
      </c>
    </row>
    <row r="74" spans="60:205" x14ac:dyDescent="0.25">
      <c r="BL74" s="1" t="s">
        <v>62</v>
      </c>
      <c r="BM74" s="14">
        <v>0.65198352038771223</v>
      </c>
      <c r="BS74" s="1" t="s">
        <v>62</v>
      </c>
      <c r="BT74" s="14">
        <v>0.63259186583580362</v>
      </c>
      <c r="GR74" s="1" t="s">
        <v>67</v>
      </c>
      <c r="GS74" s="1">
        <v>3.3241860363045044</v>
      </c>
      <c r="GT74" s="1">
        <v>3.5351217939551323E-2</v>
      </c>
    </row>
    <row r="75" spans="60:205" x14ac:dyDescent="0.25">
      <c r="BL75" s="1" t="s">
        <v>66</v>
      </c>
      <c r="BM75" s="12">
        <v>1.6513184242525232</v>
      </c>
      <c r="BS75" s="1" t="s">
        <v>66</v>
      </c>
      <c r="BT75" s="12">
        <v>1.5811139725081775</v>
      </c>
      <c r="GR75" s="1" t="s">
        <v>72</v>
      </c>
      <c r="GS75" s="1">
        <v>0.2500540282210012</v>
      </c>
      <c r="GT75" s="1">
        <v>3.3030556350255307E-2</v>
      </c>
    </row>
    <row r="76" spans="60:205" x14ac:dyDescent="0.25">
      <c r="BL76" s="1" t="s">
        <v>71</v>
      </c>
      <c r="BM76" s="12">
        <v>6.8565721457298334E-2</v>
      </c>
      <c r="BS76" s="1" t="s">
        <v>71</v>
      </c>
      <c r="BT76" s="12">
        <v>5.2245878834551389E-2</v>
      </c>
      <c r="GR76" s="1" t="s">
        <v>277</v>
      </c>
      <c r="GS76" s="1">
        <v>5.8840380190057814E-2</v>
      </c>
    </row>
    <row r="77" spans="60:205" x14ac:dyDescent="0.25">
      <c r="GR77" s="1" t="s">
        <v>278</v>
      </c>
      <c r="GS77" s="1">
        <v>0.22542557969831786</v>
      </c>
    </row>
    <row r="78" spans="60:205" x14ac:dyDescent="0.25">
      <c r="GR78" s="1" t="s">
        <v>279</v>
      </c>
      <c r="GS78" s="1">
        <v>38</v>
      </c>
    </row>
    <row r="79" spans="60:205" x14ac:dyDescent="0.25">
      <c r="GR79" s="1" t="s">
        <v>280</v>
      </c>
      <c r="GS79" s="1">
        <v>44</v>
      </c>
    </row>
    <row r="80" spans="60:205" x14ac:dyDescent="0.25">
      <c r="GR80" s="1" t="s">
        <v>281</v>
      </c>
      <c r="GS80" s="1">
        <v>0.18341423778012103</v>
      </c>
    </row>
    <row r="81" spans="13:205" x14ac:dyDescent="0.25">
      <c r="GR81" s="1" t="s">
        <v>282</v>
      </c>
      <c r="GS81" s="1">
        <v>0.16849774073810619</v>
      </c>
    </row>
    <row r="82" spans="13:205" x14ac:dyDescent="0.25">
      <c r="GR82" s="1" t="s">
        <v>283</v>
      </c>
      <c r="GS82" s="1">
        <v>0.19217439418951238</v>
      </c>
    </row>
    <row r="83" spans="13:205" x14ac:dyDescent="0.25">
      <c r="GR83" s="1" t="s">
        <v>284</v>
      </c>
      <c r="GS83" s="1">
        <v>0.1796845698867108</v>
      </c>
    </row>
    <row r="85" spans="13:205" x14ac:dyDescent="0.25">
      <c r="GR85" s="1" t="s">
        <v>285</v>
      </c>
    </row>
    <row r="86" spans="13:205" x14ac:dyDescent="0.25">
      <c r="GR86" s="1">
        <v>6.2148464216370644E-2</v>
      </c>
      <c r="GS86" s="1">
        <v>-2.4905014340889154E-3</v>
      </c>
      <c r="GT86" s="1">
        <v>-3.1850785754397181E-4</v>
      </c>
      <c r="GU86" s="1">
        <v>-8.1945347504424927E-3</v>
      </c>
      <c r="GV86" s="1">
        <v>-2.5123447196617625E-6</v>
      </c>
      <c r="GW86" s="1">
        <v>7.6166014610995575E-5</v>
      </c>
    </row>
    <row r="87" spans="13:205" x14ac:dyDescent="0.25">
      <c r="GR87" s="1">
        <v>-2.490501434088928E-3</v>
      </c>
      <c r="GS87" s="1">
        <v>6.2645146276037525E-2</v>
      </c>
      <c r="GT87" s="1">
        <v>-6.8723291347599946E-4</v>
      </c>
      <c r="GU87" s="1">
        <v>-6.586969724637256E-4</v>
      </c>
      <c r="GV87" s="1">
        <v>-8.5188364413914339E-3</v>
      </c>
      <c r="GW87" s="1">
        <v>1.6462767207481483E-4</v>
      </c>
    </row>
    <row r="88" spans="13:205" x14ac:dyDescent="0.25">
      <c r="GR88" s="1">
        <v>-3.1850785754397094E-4</v>
      </c>
      <c r="GS88" s="1">
        <v>-6.8723291347599794E-4</v>
      </c>
      <c r="GT88" s="1">
        <v>6.4200028016663677E-2</v>
      </c>
      <c r="GU88" s="1">
        <v>5.594256437015311E-5</v>
      </c>
      <c r="GV88" s="1">
        <v>1.0175381538089725E-4</v>
      </c>
      <c r="GW88" s="1">
        <v>-8.0075018036696952E-3</v>
      </c>
    </row>
    <row r="89" spans="13:205" x14ac:dyDescent="0.25">
      <c r="GR89" s="1">
        <v>-8.194534750442491E-3</v>
      </c>
      <c r="GS89" s="1">
        <v>-6.5869697246372712E-4</v>
      </c>
      <c r="GT89" s="1">
        <v>5.5942564370153246E-5</v>
      </c>
      <c r="GU89" s="1">
        <v>1.1843183699767924E-3</v>
      </c>
      <c r="GV89" s="1">
        <v>1.3008290417510711E-4</v>
      </c>
      <c r="GW89" s="1">
        <v>-1.3654596398674619E-5</v>
      </c>
    </row>
    <row r="90" spans="13:205" x14ac:dyDescent="0.25">
      <c r="GR90" s="1">
        <v>-2.5123447196600481E-6</v>
      </c>
      <c r="GS90" s="1">
        <v>-8.5188364413914357E-3</v>
      </c>
      <c r="GT90" s="1">
        <v>1.0175381538089748E-4</v>
      </c>
      <c r="GU90" s="1">
        <v>1.3008290417510689E-4</v>
      </c>
      <c r="GV90" s="1">
        <v>1.2497086098096554E-3</v>
      </c>
      <c r="GW90" s="1">
        <v>-2.4972941753153038E-5</v>
      </c>
    </row>
    <row r="91" spans="13:205" x14ac:dyDescent="0.25">
      <c r="GR91" s="1">
        <v>7.616601461099544E-5</v>
      </c>
      <c r="GS91" s="1">
        <v>1.6462767207481465E-4</v>
      </c>
      <c r="GT91" s="1">
        <v>-8.0075018036696952E-3</v>
      </c>
      <c r="GU91" s="1">
        <v>-1.3654596398674597E-5</v>
      </c>
      <c r="GV91" s="1">
        <v>-2.4972941753153001E-5</v>
      </c>
      <c r="GW91" s="1">
        <v>1.0910176528073914E-3</v>
      </c>
    </row>
    <row r="92" spans="13:205" x14ac:dyDescent="0.25">
      <c r="M92" s="1" t="s">
        <v>108</v>
      </c>
      <c r="N92" s="1" t="s">
        <v>109</v>
      </c>
      <c r="O92" s="1" t="s">
        <v>62</v>
      </c>
      <c r="P92" s="1" t="s">
        <v>71</v>
      </c>
      <c r="Q92" s="1" t="s">
        <v>66</v>
      </c>
      <c r="R92" s="1" t="s">
        <v>53</v>
      </c>
      <c r="S92" s="1" t="s">
        <v>54</v>
      </c>
      <c r="T92" s="1" t="s">
        <v>55</v>
      </c>
      <c r="U92" s="1" t="s">
        <v>36</v>
      </c>
    </row>
    <row r="93" spans="13:205" x14ac:dyDescent="0.25">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5">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5">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5">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5">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5">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5">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5">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5">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5">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5">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5">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5">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5">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5">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5">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5">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5">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5">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5">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GW112"/>
  <sheetViews>
    <sheetView zoomScale="90" zoomScaleNormal="90" workbookViewId="0">
      <pane xSplit="1" topLeftCell="B1" activePane="topRight" state="frozen"/>
      <selection activeCell="BA26" sqref="BA26:BA28"/>
      <selection pane="topRight" activeCell="BD2" sqref="BD2:BE23"/>
    </sheetView>
  </sheetViews>
  <sheetFormatPr defaultColWidth="9.109375" defaultRowHeight="15" x14ac:dyDescent="0.25"/>
  <cols>
    <col min="1" max="1" width="12.6640625" style="1" customWidth="1"/>
    <col min="2" max="2" width="16.6640625" style="1" bestFit="1" customWidth="1"/>
    <col min="3" max="4" width="33.88671875" style="1" bestFit="1" customWidth="1"/>
    <col min="5" max="5" width="16.44140625" style="1" bestFit="1" customWidth="1"/>
    <col min="6" max="6" width="17" style="1" bestFit="1" customWidth="1"/>
    <col min="7" max="7" width="23.5546875" style="1" customWidth="1"/>
    <col min="8" max="8" width="22.109375" style="1" bestFit="1" customWidth="1"/>
    <col min="9" max="9" width="19.109375" style="1" bestFit="1" customWidth="1"/>
    <col min="10" max="10" width="25.44140625" style="1" bestFit="1" customWidth="1"/>
    <col min="11" max="11" width="11.88671875" style="1" bestFit="1" customWidth="1"/>
    <col min="12" max="12" width="14.44140625" style="1" bestFit="1" customWidth="1"/>
    <col min="13" max="13" width="17.109375" style="1" bestFit="1" customWidth="1"/>
    <col min="14" max="14" width="15.5546875" style="1" hidden="1" customWidth="1"/>
    <col min="15" max="15" width="12.109375" style="1" hidden="1" customWidth="1"/>
    <col min="16" max="16" width="14.33203125" style="1" hidden="1" customWidth="1"/>
    <col min="17" max="21" width="15.5546875" style="1" hidden="1" customWidth="1"/>
    <col min="22" max="22" width="9.33203125" style="1" bestFit="1" customWidth="1"/>
    <col min="23" max="23" width="9.33203125" style="1" hidden="1" customWidth="1"/>
    <col min="24" max="24" width="10.5546875" style="1" hidden="1" customWidth="1"/>
    <col min="25" max="28" width="12.44140625" style="1" hidden="1" customWidth="1"/>
    <col min="29" max="29" width="9.33203125" style="1" bestFit="1" customWidth="1"/>
    <col min="30" max="30" width="9.33203125" style="1" customWidth="1"/>
    <col min="31" max="31" width="7.88671875" style="1" bestFit="1" customWidth="1"/>
    <col min="32" max="32" width="11.88671875" style="1" bestFit="1" customWidth="1"/>
    <col min="33" max="33" width="14.109375" style="1" hidden="1" customWidth="1"/>
    <col min="34" max="43" width="14.109375" style="1" customWidth="1"/>
    <col min="44" max="45" width="16.88671875" style="1" bestFit="1" customWidth="1"/>
    <col min="46" max="46" width="12.44140625" style="1" customWidth="1"/>
    <col min="47" max="47" width="14.33203125" style="1" bestFit="1" customWidth="1"/>
    <col min="48" max="52" width="13.44140625" style="1" customWidth="1"/>
    <col min="53" max="53" width="9.109375" style="1"/>
    <col min="54" max="54" width="13.109375" style="1" bestFit="1" customWidth="1"/>
    <col min="55" max="55" width="23.109375" style="1" bestFit="1" customWidth="1"/>
    <col min="56" max="56" width="22.5546875" style="1" bestFit="1" customWidth="1"/>
    <col min="57" max="57" width="19.88671875" style="1" bestFit="1" customWidth="1"/>
    <col min="58" max="59" width="9.33203125" style="1" bestFit="1" customWidth="1"/>
    <col min="60" max="60" width="9.5546875" style="1" bestFit="1" customWidth="1"/>
    <col min="61" max="61" width="9.33203125" style="1" bestFit="1" customWidth="1"/>
    <col min="62" max="62" width="20.5546875" style="1" bestFit="1" customWidth="1"/>
    <col min="63" max="63" width="9.33203125" style="1" bestFit="1" customWidth="1"/>
    <col min="64" max="71" width="14.109375" style="1" customWidth="1"/>
    <col min="72" max="72" width="11.5546875" style="1" customWidth="1"/>
    <col min="73" max="75" width="10.88671875" style="1" bestFit="1" customWidth="1"/>
    <col min="76" max="76" width="9.33203125" style="1" bestFit="1" customWidth="1"/>
    <col min="77" max="77" width="11.109375" style="1" bestFit="1" customWidth="1"/>
    <col min="78" max="78" width="11.109375" style="1" customWidth="1"/>
    <col min="79" max="90" width="9.33203125" style="1" bestFit="1" customWidth="1"/>
    <col min="91" max="91" width="12.109375" style="1" bestFit="1" customWidth="1"/>
    <col min="92" max="92" width="12.33203125" style="1" bestFit="1" customWidth="1"/>
    <col min="93" max="93" width="20.6640625" style="1" bestFit="1" customWidth="1"/>
    <col min="94" max="94" width="9.109375" style="1"/>
    <col min="95" max="95" width="5.5546875" style="1" customWidth="1"/>
    <col min="96" max="96" width="5.6640625" style="1" customWidth="1"/>
    <col min="97" max="97" width="4.6640625" style="1" customWidth="1"/>
    <col min="98" max="98" width="13.88671875" style="1" bestFit="1" customWidth="1"/>
    <col min="99" max="104" width="9.109375" style="1"/>
    <col min="105" max="105" width="15.44140625" style="1" bestFit="1" customWidth="1"/>
    <col min="106" max="106" width="16" style="1" bestFit="1" customWidth="1"/>
    <col min="107" max="107" width="12.6640625" style="1" bestFit="1" customWidth="1"/>
    <col min="108" max="108" width="12.6640625" style="1" customWidth="1"/>
    <col min="109" max="112" width="9.109375" style="1"/>
    <col min="113" max="113" width="16.6640625" style="1" bestFit="1" customWidth="1"/>
    <col min="114" max="16384" width="9.109375" style="1"/>
  </cols>
  <sheetData>
    <row r="1" spans="1:171" ht="15.6" x14ac:dyDescent="0.3">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5">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c r="ET2" s="1">
        <f t="shared" ref="ET2:ET23" si="36">(0.02/$B$40)^2+9*(0.001/$B$38)^2+(Q2/M2)^2</f>
        <v>3.0962041697548578E-5</v>
      </c>
      <c r="EU2" s="1">
        <f t="shared" ref="EU2:EU23" si="37">4*(AH2)^2*(0.0002/F2)^2</f>
        <v>0.16830909630848601</v>
      </c>
      <c r="EV2" s="1">
        <f t="shared" ref="EV2:EV23" si="38">4*(AI2)^2*(0.0002/G2)^2</f>
        <v>1.3716453171496432E-3</v>
      </c>
      <c r="EW2" s="1">
        <f t="shared" ref="EW2:EW23" si="39">4*(AF2)^2*(0.0002/I2)^2</f>
        <v>2.1617998816802347E-3</v>
      </c>
      <c r="EX2" s="1">
        <f t="shared" ref="EX2:EX23" si="40">(AH2)^2*ET2+1*EU2</f>
        <v>1.8792939920218097</v>
      </c>
      <c r="EY2" s="1">
        <f t="shared" ref="EY2:EY23" si="41">(AJ2)^2*ET2+1*EU2+1*EV2+9*EW2</f>
        <v>0.61460565855184746</v>
      </c>
      <c r="EZ2" s="1">
        <f t="shared" ref="EZ2:EZ23" si="42">(AI2)^2*ET2+1*EV2</f>
        <v>7.0661396264444884E-2</v>
      </c>
      <c r="FA2" s="1">
        <f t="shared" ref="FA2:FA23" si="43">(AH2)*(AJ2)*ET2+1*EU2</f>
        <v>1.0215209985234437</v>
      </c>
      <c r="FB2" s="1">
        <f t="shared" ref="FB2:FB23" si="44">(AH2)*(AI2)*ET2</f>
        <v>0.34431630414280429</v>
      </c>
      <c r="FC2" s="1">
        <f t="shared" ref="FC2:FC23" si="45">(AJ2)*(AI2)*ET2+1*EV2</f>
        <v>0.17307086344427916</v>
      </c>
      <c r="FD2" s="1">
        <f t="shared" ref="FD2:FD23" si="46">20*(AI2)^2/(3*((AH2)-(AJ2))+4*(AI2))^2</f>
        <v>0.15192265004115077</v>
      </c>
      <c r="FE2" s="1">
        <f t="shared" ref="FE2:FE23" si="47">15*((AH2)-(AJ2))^2/(3*((AH2)-(AJ2))+4*(AI2))^2</f>
        <v>0.70715294103921167</v>
      </c>
      <c r="FF2" s="1">
        <f t="shared" ref="FF2:FF23" si="48">(0.2+FD2)/2</f>
        <v>0.17596132502057538</v>
      </c>
      <c r="FG2" s="1">
        <f t="shared" ref="FG2:FG23" si="49">(-0.2-FD2)/2</f>
        <v>-0.17596132502057538</v>
      </c>
      <c r="FH2" s="1">
        <f t="shared" ref="FH2:FH23" si="50">(0.6+FE2)/2</f>
        <v>0.65357647051960588</v>
      </c>
      <c r="FI2" s="1">
        <f t="shared" ref="FI2:FI23" si="51">SQRT(EX2)</f>
        <v>1.3708734412854491</v>
      </c>
      <c r="FJ2" s="1">
        <f t="shared" ref="FJ2:FJ23" si="52">SQRT(EY2)</f>
        <v>0.78396789382719456</v>
      </c>
      <c r="FK2" s="1">
        <f t="shared" ref="FK2:FK23" si="53">SQRT(EZ2)</f>
        <v>0.26582211394924404</v>
      </c>
      <c r="FL2" s="1">
        <f t="shared" ref="FL2:FL23" si="54">SQRT(EX2/9+4*EY2/9+(4/9)*FA2)</f>
        <v>0.96745948065154264</v>
      </c>
      <c r="FM2" s="1">
        <f t="shared" ref="FM2:FM23" si="55">SQRT((EX2+EY2+9*EZ2)/25+(-2*FA2+6*FB2-6*FC2)/25)</f>
        <v>0.29081147598386992</v>
      </c>
      <c r="FN2" s="1">
        <f t="shared" ref="FN2:FN23" si="56">SQRT(FD2^2*(EX2+EY2)-2*FD2^2*FA2+FE2^2*EZ2+2*FD2*FE2*(FB2-FC2))</f>
        <v>0.2872907858925412</v>
      </c>
      <c r="FO2" s="1">
        <f t="shared" ref="FO2:FO23" si="57">SQRT(FF2^2*EX2+FG2^2*EY2+FH2^2*EZ2+2*FF2*FG2*FA2+2*FF2*FH2*FB2+2*FG2*FH2*FC2)</f>
        <v>0.28901797662697198</v>
      </c>
    </row>
    <row r="3" spans="1:171" x14ac:dyDescent="0.25">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8">1/((-2/(I3^2))+(1/(F3^2))+(0.6666/(G3^2)))</f>
        <v>7.2928628321772243E-2</v>
      </c>
      <c r="K3" s="13">
        <f t="shared" ref="K3:K23" si="59">(J3*(E3-E2)+0.5*(E3-E2)*(J2-J3))</f>
        <v>9.8034025785622026E-3</v>
      </c>
      <c r="L3" s="13">
        <f>SUM(K$3:$K3)</f>
        <v>9.8034025785622026E-3</v>
      </c>
      <c r="M3" s="72">
        <f>$B$38/((L3*$B$43+1))</f>
        <v>0.70380627040878718</v>
      </c>
      <c r="N3" s="12">
        <f t="shared" ref="N3:N23" si="60">(6*F3*G3*SQRT(9*(G3^6)*(0.0002^2)+16*(F3^6)*(0.0002)^2))/((4*F3^2 - 3*G3^2)^2)</f>
        <v>1.6605783510823934E-4</v>
      </c>
      <c r="O3" s="21">
        <f t="shared" ref="O3:O23" si="61">(((E3-E2)/2)^2)*(N3^2+N4^2)</f>
        <v>2.216109036549626E-10</v>
      </c>
      <c r="P3" s="11">
        <f>SUM(O$2:$O3)</f>
        <v>2.216109036549626E-10</v>
      </c>
      <c r="Q3" s="12">
        <f t="shared" ref="Q3:Q23" si="62">SQRT(((M30*0.001)^2)+((N30*0.02)^2)+((O30*P3)^2))</f>
        <v>1.0002752348480628E-3</v>
      </c>
      <c r="R3" s="3">
        <f t="shared" si="0"/>
        <v>0.34862569680329186</v>
      </c>
      <c r="S3" s="1">
        <f t="shared" ref="S3:S23" si="63">3*Q3/M3*R3</f>
        <v>1.4864388059860701E-3</v>
      </c>
      <c r="T3" s="1">
        <f t="shared" ref="T3:T23" si="64">R3/$R$2</f>
        <v>0.99917467492271073</v>
      </c>
      <c r="U3" s="1">
        <f t="shared" ref="U3:U23" si="65">T3*3*SQRT((Q3/M3)^2)+(0.001/$M$2)^2</f>
        <v>4.2622085616746451E-3</v>
      </c>
      <c r="V3" s="11">
        <f t="shared" ref="V3:V23" si="66">$B$40/((M3/$M$2)^3)</f>
        <v>6.0950303814206253</v>
      </c>
      <c r="W3" s="12">
        <f t="shared" ref="W3:W23" si="67">(SQRT((0.02/$V$2)^2+(9*(0.001/$M$2)^2)+(9*(Q3/M3)^2))*V3)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68">2*M3/I3</f>
        <v>2.9318687990735297</v>
      </c>
      <c r="AD3" s="1">
        <f t="shared" ref="AD3:AD23" si="69">2*M3/F3</f>
        <v>6.2631339118227052</v>
      </c>
      <c r="AE3" s="14">
        <f t="shared" ref="AE3:AE23" si="70">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71">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72">AR3-AH3</f>
        <v>2.6261201587747678</v>
      </c>
      <c r="AW3" s="11">
        <f t="shared" ref="AW3:AW23" si="73">AS3-AI3</f>
        <v>-0.13899046878923116</v>
      </c>
      <c r="AX3" s="11">
        <f t="shared" ref="AX3:AX23" si="74">AT3-AJ3</f>
        <v>-3.2944029896221139</v>
      </c>
      <c r="AY3" s="11">
        <f t="shared" ref="AY3:AY23" si="75">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76">2*BF3/BE3</f>
        <v>2.9318687990735297</v>
      </c>
      <c r="BN3" s="14">
        <f>2*BF3/BB3</f>
        <v>6.2631339118227052</v>
      </c>
      <c r="BO3" s="14">
        <f>2*BF3/BC3</f>
        <v>2.7750772257351808</v>
      </c>
      <c r="BP3" s="14">
        <f t="shared" ref="BP3:BP23" si="77">BI3*BM3^2</f>
        <v>52.391995276384257</v>
      </c>
      <c r="BQ3" s="15">
        <f t="shared" ref="BQ3:BQ23" si="78">BI3*BN3^2</f>
        <v>239.08882055961692</v>
      </c>
      <c r="BR3" s="15">
        <f t="shared" ref="BR3:BR23" si="79">BI3*BO3^2</f>
        <v>46.938155714548785</v>
      </c>
      <c r="BS3" s="15">
        <f t="shared" ref="BS3:BS23" si="80">BQ3+BR3-3*BP3</f>
        <v>128.85099044501291</v>
      </c>
      <c r="BT3" s="18">
        <f t="shared" si="21"/>
        <v>241.55157612944618</v>
      </c>
      <c r="BU3" s="18">
        <f t="shared" si="22"/>
        <v>46.82242368829786</v>
      </c>
      <c r="BV3" s="18">
        <f t="shared" si="23"/>
        <v>125.45326673865118</v>
      </c>
      <c r="BW3" s="11">
        <f t="shared" ref="BW3:BW23" si="81">BT3-BQ3</f>
        <v>2.4627555698292554</v>
      </c>
      <c r="BX3" s="11">
        <f t="shared" ref="BX3:BX23" si="82">BV3-AJ3</f>
        <v>-3.3977237063617309</v>
      </c>
      <c r="BY3" s="11">
        <f t="shared" ref="BY3:BY23" si="83">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c r="ET3" s="1">
        <f t="shared" si="36"/>
        <v>3.0964264071316209E-5</v>
      </c>
      <c r="EU3" s="1">
        <f t="shared" si="37"/>
        <v>0.18107381924022192</v>
      </c>
      <c r="EV3" s="1">
        <f t="shared" si="38"/>
        <v>1.3701115176327336E-3</v>
      </c>
      <c r="EW3" s="1">
        <f t="shared" si="39"/>
        <v>1.9053408022507465E-3</v>
      </c>
      <c r="EX3" s="1">
        <f t="shared" si="40"/>
        <v>1.9510984173774828</v>
      </c>
      <c r="EY3" s="1">
        <f t="shared" si="41"/>
        <v>0.71367859934256073</v>
      </c>
      <c r="EZ3" s="1">
        <f t="shared" si="42"/>
        <v>6.9590282778790161E-2</v>
      </c>
      <c r="FA3" s="1">
        <f t="shared" si="43"/>
        <v>1.1349846798492513</v>
      </c>
      <c r="FB3" s="1">
        <f t="shared" si="44"/>
        <v>0.34749299449252974</v>
      </c>
      <c r="FC3" s="1">
        <f t="shared" si="45"/>
        <v>0.18864284308352058</v>
      </c>
      <c r="FD3" s="1">
        <f t="shared" si="46"/>
        <v>0.16392352549507772</v>
      </c>
      <c r="FE3" s="1">
        <f t="shared" si="47"/>
        <v>0.67812822160943331</v>
      </c>
      <c r="FF3" s="1">
        <f t="shared" si="48"/>
        <v>0.18196176274753886</v>
      </c>
      <c r="FG3" s="1">
        <f t="shared" si="49"/>
        <v>-0.18196176274753886</v>
      </c>
      <c r="FH3" s="1">
        <f t="shared" si="50"/>
        <v>0.63906411080471659</v>
      </c>
      <c r="FI3" s="1">
        <f t="shared" si="51"/>
        <v>1.3968172455183545</v>
      </c>
      <c r="FJ3" s="1">
        <f t="shared" si="52"/>
        <v>0.84479500433096832</v>
      </c>
      <c r="FK3" s="1">
        <f t="shared" si="53"/>
        <v>0.26379970200663638</v>
      </c>
      <c r="FL3" s="1">
        <f t="shared" si="54"/>
        <v>1.0190273976332491</v>
      </c>
      <c r="FM3" s="1">
        <f t="shared" si="55"/>
        <v>0.28101395769496629</v>
      </c>
      <c r="FN3" s="1">
        <f t="shared" si="56"/>
        <v>0.27915304599492785</v>
      </c>
      <c r="FO3" s="1">
        <f t="shared" si="57"/>
        <v>0.28006578461449022</v>
      </c>
    </row>
    <row r="4" spans="1:171" x14ac:dyDescent="0.25">
      <c r="A4" s="11">
        <v>1.635683502844302</v>
      </c>
      <c r="B4" s="3">
        <v>60</v>
      </c>
      <c r="C4" s="12">
        <v>0.19870445393449762</v>
      </c>
      <c r="D4" s="12">
        <v>0.40424966477611346</v>
      </c>
      <c r="E4" s="11">
        <v>1.635683502844302</v>
      </c>
      <c r="F4" s="12">
        <v>0.22094572005565327</v>
      </c>
      <c r="G4" s="12">
        <v>0.50583364660407459</v>
      </c>
      <c r="H4" s="12">
        <f t="shared" ref="H4:H23" si="84">C4*0.704/0.607</f>
        <v>0.23045788397015871</v>
      </c>
      <c r="I4" s="12">
        <f t="shared" ref="I4:I23" si="85">D4*0.704/0.607</f>
        <v>0.46884969357888606</v>
      </c>
      <c r="J4" s="12">
        <f t="shared" si="58"/>
        <v>7.1471640035327674E-2</v>
      </c>
      <c r="K4" s="13">
        <f t="shared" si="59"/>
        <v>0.10877315508592117</v>
      </c>
      <c r="L4" s="13">
        <f>SUM(K$3:$K4)</f>
        <v>0.11857655766448337</v>
      </c>
      <c r="M4" s="72">
        <f t="shared" ref="M4:M23" si="86">$B$38/((L4*$B$43+1))</f>
        <v>0.70166388640963195</v>
      </c>
      <c r="N4" s="12">
        <f t="shared" si="60"/>
        <v>1.5994952484815503E-4</v>
      </c>
      <c r="O4" s="21">
        <f t="shared" si="61"/>
        <v>2.8357893464738583E-8</v>
      </c>
      <c r="P4" s="11">
        <f>SUM(O$2:$O4)</f>
        <v>2.8579504368393547E-8</v>
      </c>
      <c r="Q4" s="12">
        <f t="shared" si="62"/>
        <v>1.0033254584318441E-3</v>
      </c>
      <c r="R4" s="3">
        <f t="shared" si="0"/>
        <v>0.34545173151642516</v>
      </c>
      <c r="S4" s="1">
        <f t="shared" si="63"/>
        <v>1.4819083193663722E-3</v>
      </c>
      <c r="T4" s="1">
        <f t="shared" si="64"/>
        <v>0.99007796816012683</v>
      </c>
      <c r="U4" s="1">
        <f t="shared" si="65"/>
        <v>4.2492240125235475E-3</v>
      </c>
      <c r="V4" s="11">
        <f t="shared" si="66"/>
        <v>6.1510307226784535</v>
      </c>
      <c r="W4" s="12">
        <f t="shared" si="67"/>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68"/>
        <v>2.9931293376928436</v>
      </c>
      <c r="AD4" s="1">
        <f t="shared" si="69"/>
        <v>6.3514594103284026</v>
      </c>
      <c r="AE4" s="14">
        <f t="shared" si="70"/>
        <v>2.7742871243155451</v>
      </c>
      <c r="AF4" s="14">
        <f t="shared" si="5"/>
        <v>55.105996940046886</v>
      </c>
      <c r="AG4" s="14" t="e">
        <f>V4*#REF!*#REF!</f>
        <v>#REF!</v>
      </c>
      <c r="AH4" s="15">
        <f t="shared" si="6"/>
        <v>248.13895576379096</v>
      </c>
      <c r="AI4" s="16">
        <f t="shared" si="7"/>
        <v>47.342447777416027</v>
      </c>
      <c r="AJ4" s="15">
        <f t="shared" si="8"/>
        <v>130.16341272106632</v>
      </c>
      <c r="AK4" s="7"/>
      <c r="AL4" s="12">
        <f t="shared" si="71"/>
        <v>0.70166388640963195</v>
      </c>
      <c r="AM4" s="14">
        <f t="shared" si="9"/>
        <v>0.34545173151642516</v>
      </c>
      <c r="AN4" s="14">
        <f t="shared" si="10"/>
        <v>1.0100214651360351</v>
      </c>
      <c r="AO4" s="11">
        <f t="shared" ref="AO4:AO23" si="87">$AO$2/((AL4/$AL$2)^3)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72"/>
        <v>1.632821971608621</v>
      </c>
      <c r="AW4" s="11">
        <f t="shared" si="73"/>
        <v>-0.17593440755031509</v>
      </c>
      <c r="AX4" s="11">
        <f t="shared" si="74"/>
        <v>-0.28700382994657048</v>
      </c>
      <c r="AY4" s="11">
        <f t="shared" si="75"/>
        <v>2.7551681534644601E-2</v>
      </c>
      <c r="AZ4" s="90"/>
      <c r="BB4" s="12">
        <v>0.22094572005565327</v>
      </c>
      <c r="BC4" s="12">
        <v>0.50583364660407459</v>
      </c>
      <c r="BD4" s="12">
        <f t="shared" ref="BD4:BD23" si="88">C4*$BF$2/0.607</f>
        <v>0.23045788397015871</v>
      </c>
      <c r="BE4" s="12">
        <f t="shared" ref="BE4:BE23" si="89">D4*$BF$2/0.607</f>
        <v>0.46884969357888606</v>
      </c>
      <c r="BF4" s="12">
        <v>0.70166388640963195</v>
      </c>
      <c r="BG4" s="14">
        <f t="shared" si="16"/>
        <v>0.34545173151642516</v>
      </c>
      <c r="BH4" s="14">
        <f t="shared" si="17"/>
        <v>1.0100214651360351</v>
      </c>
      <c r="BI4" s="11">
        <f t="shared" ref="BI4:BI23" si="90">$BI$2/((BF4/$BF$2)^3)</f>
        <v>6.1510307226784535</v>
      </c>
      <c r="BJ4" s="11">
        <f t="shared" si="18"/>
        <v>1.6624532255863167</v>
      </c>
      <c r="BK4" s="12">
        <f t="shared" si="19"/>
        <v>-3.3349336554379105E-3</v>
      </c>
      <c r="BL4" s="11">
        <f t="shared" si="20"/>
        <v>2.6769722742014723E-2</v>
      </c>
      <c r="BM4" s="14">
        <f t="shared" si="76"/>
        <v>2.9931293376928436</v>
      </c>
      <c r="BN4" s="14">
        <f t="shared" ref="BN4:BN23" si="91">2*BF4/BB4</f>
        <v>6.3514594103284026</v>
      </c>
      <c r="BO4" s="14">
        <f t="shared" ref="BO4:BO23" si="92">2*BF4/BC4</f>
        <v>2.7742871243155451</v>
      </c>
      <c r="BP4" s="14">
        <f t="shared" si="77"/>
        <v>55.105996940046886</v>
      </c>
      <c r="BQ4" s="15">
        <f t="shared" si="78"/>
        <v>248.13895576379096</v>
      </c>
      <c r="BR4" s="15">
        <f t="shared" si="79"/>
        <v>47.342447777416027</v>
      </c>
      <c r="BS4" s="15">
        <f t="shared" si="80"/>
        <v>130.16341272106632</v>
      </c>
      <c r="BT4" s="18">
        <f t="shared" si="21"/>
        <v>249.74149485398002</v>
      </c>
      <c r="BU4" s="18">
        <f t="shared" si="22"/>
        <v>47.185852948256965</v>
      </c>
      <c r="BV4" s="18">
        <f t="shared" si="23"/>
        <v>129.85626236411264</v>
      </c>
      <c r="BW4" s="11">
        <f t="shared" si="81"/>
        <v>1.6025390901890546</v>
      </c>
      <c r="BX4" s="11">
        <f t="shared" si="82"/>
        <v>-0.30715035695368442</v>
      </c>
      <c r="BY4" s="11">
        <f t="shared" si="83"/>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c r="ET4" s="1">
        <f t="shared" si="36"/>
        <v>3.098903089349431E-5</v>
      </c>
      <c r="EU4" s="1">
        <f t="shared" si="37"/>
        <v>0.20180814790654755</v>
      </c>
      <c r="EV4" s="1">
        <f t="shared" si="38"/>
        <v>1.401541533501685E-3</v>
      </c>
      <c r="EW4" s="1">
        <f t="shared" si="39"/>
        <v>2.210295997029839E-3</v>
      </c>
      <c r="EX4" s="1">
        <f t="shared" si="40"/>
        <v>2.1098939301487012</v>
      </c>
      <c r="EY4" s="1">
        <f t="shared" si="41"/>
        <v>0.74813444351968894</v>
      </c>
      <c r="EZ4" s="1">
        <f t="shared" si="42"/>
        <v>7.0857484602619036E-2</v>
      </c>
      <c r="FA4" s="1">
        <f t="shared" si="43"/>
        <v>1.2027108736261094</v>
      </c>
      <c r="FB4" s="1">
        <f t="shared" si="44"/>
        <v>0.36404381255887774</v>
      </c>
      <c r="FC4" s="1">
        <f t="shared" si="45"/>
        <v>0.19236383875441337</v>
      </c>
      <c r="FD4" s="1">
        <f t="shared" si="46"/>
        <v>0.15186501110951342</v>
      </c>
      <c r="FE4" s="1">
        <f t="shared" si="47"/>
        <v>0.7072965541036792</v>
      </c>
      <c r="FF4" s="1">
        <f t="shared" si="48"/>
        <v>0.1759325055547567</v>
      </c>
      <c r="FG4" s="1">
        <f t="shared" si="49"/>
        <v>-0.1759325055547567</v>
      </c>
      <c r="FH4" s="1">
        <f t="shared" si="50"/>
        <v>0.65364827705183959</v>
      </c>
      <c r="FI4" s="1">
        <f t="shared" si="51"/>
        <v>1.4525473934260118</v>
      </c>
      <c r="FJ4" s="1">
        <f t="shared" si="52"/>
        <v>0.86494765362979564</v>
      </c>
      <c r="FK4" s="1">
        <f t="shared" si="53"/>
        <v>0.26619069217878194</v>
      </c>
      <c r="FL4" s="1">
        <f t="shared" si="54"/>
        <v>1.0495118017827725</v>
      </c>
      <c r="FM4" s="1">
        <f t="shared" si="55"/>
        <v>0.29123212945460047</v>
      </c>
      <c r="FN4" s="1">
        <f t="shared" si="56"/>
        <v>0.28769384349098476</v>
      </c>
      <c r="FO4" s="1">
        <f t="shared" si="57"/>
        <v>0.28942906276246322</v>
      </c>
    </row>
    <row r="5" spans="1:171" x14ac:dyDescent="0.25">
      <c r="A5" s="11">
        <v>2.4965695569728967</v>
      </c>
      <c r="B5" s="3">
        <v>90</v>
      </c>
      <c r="C5" s="12">
        <v>0.19712306763281529</v>
      </c>
      <c r="D5" s="12">
        <v>0.40093724266502045</v>
      </c>
      <c r="E5" s="11">
        <v>2.4965695569728967</v>
      </c>
      <c r="F5" s="12">
        <v>0.21874572005565329</v>
      </c>
      <c r="G5" s="12">
        <v>0.50583364660407459</v>
      </c>
      <c r="H5" s="12">
        <f t="shared" si="84"/>
        <v>0.22862378849011855</v>
      </c>
      <c r="I5" s="12">
        <f t="shared" si="85"/>
        <v>0.46500793877458718</v>
      </c>
      <c r="J5" s="12">
        <f t="shared" si="58"/>
        <v>7.0152195264707715E-2</v>
      </c>
      <c r="K5" s="13">
        <f t="shared" si="59"/>
        <v>6.0960992371002727E-2</v>
      </c>
      <c r="L5" s="13">
        <f>SUM(K$3:$K5)</f>
        <v>0.1795375500354861</v>
      </c>
      <c r="M5" s="72">
        <f t="shared" si="86"/>
        <v>0.70046889896090037</v>
      </c>
      <c r="N5" s="12">
        <f t="shared" si="60"/>
        <v>1.5618171297467797E-4</v>
      </c>
      <c r="O5" s="21">
        <f t="shared" si="61"/>
        <v>8.8434243448866546E-9</v>
      </c>
      <c r="P5" s="11">
        <f>SUM(O$2:$O5)</f>
        <v>3.7422928713280205E-8</v>
      </c>
      <c r="Q5" s="12">
        <f t="shared" si="62"/>
        <v>1.0050316869084539E-3</v>
      </c>
      <c r="R5" s="3">
        <f t="shared" si="0"/>
        <v>0.34368974329471325</v>
      </c>
      <c r="S5" s="1">
        <f t="shared" si="63"/>
        <v>1.4793765275904144E-3</v>
      </c>
      <c r="T5" s="1">
        <f t="shared" si="64"/>
        <v>0.98502804205086469</v>
      </c>
      <c r="U5" s="1">
        <f t="shared" si="65"/>
        <v>4.241967799777582E-3</v>
      </c>
      <c r="V5" s="11">
        <f t="shared" si="66"/>
        <v>6.1825651047663532</v>
      </c>
      <c r="W5" s="12">
        <f t="shared" si="67"/>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68"/>
        <v>3.0127180228656396</v>
      </c>
      <c r="AD5" s="1">
        <f t="shared" si="69"/>
        <v>6.4044123814873917</v>
      </c>
      <c r="AE5" s="14">
        <f t="shared" si="70"/>
        <v>2.7695623004262919</v>
      </c>
      <c r="AF5" s="14">
        <f t="shared" si="5"/>
        <v>56.11586598731504</v>
      </c>
      <c r="AG5" s="14" t="e">
        <f>V5*#REF!*#REF!</f>
        <v>#REF!</v>
      </c>
      <c r="AH5" s="15">
        <f t="shared" si="6"/>
        <v>253.58716895867701</v>
      </c>
      <c r="AI5" s="16">
        <f t="shared" si="7"/>
        <v>47.423213148969531</v>
      </c>
      <c r="AJ5" s="15">
        <f t="shared" si="8"/>
        <v>132.66278414570141</v>
      </c>
      <c r="AK5" s="7"/>
      <c r="AL5" s="12">
        <f t="shared" si="71"/>
        <v>0.70046889896090037</v>
      </c>
      <c r="AM5" s="14">
        <f t="shared" si="9"/>
        <v>0.34368974329471325</v>
      </c>
      <c r="AN5" s="14">
        <f t="shared" si="10"/>
        <v>1.0151995245921761</v>
      </c>
      <c r="AO5" s="11">
        <f t="shared" si="87"/>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72"/>
        <v>0.76811653800444901</v>
      </c>
      <c r="AW5" s="11">
        <f t="shared" si="73"/>
        <v>-6.5895469816020125E-2</v>
      </c>
      <c r="AX5" s="11">
        <f t="shared" si="74"/>
        <v>-0.32152729738103858</v>
      </c>
      <c r="AY5" s="11">
        <f t="shared" si="75"/>
        <v>4.325436009647543E-2</v>
      </c>
      <c r="AZ5" s="90"/>
      <c r="BB5" s="12">
        <v>0.21874572005565329</v>
      </c>
      <c r="BC5" s="12">
        <v>0.50583364660407459</v>
      </c>
      <c r="BD5" s="12">
        <f t="shared" si="88"/>
        <v>0.22862378849011855</v>
      </c>
      <c r="BE5" s="12">
        <f t="shared" si="89"/>
        <v>0.46500793877458718</v>
      </c>
      <c r="BF5" s="12">
        <v>0.70046889896090037</v>
      </c>
      <c r="BG5" s="14">
        <f t="shared" si="16"/>
        <v>0.34368974329471325</v>
      </c>
      <c r="BH5" s="14">
        <f t="shared" si="17"/>
        <v>1.0151995245921761</v>
      </c>
      <c r="BI5" s="11">
        <f t="shared" si="90"/>
        <v>6.1825651047663532</v>
      </c>
      <c r="BJ5" s="11">
        <f t="shared" si="18"/>
        <v>2.5390707890699966</v>
      </c>
      <c r="BK5" s="12">
        <f t="shared" si="19"/>
        <v>-5.0537593894083299E-3</v>
      </c>
      <c r="BL5" s="11">
        <f t="shared" si="20"/>
        <v>4.2501232097099884E-2</v>
      </c>
      <c r="BM5" s="14">
        <f t="shared" si="76"/>
        <v>3.0127180228656396</v>
      </c>
      <c r="BN5" s="14">
        <f t="shared" si="91"/>
        <v>6.4044123814873917</v>
      </c>
      <c r="BO5" s="14">
        <f t="shared" si="92"/>
        <v>2.7695623004262919</v>
      </c>
      <c r="BP5" s="14">
        <f t="shared" si="77"/>
        <v>56.11586598731504</v>
      </c>
      <c r="BQ5" s="15">
        <f t="shared" si="78"/>
        <v>253.58716895867701</v>
      </c>
      <c r="BR5" s="15">
        <f t="shared" si="79"/>
        <v>47.423213148969531</v>
      </c>
      <c r="BS5" s="15">
        <f t="shared" si="80"/>
        <v>132.66278414570141</v>
      </c>
      <c r="BT5" s="18">
        <f t="shared" si="21"/>
        <v>254.40356637030857</v>
      </c>
      <c r="BU5" s="18">
        <f t="shared" si="22"/>
        <v>47.374797780696923</v>
      </c>
      <c r="BV5" s="18">
        <f t="shared" si="23"/>
        <v>132.36984304307433</v>
      </c>
      <c r="BW5" s="11">
        <f t="shared" si="81"/>
        <v>0.81639741163155577</v>
      </c>
      <c r="BX5" s="11">
        <f t="shared" si="82"/>
        <v>-0.29294110262708273</v>
      </c>
      <c r="BY5" s="11">
        <f t="shared" si="83"/>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c r="ET5" s="1">
        <f t="shared" si="36"/>
        <v>3.1002997159245636E-5</v>
      </c>
      <c r="EU5" s="1">
        <f t="shared" si="37"/>
        <v>0.21502819250243449</v>
      </c>
      <c r="EV5" s="1">
        <f t="shared" si="38"/>
        <v>1.4063276222325222E-3</v>
      </c>
      <c r="EW5" s="1">
        <f t="shared" si="39"/>
        <v>2.3300786829579512E-3</v>
      </c>
      <c r="EX5" s="1">
        <f t="shared" si="40"/>
        <v>2.2087209492551558</v>
      </c>
      <c r="EY5" s="1">
        <f t="shared" si="41"/>
        <v>0.7830398197345253</v>
      </c>
      <c r="EZ5" s="1">
        <f t="shared" si="42"/>
        <v>7.1130863623472956E-2</v>
      </c>
      <c r="FA5" s="1">
        <f t="shared" si="43"/>
        <v>1.2580179972627616</v>
      </c>
      <c r="FB5" s="1">
        <f t="shared" si="44"/>
        <v>0.37283951291891981</v>
      </c>
      <c r="FC5" s="1">
        <f t="shared" si="45"/>
        <v>0.19645534381047319</v>
      </c>
      <c r="FD5" s="1">
        <f t="shared" si="46"/>
        <v>0.14736719781244387</v>
      </c>
      <c r="FE5" s="1">
        <f t="shared" si="47"/>
        <v>0.7186342468268242</v>
      </c>
      <c r="FF5" s="1">
        <f t="shared" si="48"/>
        <v>0.17368359890622193</v>
      </c>
      <c r="FG5" s="1">
        <f t="shared" si="49"/>
        <v>-0.17368359890622193</v>
      </c>
      <c r="FH5" s="1">
        <f t="shared" si="50"/>
        <v>0.65931712341341209</v>
      </c>
      <c r="FI5" s="1">
        <f t="shared" si="51"/>
        <v>1.4861766211507823</v>
      </c>
      <c r="FJ5" s="1">
        <f t="shared" si="52"/>
        <v>0.88489537219635483</v>
      </c>
      <c r="FK5" s="1">
        <f t="shared" si="53"/>
        <v>0.26670370005583527</v>
      </c>
      <c r="FL5" s="1">
        <f t="shared" si="54"/>
        <v>1.0735689294872865</v>
      </c>
      <c r="FM5" s="1">
        <f t="shared" si="55"/>
        <v>0.29490388683271668</v>
      </c>
      <c r="FN5" s="1">
        <f t="shared" si="56"/>
        <v>0.29055998449013637</v>
      </c>
      <c r="FO5" s="1">
        <f t="shared" si="57"/>
        <v>0.2926903474904145</v>
      </c>
    </row>
    <row r="6" spans="1:171" s="27" customFormat="1" x14ac:dyDescent="0.25">
      <c r="A6" s="22">
        <v>3.4435442165143506</v>
      </c>
      <c r="B6" s="23">
        <v>120</v>
      </c>
      <c r="C6" s="24">
        <v>0.19552144194493176</v>
      </c>
      <c r="D6" s="24">
        <v>0.39786989204462686</v>
      </c>
      <c r="E6" s="22">
        <v>3.4435442165143506</v>
      </c>
      <c r="F6" s="12">
        <v>0.21654572005565328</v>
      </c>
      <c r="G6" s="12">
        <v>0.50523364660407455</v>
      </c>
      <c r="H6" s="12">
        <f t="shared" si="84"/>
        <v>0.22676621932328164</v>
      </c>
      <c r="I6" s="12">
        <f t="shared" si="85"/>
        <v>0.46145041845044033</v>
      </c>
      <c r="J6" s="12">
        <f t="shared" si="58"/>
        <v>6.8754278351033177E-2</v>
      </c>
      <c r="K6" s="13">
        <f t="shared" si="59"/>
        <v>6.5770455280185089E-2</v>
      </c>
      <c r="L6" s="13">
        <f>SUM(K$3:$K6)</f>
        <v>0.24530800531567121</v>
      </c>
      <c r="M6" s="72">
        <f t="shared" si="86"/>
        <v>0.69918419033879498</v>
      </c>
      <c r="N6" s="12">
        <f t="shared" si="60"/>
        <v>1.5276458095088427E-4</v>
      </c>
      <c r="O6" s="21">
        <f t="shared" si="61"/>
        <v>1.0265500870415706E-8</v>
      </c>
      <c r="P6" s="11">
        <f>SUM(O$2:$O6)</f>
        <v>4.7688429583695914E-8</v>
      </c>
      <c r="Q6" s="12">
        <f t="shared" si="62"/>
        <v>1.0068695751645088E-3</v>
      </c>
      <c r="R6" s="3">
        <f t="shared" si="0"/>
        <v>0.34180215690041721</v>
      </c>
      <c r="S6" s="1">
        <f t="shared" si="63"/>
        <v>1.4766503473507117E-3</v>
      </c>
      <c r="T6" s="1">
        <f t="shared" si="64"/>
        <v>0.97961814674135905</v>
      </c>
      <c r="U6" s="1">
        <f t="shared" si="65"/>
        <v>4.2341544622073379E-3</v>
      </c>
      <c r="V6" s="11">
        <f t="shared" si="66"/>
        <v>6.2167080308363207</v>
      </c>
      <c r="W6" s="24">
        <f t="shared" si="67"/>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68"/>
        <v>3.0303762327778112</v>
      </c>
      <c r="AD6" s="27">
        <f t="shared" si="69"/>
        <v>6.4576126478888733</v>
      </c>
      <c r="AE6" s="28">
        <f t="shared" si="70"/>
        <v>2.7677657457628091</v>
      </c>
      <c r="AF6" s="28">
        <f t="shared" si="5"/>
        <v>57.089149552034627</v>
      </c>
      <c r="AG6" s="28" t="e">
        <f>V6*#REF!*#REF!</f>
        <v>#REF!</v>
      </c>
      <c r="AH6" s="29">
        <f t="shared" si="6"/>
        <v>259.24145648560778</v>
      </c>
      <c r="AI6" s="30">
        <f t="shared" si="7"/>
        <v>47.623261110262689</v>
      </c>
      <c r="AJ6" s="29">
        <f t="shared" si="8"/>
        <v>135.59726893976662</v>
      </c>
      <c r="AK6" s="7"/>
      <c r="AL6" s="12">
        <f t="shared" si="71"/>
        <v>0.69918419033879498</v>
      </c>
      <c r="AM6" s="28">
        <f t="shared" si="9"/>
        <v>0.34180215690041721</v>
      </c>
      <c r="AN6" s="28">
        <f t="shared" si="10"/>
        <v>1.0208059163934844</v>
      </c>
      <c r="AO6" s="11">
        <f t="shared" si="87"/>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72"/>
        <v>0.11420390778073397</v>
      </c>
      <c r="AW6" s="11">
        <f t="shared" si="73"/>
        <v>-7.2709245680989909E-2</v>
      </c>
      <c r="AX6" s="11">
        <f t="shared" si="74"/>
        <v>-0.56095808838665562</v>
      </c>
      <c r="AY6" s="11">
        <f t="shared" si="75"/>
        <v>5.8619184529285828E-2</v>
      </c>
      <c r="AZ6" s="90"/>
      <c r="BB6" s="55">
        <v>0.21654572005565328</v>
      </c>
      <c r="BC6" s="55">
        <v>0.50523364660407455</v>
      </c>
      <c r="BD6" s="12">
        <f t="shared" si="88"/>
        <v>0.22676621932328164</v>
      </c>
      <c r="BE6" s="12">
        <f t="shared" si="89"/>
        <v>0.46145041845044033</v>
      </c>
      <c r="BF6" s="24">
        <v>0.69917884031492461</v>
      </c>
      <c r="BG6" s="28">
        <f t="shared" si="16"/>
        <v>0.34179431074600819</v>
      </c>
      <c r="BH6" s="28">
        <f t="shared" si="17"/>
        <v>1.0208293497877508</v>
      </c>
      <c r="BI6" s="11">
        <f t="shared" si="90"/>
        <v>6.2168507402074011</v>
      </c>
      <c r="BJ6" s="22">
        <f t="shared" si="18"/>
        <v>3.5058368512822766</v>
      </c>
      <c r="BK6" s="12">
        <f t="shared" si="19"/>
        <v>-6.919233628510546E-3</v>
      </c>
      <c r="BL6" s="22">
        <f t="shared" si="20"/>
        <v>6.2292634767926014E-2</v>
      </c>
      <c r="BM6" s="14">
        <f t="shared" si="76"/>
        <v>3.0303530449177227</v>
      </c>
      <c r="BN6" s="14">
        <f t="shared" si="91"/>
        <v>6.4575632354703876</v>
      </c>
      <c r="BO6" s="14">
        <f t="shared" si="92"/>
        <v>2.767744567348005</v>
      </c>
      <c r="BP6" s="14">
        <f t="shared" si="77"/>
        <v>57.089586390644762</v>
      </c>
      <c r="BQ6" s="15">
        <f t="shared" si="78"/>
        <v>259.24344016689275</v>
      </c>
      <c r="BR6" s="15">
        <f t="shared" si="79"/>
        <v>47.623625517148341</v>
      </c>
      <c r="BS6" s="15">
        <f t="shared" si="80"/>
        <v>135.59830651210683</v>
      </c>
      <c r="BT6" s="32">
        <f t="shared" si="21"/>
        <v>259.51335380285559</v>
      </c>
      <c r="BU6" s="32">
        <f t="shared" si="22"/>
        <v>47.567080681802452</v>
      </c>
      <c r="BV6" s="32">
        <f t="shared" si="23"/>
        <v>135.13077688714779</v>
      </c>
      <c r="BW6" s="11">
        <f t="shared" si="81"/>
        <v>0.26991363596283691</v>
      </c>
      <c r="BX6" s="22">
        <f t="shared" si="82"/>
        <v>-0.46649205261883253</v>
      </c>
      <c r="BY6" s="22">
        <f t="shared" si="83"/>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c r="ET6" s="27">
        <f t="shared" si="36"/>
        <v>3.1018133230588068E-5</v>
      </c>
      <c r="EU6" s="27">
        <f t="shared" si="37"/>
        <v>0.22931352968861662</v>
      </c>
      <c r="EV6" s="27">
        <f t="shared" si="38"/>
        <v>1.4215878895169726E-3</v>
      </c>
      <c r="EW6" s="27">
        <f t="shared" si="39"/>
        <v>2.4489337767553201E-3</v>
      </c>
      <c r="EX6" s="27">
        <f t="shared" si="40"/>
        <v>2.3139223095750578</v>
      </c>
      <c r="EY6" s="27">
        <f t="shared" si="41"/>
        <v>0.82309413003885523</v>
      </c>
      <c r="EZ6" s="27">
        <f t="shared" si="42"/>
        <v>7.176993856520178E-2</v>
      </c>
      <c r="FA6" s="27">
        <f t="shared" si="43"/>
        <v>1.3196763952288095</v>
      </c>
      <c r="FB6" s="27">
        <f t="shared" si="44"/>
        <v>0.3829475022363546</v>
      </c>
      <c r="FC6" s="27">
        <f t="shared" si="45"/>
        <v>0.20172379323311965</v>
      </c>
      <c r="FD6" s="27">
        <f t="shared" si="46"/>
        <v>0.14390763098905304</v>
      </c>
      <c r="FE6" s="27">
        <f t="shared" si="47"/>
        <v>0.72753557603933883</v>
      </c>
      <c r="FF6" s="27">
        <f t="shared" si="48"/>
        <v>0.17195381549452654</v>
      </c>
      <c r="FG6" s="27">
        <f t="shared" si="49"/>
        <v>-0.17195381549452654</v>
      </c>
      <c r="FH6" s="27">
        <f t="shared" si="50"/>
        <v>0.6637677880196694</v>
      </c>
      <c r="FI6" s="27">
        <f t="shared" si="51"/>
        <v>1.5211582131964636</v>
      </c>
      <c r="FJ6" s="27">
        <f t="shared" si="52"/>
        <v>0.9072453527237575</v>
      </c>
      <c r="FK6" s="27">
        <f t="shared" si="53"/>
        <v>0.26789912012771111</v>
      </c>
      <c r="FL6" s="27">
        <f t="shared" si="54"/>
        <v>1.0997476685659264</v>
      </c>
      <c r="FM6" s="27">
        <f t="shared" si="55"/>
        <v>0.29872631958115242</v>
      </c>
      <c r="FN6" s="27">
        <f t="shared" si="56"/>
        <v>0.29367024632729954</v>
      </c>
      <c r="FO6" s="27">
        <f t="shared" si="57"/>
        <v>0.2961498499047972</v>
      </c>
    </row>
    <row r="7" spans="1:171" x14ac:dyDescent="0.25">
      <c r="A7" s="11">
        <v>4.4335631787622765</v>
      </c>
      <c r="B7" s="3">
        <v>150</v>
      </c>
      <c r="C7" s="12">
        <v>0.19396667455229902</v>
      </c>
      <c r="D7" s="12">
        <v>0.39485534054200722</v>
      </c>
      <c r="E7" s="11">
        <v>4.4335631787622765</v>
      </c>
      <c r="F7" s="12">
        <v>0.21474572005565329</v>
      </c>
      <c r="G7" s="12">
        <v>0.50523364660407455</v>
      </c>
      <c r="H7" s="12">
        <f t="shared" si="84"/>
        <v>0.22496299651535173</v>
      </c>
      <c r="I7" s="12">
        <f t="shared" si="85"/>
        <v>0.45795413466486506</v>
      </c>
      <c r="J7" s="12">
        <f t="shared" si="58"/>
        <v>6.7752570964450462E-2</v>
      </c>
      <c r="K7" s="13">
        <f t="shared" si="59"/>
        <v>6.7572184649524539E-2</v>
      </c>
      <c r="L7" s="13">
        <f>SUM(K$3:$K7)</f>
        <v>0.31288018996519573</v>
      </c>
      <c r="M7" s="72">
        <f t="shared" si="86"/>
        <v>0.69786918681435062</v>
      </c>
      <c r="N7" s="12">
        <f t="shared" si="60"/>
        <v>1.4984065271274547E-4</v>
      </c>
      <c r="O7" s="21">
        <f t="shared" si="61"/>
        <v>1.0840844214984978E-8</v>
      </c>
      <c r="P7" s="11">
        <f>SUM(O$2:$O7)</f>
        <v>5.8529273798680891E-8</v>
      </c>
      <c r="Q7" s="12">
        <f t="shared" si="62"/>
        <v>1.0087543296472211E-3</v>
      </c>
      <c r="R7" s="3">
        <f t="shared" si="0"/>
        <v>0.33987722970857365</v>
      </c>
      <c r="S7" s="1">
        <f t="shared" si="63"/>
        <v>1.4738548434073515E-3</v>
      </c>
      <c r="T7" s="1">
        <f t="shared" si="64"/>
        <v>0.97410123126784076</v>
      </c>
      <c r="U7" s="1">
        <f t="shared" si="65"/>
        <v>4.2261424402322972E-3</v>
      </c>
      <c r="V7" s="11">
        <f t="shared" si="66"/>
        <v>6.2519169512531709</v>
      </c>
      <c r="W7" s="12">
        <f t="shared" si="67"/>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68"/>
        <v>3.0477689095439984</v>
      </c>
      <c r="AD7" s="1">
        <f t="shared" si="69"/>
        <v>6.4994933229262175</v>
      </c>
      <c r="AE7" s="14">
        <f t="shared" si="70"/>
        <v>2.7625602194354033</v>
      </c>
      <c r="AF7" s="14">
        <f t="shared" si="5"/>
        <v>58.073402146929546</v>
      </c>
      <c r="AG7" s="14" t="e">
        <f>V7*#REF!*#REF!</f>
        <v>#REF!</v>
      </c>
      <c r="AH7" s="15">
        <f t="shared" si="6"/>
        <v>264.10231265662583</v>
      </c>
      <c r="AI7" s="16">
        <f t="shared" si="7"/>
        <v>47.71299820911841</v>
      </c>
      <c r="AJ7" s="15">
        <f t="shared" si="8"/>
        <v>137.59510442495557</v>
      </c>
      <c r="AK7" s="7"/>
      <c r="AL7" s="12">
        <f t="shared" si="71"/>
        <v>0.69786918681435062</v>
      </c>
      <c r="AM7" s="14">
        <f t="shared" si="9"/>
        <v>0.33987722970857365</v>
      </c>
      <c r="AN7" s="14">
        <f t="shared" si="10"/>
        <v>1.0265873483174337</v>
      </c>
      <c r="AO7" s="11">
        <f t="shared" si="87"/>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72"/>
        <v>0.45077094318065747</v>
      </c>
      <c r="AW7" s="11">
        <f t="shared" si="73"/>
        <v>2.1997113121955181E-2</v>
      </c>
      <c r="AX7" s="11">
        <f t="shared" si="74"/>
        <v>0.24911317028744406</v>
      </c>
      <c r="AY7" s="11">
        <f t="shared" si="75"/>
        <v>7.5422674771078668E-2</v>
      </c>
      <c r="AZ7" s="90"/>
      <c r="BA7" s="2"/>
      <c r="BB7" s="12">
        <v>0.21474572005565329</v>
      </c>
      <c r="BC7" s="12">
        <v>0.50523364660407455</v>
      </c>
      <c r="BD7" s="12">
        <f t="shared" si="88"/>
        <v>0.22496299651535173</v>
      </c>
      <c r="BE7" s="12">
        <f t="shared" si="89"/>
        <v>0.45795413466486506</v>
      </c>
      <c r="BF7" s="12">
        <v>0.69804940760566758</v>
      </c>
      <c r="BG7" s="14">
        <f t="shared" si="16"/>
        <v>0.34014061186114314</v>
      </c>
      <c r="BH7" s="14">
        <f t="shared" si="17"/>
        <v>1.025792427698808</v>
      </c>
      <c r="BI7" s="11">
        <f t="shared" si="90"/>
        <v>6.2470758846857413</v>
      </c>
      <c r="BJ7" s="11">
        <f t="shared" si="18"/>
        <v>4.369938670429887</v>
      </c>
      <c r="BK7" s="12">
        <f t="shared" si="19"/>
        <v>-8.5609350054053346E-3</v>
      </c>
      <c r="BL7" s="11">
        <f t="shared" si="20"/>
        <v>-6.3624508332389418E-2</v>
      </c>
      <c r="BM7" s="14">
        <f t="shared" si="76"/>
        <v>3.0485559787182899</v>
      </c>
      <c r="BN7" s="14">
        <f t="shared" si="91"/>
        <v>6.5011717805110321</v>
      </c>
      <c r="BO7" s="14">
        <f t="shared" si="92"/>
        <v>2.763273635070044</v>
      </c>
      <c r="BP7" s="14">
        <f t="shared" si="77"/>
        <v>58.058408889467636</v>
      </c>
      <c r="BQ7" s="15">
        <f t="shared" si="78"/>
        <v>264.03412732868634</v>
      </c>
      <c r="BR7" s="15">
        <f t="shared" si="79"/>
        <v>47.700679776927707</v>
      </c>
      <c r="BS7" s="15">
        <f t="shared" si="80"/>
        <v>137.55958043721114</v>
      </c>
      <c r="BT7" s="18">
        <f t="shared" si="21"/>
        <v>264.05330678676364</v>
      </c>
      <c r="BU7" s="18">
        <f t="shared" si="22"/>
        <v>47.725022831123724</v>
      </c>
      <c r="BV7" s="18">
        <f t="shared" si="23"/>
        <v>137.589027548508</v>
      </c>
      <c r="BW7" s="11">
        <f t="shared" si="81"/>
        <v>1.917945807730348E-2</v>
      </c>
      <c r="BX7" s="11">
        <f t="shared" si="82"/>
        <v>-6.0768764475653825E-3</v>
      </c>
      <c r="BY7" s="11">
        <f t="shared" si="83"/>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c r="ET7" s="1">
        <f t="shared" si="36"/>
        <v>3.1033756290921422E-5</v>
      </c>
      <c r="EU7" s="1">
        <f t="shared" si="37"/>
        <v>0.24199999505147138</v>
      </c>
      <c r="EV7" s="1">
        <f t="shared" si="38"/>
        <v>1.4269503682754862E-3</v>
      </c>
      <c r="EW7" s="1">
        <f t="shared" si="39"/>
        <v>2.5729452944112442E-3</v>
      </c>
      <c r="EX7" s="1">
        <f t="shared" si="40"/>
        <v>2.4066054754761934</v>
      </c>
      <c r="EY7" s="1">
        <f t="shared" si="41"/>
        <v>0.85412733671562413</v>
      </c>
      <c r="EZ7" s="1">
        <f t="shared" si="42"/>
        <v>7.2076233725137509E-2</v>
      </c>
      <c r="FA7" s="1">
        <f t="shared" si="43"/>
        <v>1.3697414151166112</v>
      </c>
      <c r="FB7" s="1">
        <f t="shared" si="44"/>
        <v>0.39105987513722579</v>
      </c>
      <c r="FC7" s="1">
        <f t="shared" si="45"/>
        <v>0.20516588705027022</v>
      </c>
      <c r="FD7" s="1">
        <f t="shared" si="46"/>
        <v>0.13995375427839629</v>
      </c>
      <c r="FE7" s="1">
        <f t="shared" si="47"/>
        <v>0.73790923290879196</v>
      </c>
      <c r="FF7" s="1">
        <f t="shared" si="48"/>
        <v>0.16997687713919815</v>
      </c>
      <c r="FG7" s="1">
        <f t="shared" si="49"/>
        <v>-0.16997687713919815</v>
      </c>
      <c r="FH7" s="1">
        <f t="shared" si="50"/>
        <v>0.66895461645439602</v>
      </c>
      <c r="FI7" s="1">
        <f t="shared" si="51"/>
        <v>1.5513237816381831</v>
      </c>
      <c r="FJ7" s="1">
        <f t="shared" si="52"/>
        <v>0.9241900977156291</v>
      </c>
      <c r="FK7" s="1">
        <f t="shared" si="53"/>
        <v>0.26847017287798941</v>
      </c>
      <c r="FL7" s="1">
        <f t="shared" si="54"/>
        <v>1.1206189005686462</v>
      </c>
      <c r="FM7" s="1">
        <f t="shared" si="55"/>
        <v>0.30234417566783495</v>
      </c>
      <c r="FN7" s="1">
        <f t="shared" si="56"/>
        <v>0.29639788417512425</v>
      </c>
      <c r="FO7" s="1">
        <f t="shared" si="57"/>
        <v>0.29931419735998288</v>
      </c>
    </row>
    <row r="8" spans="1:171" x14ac:dyDescent="0.25">
      <c r="A8" s="11">
        <v>5.1222720220651237</v>
      </c>
      <c r="B8" s="3">
        <v>180</v>
      </c>
      <c r="C8" s="12">
        <v>0.19293671275490115</v>
      </c>
      <c r="D8" s="12">
        <v>0.39282249973818556</v>
      </c>
      <c r="E8" s="11">
        <v>5.1222720220651237</v>
      </c>
      <c r="F8" s="12">
        <v>0.21334572005565328</v>
      </c>
      <c r="G8" s="12">
        <v>0.50523364660407455</v>
      </c>
      <c r="H8" s="12">
        <f t="shared" si="84"/>
        <v>0.22376844444720004</v>
      </c>
      <c r="I8" s="12">
        <f t="shared" si="85"/>
        <v>0.45559644121199777</v>
      </c>
      <c r="J8" s="12">
        <f t="shared" si="58"/>
        <v>6.6906826011438006E-2</v>
      </c>
      <c r="K8" s="13">
        <f t="shared" si="59"/>
        <v>4.6370558765561537E-2</v>
      </c>
      <c r="L8" s="13">
        <f>SUM(K$3:$K8)</f>
        <v>0.35925074873075724</v>
      </c>
      <c r="M8" s="72">
        <f t="shared" si="86"/>
        <v>0.69696964046142695</v>
      </c>
      <c r="N8" s="12">
        <f t="shared" si="60"/>
        <v>1.4761406785215972E-4</v>
      </c>
      <c r="O8" s="21">
        <f t="shared" si="61"/>
        <v>5.0935317558639293E-9</v>
      </c>
      <c r="P8" s="11">
        <f>SUM(O$2:$O8)</f>
        <v>6.3622805554544815E-8</v>
      </c>
      <c r="Q8" s="12">
        <f t="shared" si="62"/>
        <v>1.0100455244284744E-3</v>
      </c>
      <c r="R8" s="13">
        <f t="shared" si="0"/>
        <v>0.33856462811602611</v>
      </c>
      <c r="S8" s="1">
        <f t="shared" si="63"/>
        <v>1.4719393823179393E-3</v>
      </c>
      <c r="T8" s="1">
        <f t="shared" si="64"/>
        <v>0.97033926454661901</v>
      </c>
      <c r="U8" s="1">
        <f t="shared" si="65"/>
        <v>4.2206526549729492E-3</v>
      </c>
      <c r="V8" s="11">
        <f t="shared" si="66"/>
        <v>6.2761553845246993</v>
      </c>
      <c r="W8" s="12">
        <f t="shared" si="67"/>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68"/>
        <v>3.0595921188818664</v>
      </c>
      <c r="AD8" s="1">
        <f t="shared" si="69"/>
        <v>6.5337110140256458</v>
      </c>
      <c r="AE8" s="14">
        <f t="shared" si="70"/>
        <v>2.7589993071368264</v>
      </c>
      <c r="AF8" s="14">
        <f t="shared" si="5"/>
        <v>58.751742859992646</v>
      </c>
      <c r="AG8" s="14" t="e">
        <f>V8*#REF!*#REF!</f>
        <v>#REF!</v>
      </c>
      <c r="AH8" s="15">
        <f t="shared" si="6"/>
        <v>267.92517973144618</v>
      </c>
      <c r="AI8" s="16">
        <f t="shared" si="7"/>
        <v>47.774579160474708</v>
      </c>
      <c r="AJ8" s="15">
        <f t="shared" si="8"/>
        <v>139.44453031194297</v>
      </c>
      <c r="AK8" s="7"/>
      <c r="AL8" s="12">
        <f t="shared" si="71"/>
        <v>0.69696964046142695</v>
      </c>
      <c r="AM8" s="14">
        <f t="shared" si="9"/>
        <v>0.33856462811602611</v>
      </c>
      <c r="AN8" s="14">
        <f t="shared" si="10"/>
        <v>1.0305673866214613</v>
      </c>
      <c r="AO8" s="11">
        <f t="shared" si="87"/>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72"/>
        <v>0.229974587821971</v>
      </c>
      <c r="AW8" s="11">
        <f t="shared" si="73"/>
        <v>7.8487530332104427E-2</v>
      </c>
      <c r="AX8" s="11">
        <f t="shared" si="74"/>
        <v>0.34967141496471754</v>
      </c>
      <c r="AY8" s="11">
        <f t="shared" si="75"/>
        <v>8.8358839039949011E-2</v>
      </c>
      <c r="AZ8" s="90"/>
      <c r="BA8" s="2"/>
      <c r="BB8" s="12">
        <v>0.21334572005565328</v>
      </c>
      <c r="BC8" s="12">
        <v>0.50523364660407455</v>
      </c>
      <c r="BD8" s="12">
        <f t="shared" si="88"/>
        <v>0.22376844444720004</v>
      </c>
      <c r="BE8" s="12">
        <f t="shared" si="89"/>
        <v>0.45559644121199777</v>
      </c>
      <c r="BF8" s="12">
        <v>0.69713546531147885</v>
      </c>
      <c r="BG8" s="14">
        <f t="shared" si="16"/>
        <v>0.33880634217662725</v>
      </c>
      <c r="BH8" s="14">
        <f t="shared" si="17"/>
        <v>1.0298321505980059</v>
      </c>
      <c r="BI8" s="11">
        <f t="shared" si="90"/>
        <v>6.2716777971418578</v>
      </c>
      <c r="BJ8" s="11">
        <f t="shared" si="18"/>
        <v>5.0814773977368821</v>
      </c>
      <c r="BK8" s="12">
        <f t="shared" si="19"/>
        <v>-9.8952524906936734E-3</v>
      </c>
      <c r="BL8" s="11">
        <f t="shared" si="20"/>
        <v>-4.0794624328241547E-2</v>
      </c>
      <c r="BM8" s="14">
        <f t="shared" si="76"/>
        <v>3.0603200650862341</v>
      </c>
      <c r="BN8" s="14">
        <f t="shared" si="91"/>
        <v>6.5352655317352921</v>
      </c>
      <c r="BO8" s="14">
        <f t="shared" si="92"/>
        <v>2.7596557355087943</v>
      </c>
      <c r="BP8" s="14">
        <f t="shared" si="77"/>
        <v>58.737767815779833</v>
      </c>
      <c r="BQ8" s="15">
        <f t="shared" si="78"/>
        <v>267.8614494308593</v>
      </c>
      <c r="BR8" s="15">
        <f t="shared" si="79"/>
        <v>47.763215210683349</v>
      </c>
      <c r="BS8" s="15">
        <f t="shared" si="80"/>
        <v>139.41136119420315</v>
      </c>
      <c r="BT8" s="18">
        <f t="shared" si="21"/>
        <v>267.77301325110017</v>
      </c>
      <c r="BU8" s="18">
        <f t="shared" si="22"/>
        <v>47.845443307528093</v>
      </c>
      <c r="BV8" s="18">
        <f t="shared" si="23"/>
        <v>139.60677952581202</v>
      </c>
      <c r="BW8" s="11">
        <f t="shared" si="81"/>
        <v>-8.8436179759128208E-2</v>
      </c>
      <c r="BX8" s="11">
        <f t="shared" si="82"/>
        <v>0.16224921386904612</v>
      </c>
      <c r="BY8" s="11">
        <f t="shared" si="83"/>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c r="ET8" s="1">
        <f t="shared" si="36"/>
        <v>3.1044519251289796E-5</v>
      </c>
      <c r="EU8" s="1">
        <f t="shared" si="37"/>
        <v>0.25233597673951652</v>
      </c>
      <c r="EV8" s="1">
        <f t="shared" si="38"/>
        <v>1.430636142437348E-3</v>
      </c>
      <c r="EW8" s="1">
        <f t="shared" si="39"/>
        <v>2.6607302392298205E-3</v>
      </c>
      <c r="EX8" s="1">
        <f t="shared" si="40"/>
        <v>2.4808327022662433</v>
      </c>
      <c r="EY8" s="1">
        <f t="shared" si="41"/>
        <v>0.88136694000153915</v>
      </c>
      <c r="EZ8" s="1">
        <f t="shared" si="42"/>
        <v>7.2286970177977292E-2</v>
      </c>
      <c r="FA8" s="1">
        <f t="shared" si="43"/>
        <v>1.4121809734070869</v>
      </c>
      <c r="FB8" s="1">
        <f t="shared" si="44"/>
        <v>0.39737024093536344</v>
      </c>
      <c r="FC8" s="1">
        <f t="shared" si="45"/>
        <v>0.20824623541801304</v>
      </c>
      <c r="FD8" s="1">
        <f t="shared" si="46"/>
        <v>0.13732969301844117</v>
      </c>
      <c r="FE8" s="1">
        <f t="shared" si="47"/>
        <v>0.74491619920179741</v>
      </c>
      <c r="FF8" s="1">
        <f t="shared" si="48"/>
        <v>0.16866484650922059</v>
      </c>
      <c r="FG8" s="1">
        <f t="shared" si="49"/>
        <v>-0.16866484650922059</v>
      </c>
      <c r="FH8" s="1">
        <f t="shared" si="50"/>
        <v>0.67245809960089864</v>
      </c>
      <c r="FI8" s="1">
        <f t="shared" si="51"/>
        <v>1.5750659358472088</v>
      </c>
      <c r="FJ8" s="1">
        <f t="shared" si="52"/>
        <v>0.93881145071922678</v>
      </c>
      <c r="FK8" s="1">
        <f t="shared" si="53"/>
        <v>0.26886236288848109</v>
      </c>
      <c r="FL8" s="1">
        <f t="shared" si="54"/>
        <v>1.137981856714418</v>
      </c>
      <c r="FM8" s="1">
        <f t="shared" si="55"/>
        <v>0.30483861042587812</v>
      </c>
      <c r="FN8" s="1">
        <f t="shared" si="56"/>
        <v>0.29824454122408967</v>
      </c>
      <c r="FO8" s="1">
        <f t="shared" si="57"/>
        <v>0.30147865811857877</v>
      </c>
    </row>
    <row r="9" spans="1:171" x14ac:dyDescent="0.25">
      <c r="A9" s="11">
        <v>5.7679365626615837</v>
      </c>
      <c r="B9" s="3">
        <v>210</v>
      </c>
      <c r="C9" s="12">
        <v>0.19199930220895281</v>
      </c>
      <c r="D9" s="12">
        <v>0.39099582353382406</v>
      </c>
      <c r="E9" s="11">
        <v>5.7679365626615837</v>
      </c>
      <c r="F9" s="12">
        <v>0.21174572005565329</v>
      </c>
      <c r="G9" s="12">
        <v>0.50423364660407455</v>
      </c>
      <c r="H9" s="12">
        <f t="shared" si="84"/>
        <v>0.22268123353394198</v>
      </c>
      <c r="I9" s="12">
        <f t="shared" si="85"/>
        <v>0.4534778579370875</v>
      </c>
      <c r="J9" s="12">
        <f t="shared" si="58"/>
        <v>6.5791366447291097E-2</v>
      </c>
      <c r="K9" s="13">
        <f t="shared" si="59"/>
        <v>4.283925873592298E-2</v>
      </c>
      <c r="L9" s="13">
        <f>SUM(K$3:$K9)</f>
        <v>0.40209000746668022</v>
      </c>
      <c r="M9" s="72">
        <f t="shared" si="86"/>
        <v>0.69614065647633716</v>
      </c>
      <c r="N9" s="12">
        <f t="shared" si="60"/>
        <v>1.4548020576010275E-4</v>
      </c>
      <c r="O9" s="21">
        <f t="shared" si="61"/>
        <v>4.3650510903554069E-9</v>
      </c>
      <c r="P9" s="11">
        <f>SUM(O$2:$O9)</f>
        <v>6.7987856644900228E-8</v>
      </c>
      <c r="Q9" s="12">
        <f t="shared" si="62"/>
        <v>1.0112367089195413E-3</v>
      </c>
      <c r="R9" s="3">
        <f t="shared" si="0"/>
        <v>0.337357986055209</v>
      </c>
      <c r="S9" s="1">
        <f t="shared" si="63"/>
        <v>1.4701717664630761E-3</v>
      </c>
      <c r="T9" s="1">
        <f t="shared" si="64"/>
        <v>0.96688098192454008</v>
      </c>
      <c r="U9" s="1">
        <f t="shared" si="65"/>
        <v>4.2155865998503191E-3</v>
      </c>
      <c r="V9" s="11">
        <f t="shared" si="66"/>
        <v>6.2986035653303309</v>
      </c>
      <c r="W9" s="12">
        <f t="shared" si="67"/>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68"/>
        <v>3.0702299761366301</v>
      </c>
      <c r="AD9" s="1">
        <f t="shared" si="69"/>
        <v>6.5752512616866117</v>
      </c>
      <c r="AE9" s="14">
        <f t="shared" si="70"/>
        <v>2.7611828808518544</v>
      </c>
      <c r="AF9" s="14">
        <f t="shared" si="5"/>
        <v>59.372603041085519</v>
      </c>
      <c r="AG9" s="14" t="e">
        <f>V9*#REF!*#REF!</f>
        <v>#REF!</v>
      </c>
      <c r="AH9" s="15">
        <f t="shared" si="6"/>
        <v>272.31338031458455</v>
      </c>
      <c r="AI9" s="16">
        <f t="shared" si="7"/>
        <v>48.021378078791912</v>
      </c>
      <c r="AJ9" s="15">
        <f t="shared" si="8"/>
        <v>142.21694927011987</v>
      </c>
      <c r="AK9" s="7"/>
      <c r="AL9" s="12">
        <f t="shared" si="71"/>
        <v>0.69614065647633716</v>
      </c>
      <c r="AM9" s="14">
        <f t="shared" si="9"/>
        <v>0.337357986055209</v>
      </c>
      <c r="AN9" s="14">
        <f t="shared" si="10"/>
        <v>1.0342534590033385</v>
      </c>
      <c r="AO9" s="11">
        <f t="shared" si="87"/>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72"/>
        <v>-0.80474454153437591</v>
      </c>
      <c r="AW9" s="11">
        <f t="shared" si="73"/>
        <v>-6.5535026598709578E-2</v>
      </c>
      <c r="AX9" s="11">
        <f t="shared" si="74"/>
        <v>-0.60442516312767225</v>
      </c>
      <c r="AY9" s="11">
        <f t="shared" si="75"/>
        <v>9.8727804723600876E-2</v>
      </c>
      <c r="AZ9" s="90"/>
      <c r="BA9" s="2"/>
      <c r="BB9" s="12">
        <v>0.21174572005565329</v>
      </c>
      <c r="BC9" s="12">
        <v>0.50423364660407455</v>
      </c>
      <c r="BD9" s="12">
        <f t="shared" si="88"/>
        <v>0.22268123353394198</v>
      </c>
      <c r="BE9" s="12">
        <f t="shared" si="89"/>
        <v>0.4534778579370875</v>
      </c>
      <c r="BF9" s="12">
        <v>0.6960161454285233</v>
      </c>
      <c r="BG9" s="14">
        <f t="shared" si="16"/>
        <v>0.33717699985600397</v>
      </c>
      <c r="BH9" s="14">
        <f t="shared" si="17"/>
        <v>1.0348086143153545</v>
      </c>
      <c r="BI9" s="11">
        <f t="shared" si="90"/>
        <v>6.3019844611805089</v>
      </c>
      <c r="BJ9" s="11">
        <f t="shared" si="18"/>
        <v>5.9681406998176039</v>
      </c>
      <c r="BK9" s="12">
        <f t="shared" si="19"/>
        <v>-1.1536578835382949E-2</v>
      </c>
      <c r="BL9" s="11">
        <f t="shared" si="20"/>
        <v>0.20020413715602015</v>
      </c>
      <c r="BM9" s="14">
        <f t="shared" si="76"/>
        <v>3.069680837758054</v>
      </c>
      <c r="BN9" s="14">
        <f t="shared" si="91"/>
        <v>6.5740752185743245</v>
      </c>
      <c r="BO9" s="14">
        <f t="shared" si="92"/>
        <v>2.7606890183392969</v>
      </c>
      <c r="BP9" s="14">
        <f t="shared" si="77"/>
        <v>59.38322426742436</v>
      </c>
      <c r="BQ9" s="15">
        <f t="shared" si="78"/>
        <v>272.36209473671317</v>
      </c>
      <c r="BR9" s="15">
        <f t="shared" si="79"/>
        <v>48.029968672762074</v>
      </c>
      <c r="BS9" s="15">
        <f t="shared" si="80"/>
        <v>142.2423906072022</v>
      </c>
      <c r="BT9" s="18">
        <f t="shared" si="21"/>
        <v>272.38528526085713</v>
      </c>
      <c r="BU9" s="18">
        <f t="shared" si="22"/>
        <v>47.983589021995122</v>
      </c>
      <c r="BV9" s="18">
        <f t="shared" si="23"/>
        <v>142.11324030180842</v>
      </c>
      <c r="BW9" s="11">
        <f t="shared" si="81"/>
        <v>2.3190524143956281E-2</v>
      </c>
      <c r="BX9" s="11">
        <f t="shared" si="82"/>
        <v>-0.1037089683114516</v>
      </c>
      <c r="BY9" s="11">
        <f t="shared" si="83"/>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c r="ET9" s="1">
        <f t="shared" si="36"/>
        <v>3.1054492457817673E-5</v>
      </c>
      <c r="EU9" s="1">
        <f t="shared" si="37"/>
        <v>0.26462365487351125</v>
      </c>
      <c r="EV9" s="1">
        <f t="shared" si="38"/>
        <v>1.4511943422032092E-3</v>
      </c>
      <c r="EW9" s="1">
        <f t="shared" si="39"/>
        <v>2.7427106277611081E-3</v>
      </c>
      <c r="EX9" s="1">
        <f t="shared" si="40"/>
        <v>2.5674564100870536</v>
      </c>
      <c r="EY9" s="1">
        <f t="shared" si="41"/>
        <v>0.91885687127659299</v>
      </c>
      <c r="EZ9" s="1">
        <f t="shared" si="42"/>
        <v>7.3064492154723409E-2</v>
      </c>
      <c r="FA9" s="1">
        <f t="shared" si="43"/>
        <v>1.467288939801614</v>
      </c>
      <c r="FB9" s="1">
        <f t="shared" si="44"/>
        <v>0.40609536800058899</v>
      </c>
      <c r="FC9" s="1">
        <f t="shared" si="45"/>
        <v>0.21353641866372458</v>
      </c>
      <c r="FD9" s="1">
        <f t="shared" si="46"/>
        <v>0.13598596164243335</v>
      </c>
      <c r="FE9" s="1">
        <f t="shared" si="47"/>
        <v>0.74854319685345316</v>
      </c>
      <c r="FF9" s="1">
        <f t="shared" si="48"/>
        <v>0.16799298082121666</v>
      </c>
      <c r="FG9" s="1">
        <f t="shared" si="49"/>
        <v>-0.16799298082121666</v>
      </c>
      <c r="FH9" s="1">
        <f t="shared" si="50"/>
        <v>0.67427159842672657</v>
      </c>
      <c r="FI9" s="1">
        <f t="shared" si="51"/>
        <v>1.6023284339008197</v>
      </c>
      <c r="FJ9" s="1">
        <f t="shared" si="52"/>
        <v>0.9585702224024033</v>
      </c>
      <c r="FK9" s="1">
        <f t="shared" si="53"/>
        <v>0.27030444346093058</v>
      </c>
      <c r="FL9" s="1">
        <f t="shared" si="54"/>
        <v>1.1600785248517484</v>
      </c>
      <c r="FM9" s="1">
        <f t="shared" si="55"/>
        <v>0.30754964003712415</v>
      </c>
      <c r="FN9" s="1">
        <f t="shared" si="56"/>
        <v>0.30057235320978798</v>
      </c>
      <c r="FO9" s="1">
        <f t="shared" si="57"/>
        <v>0.30399424163949407</v>
      </c>
    </row>
    <row r="10" spans="1:171" x14ac:dyDescent="0.25">
      <c r="A10" s="11">
        <v>6.5857783140837629</v>
      </c>
      <c r="B10" s="3">
        <v>240</v>
      </c>
      <c r="C10" s="12">
        <v>0.19084422288837991</v>
      </c>
      <c r="D10" s="12">
        <v>0.38885470698427366</v>
      </c>
      <c r="E10" s="11">
        <v>6.5857783140837629</v>
      </c>
      <c r="F10" s="12">
        <v>0.21074572005565329</v>
      </c>
      <c r="G10" s="12">
        <v>0.50423364660407455</v>
      </c>
      <c r="H10" s="12">
        <f t="shared" si="84"/>
        <v>0.22134156987383763</v>
      </c>
      <c r="I10" s="12">
        <f t="shared" si="85"/>
        <v>0.45099458602459414</v>
      </c>
      <c r="J10" s="12">
        <f t="shared" si="58"/>
        <v>6.5340990449947026E-2</v>
      </c>
      <c r="K10" s="13">
        <f t="shared" si="59"/>
        <v>5.3622758216477759E-2</v>
      </c>
      <c r="L10" s="13">
        <f>SUM(K$3:$K10)</f>
        <v>0.45571276568315799</v>
      </c>
      <c r="M10" s="72">
        <f t="shared" si="86"/>
        <v>0.69510577555992392</v>
      </c>
      <c r="N10" s="12">
        <f t="shared" si="60"/>
        <v>1.4393847616358112E-4</v>
      </c>
      <c r="O10" s="21">
        <f t="shared" si="61"/>
        <v>6.8066340632979484E-9</v>
      </c>
      <c r="P10" s="11">
        <f>SUM(O$2:$O10)</f>
        <v>7.4794490708198178E-8</v>
      </c>
      <c r="Q10" s="12">
        <f t="shared" si="62"/>
        <v>1.012725351222809E-3</v>
      </c>
      <c r="R10" s="3">
        <f t="shared" si="0"/>
        <v>0.33585567504863822</v>
      </c>
      <c r="S10" s="1">
        <f t="shared" si="63"/>
        <v>1.4679617193505124E-3</v>
      </c>
      <c r="T10" s="1">
        <f t="shared" si="64"/>
        <v>0.96257530071576181</v>
      </c>
      <c r="U10" s="1">
        <f t="shared" si="65"/>
        <v>4.2092525197021599E-3</v>
      </c>
      <c r="V10" s="11">
        <f t="shared" si="66"/>
        <v>6.3267777549159359</v>
      </c>
      <c r="W10" s="12">
        <f t="shared" si="67"/>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68"/>
        <v>3.0825459865809459</v>
      </c>
      <c r="AD10" s="1">
        <f t="shared" si="69"/>
        <v>6.5966300561298405</v>
      </c>
      <c r="AE10" s="14">
        <f t="shared" si="70"/>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71"/>
        <v>0.69510577555992392</v>
      </c>
      <c r="AM10" s="14">
        <f t="shared" si="9"/>
        <v>0.33585567504863822</v>
      </c>
      <c r="AN10" s="14">
        <f t="shared" si="10"/>
        <v>1.0388797627119766</v>
      </c>
      <c r="AO10" s="11">
        <f t="shared" si="87"/>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72"/>
        <v>0.42813521080273631</v>
      </c>
      <c r="AW10" s="11">
        <f t="shared" si="73"/>
        <v>-1.7107655120177867E-2</v>
      </c>
      <c r="AX10" s="11">
        <f t="shared" si="74"/>
        <v>0.85839108878116122</v>
      </c>
      <c r="AY10" s="11">
        <f t="shared" si="75"/>
        <v>0.11272111775648952</v>
      </c>
      <c r="AZ10" s="90"/>
      <c r="BA10" s="2"/>
      <c r="BB10" s="12">
        <v>0.21074572005565329</v>
      </c>
      <c r="BC10" s="12">
        <v>0.50423364660407455</v>
      </c>
      <c r="BD10" s="12">
        <f t="shared" si="88"/>
        <v>0.22134156987383763</v>
      </c>
      <c r="BE10" s="12">
        <f t="shared" si="89"/>
        <v>0.45099458602459414</v>
      </c>
      <c r="BF10" s="12">
        <v>0.6954001112188205</v>
      </c>
      <c r="BG10" s="14">
        <f t="shared" si="16"/>
        <v>0.3362825000140045</v>
      </c>
      <c r="BH10" s="14">
        <f t="shared" si="17"/>
        <v>1.0375611695091758</v>
      </c>
      <c r="BI10" s="11">
        <f t="shared" si="90"/>
        <v>6.3187475223108809</v>
      </c>
      <c r="BJ10" s="11">
        <f t="shared" si="18"/>
        <v>6.4633774658261185</v>
      </c>
      <c r="BK10" s="12">
        <f t="shared" si="19"/>
        <v>-1.244329025701596E-2</v>
      </c>
      <c r="BL10" s="11">
        <f t="shared" si="20"/>
        <v>-0.12240084825764441</v>
      </c>
      <c r="BM10" s="14">
        <f t="shared" si="76"/>
        <v>3.0838512601607957</v>
      </c>
      <c r="BN10" s="14">
        <f t="shared" si="91"/>
        <v>6.599423333818411</v>
      </c>
      <c r="BO10" s="14">
        <f t="shared" si="92"/>
        <v>2.7582455708865075</v>
      </c>
      <c r="BP10" s="14">
        <f t="shared" si="77"/>
        <v>60.092164682696058</v>
      </c>
      <c r="BQ10" s="15">
        <f t="shared" si="78"/>
        <v>275.1965459074421</v>
      </c>
      <c r="BR10" s="15">
        <f t="shared" si="79"/>
        <v>48.07251698892717</v>
      </c>
      <c r="BS10" s="15">
        <f t="shared" si="80"/>
        <v>142.99256884828111</v>
      </c>
      <c r="BT10" s="18">
        <f t="shared" si="21"/>
        <v>274.95061676170127</v>
      </c>
      <c r="BU10" s="18">
        <f t="shared" si="22"/>
        <v>48.055100406528616</v>
      </c>
      <c r="BV10" s="18">
        <f t="shared" si="23"/>
        <v>143.50949354845119</v>
      </c>
      <c r="BW10" s="11">
        <f t="shared" si="81"/>
        <v>-0.24592914574083125</v>
      </c>
      <c r="BX10" s="11">
        <f t="shared" si="82"/>
        <v>0.45637591256237897</v>
      </c>
      <c r="BY10" s="11">
        <f t="shared" si="83"/>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c r="ET10" s="1">
        <f t="shared" si="36"/>
        <v>3.1067016120754165E-5</v>
      </c>
      <c r="EU10" s="1">
        <f t="shared" si="37"/>
        <v>0.27305877053226812</v>
      </c>
      <c r="EV10" s="1">
        <f t="shared" si="38"/>
        <v>1.4555186661880611E-3</v>
      </c>
      <c r="EW10" s="1">
        <f t="shared" si="39"/>
        <v>2.8430254075044541E-3</v>
      </c>
      <c r="EX10" s="1">
        <f t="shared" si="40"/>
        <v>2.627854380808889</v>
      </c>
      <c r="EY10" s="1">
        <f t="shared" si="41"/>
        <v>0.93586297721919343</v>
      </c>
      <c r="EZ10" s="1">
        <f t="shared" si="42"/>
        <v>7.3311178787588832E-2</v>
      </c>
      <c r="FA10" s="1">
        <f t="shared" si="43"/>
        <v>1.4966143653737802</v>
      </c>
      <c r="FB10" s="1">
        <f t="shared" si="44"/>
        <v>0.41134583142096315</v>
      </c>
      <c r="FC10" s="1">
        <f t="shared" si="45"/>
        <v>0.21519147572903019</v>
      </c>
      <c r="FD10" s="1">
        <f t="shared" si="46"/>
        <v>0.13327161531729981</v>
      </c>
      <c r="FE10" s="1">
        <f t="shared" si="47"/>
        <v>0.75595203776233166</v>
      </c>
      <c r="FF10" s="1">
        <f t="shared" si="48"/>
        <v>0.16663580765864991</v>
      </c>
      <c r="FG10" s="1">
        <f t="shared" si="49"/>
        <v>-0.16663580765864991</v>
      </c>
      <c r="FH10" s="1">
        <f t="shared" si="50"/>
        <v>0.67797601888116588</v>
      </c>
      <c r="FI10" s="1">
        <f t="shared" si="51"/>
        <v>1.6210658163100253</v>
      </c>
      <c r="FJ10" s="1">
        <f t="shared" si="52"/>
        <v>0.96740011226957867</v>
      </c>
      <c r="FK10" s="1">
        <f t="shared" si="53"/>
        <v>0.27076037152358323</v>
      </c>
      <c r="FL10" s="1">
        <f t="shared" si="54"/>
        <v>1.1717870374954271</v>
      </c>
      <c r="FM10" s="1">
        <f t="shared" si="55"/>
        <v>0.31030406832785284</v>
      </c>
      <c r="FN10" s="1">
        <f t="shared" si="56"/>
        <v>0.3025742891289015</v>
      </c>
      <c r="FO10" s="1">
        <f t="shared" si="57"/>
        <v>0.30636536886946997</v>
      </c>
    </row>
    <row r="11" spans="1:171" x14ac:dyDescent="0.25">
      <c r="A11" s="11">
        <v>7.274487157386611</v>
      </c>
      <c r="B11" s="3">
        <v>270</v>
      </c>
      <c r="C11" s="12">
        <v>0.18989875578343543</v>
      </c>
      <c r="D11" s="12">
        <v>0.3872428491668079</v>
      </c>
      <c r="E11" s="11">
        <v>7.274487157386611</v>
      </c>
      <c r="F11" s="12">
        <v>0.20914572005565329</v>
      </c>
      <c r="G11" s="12">
        <v>0.5046336466040745</v>
      </c>
      <c r="H11" s="12">
        <f t="shared" si="84"/>
        <v>0.22024501494487403</v>
      </c>
      <c r="I11" s="12">
        <f t="shared" si="85"/>
        <v>0.44912514961026817</v>
      </c>
      <c r="J11" s="12">
        <f t="shared" si="58"/>
        <v>6.4251004848438792E-2</v>
      </c>
      <c r="K11" s="13">
        <f t="shared" si="59"/>
        <v>4.4625576591629711E-2</v>
      </c>
      <c r="L11" s="13">
        <f>SUM(K$3:$K11)</f>
        <v>0.50033834227478768</v>
      </c>
      <c r="M11" s="72">
        <f t="shared" si="86"/>
        <v>0.69424687674017704</v>
      </c>
      <c r="N11" s="12">
        <f t="shared" si="60"/>
        <v>1.4137639436247103E-4</v>
      </c>
      <c r="O11" s="21">
        <f t="shared" si="61"/>
        <v>4.6994311607138134E-9</v>
      </c>
      <c r="P11" s="11">
        <f>SUM(O$2:$O11)</f>
        <v>7.9493921868911995E-8</v>
      </c>
      <c r="Q11" s="12">
        <f t="shared" si="62"/>
        <v>1.0139621040598898E-3</v>
      </c>
      <c r="R11" s="3">
        <f t="shared" si="0"/>
        <v>0.3346122250859383</v>
      </c>
      <c r="S11" s="1">
        <f t="shared" si="63"/>
        <v>1.4661244889659492E-3</v>
      </c>
      <c r="T11" s="1">
        <f t="shared" si="64"/>
        <v>0.95901152522917055</v>
      </c>
      <c r="U11" s="1">
        <f t="shared" si="65"/>
        <v>4.203986946656091E-3</v>
      </c>
      <c r="V11" s="11">
        <f t="shared" si="66"/>
        <v>6.3502886459520909</v>
      </c>
      <c r="W11" s="12">
        <f t="shared" si="67"/>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68"/>
        <v>3.091551997667533</v>
      </c>
      <c r="AD11" s="1">
        <f t="shared" si="69"/>
        <v>6.6388819867357478</v>
      </c>
      <c r="AE11" s="14">
        <f t="shared" si="70"/>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71"/>
        <v>0.69424687674017704</v>
      </c>
      <c r="AM11" s="14">
        <f t="shared" si="9"/>
        <v>0.3346122250859383</v>
      </c>
      <c r="AN11" s="14">
        <f t="shared" si="10"/>
        <v>1.0427403359527245</v>
      </c>
      <c r="AO11" s="11">
        <f t="shared" si="87"/>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72"/>
        <v>-0.59404957885863041</v>
      </c>
      <c r="AW11" s="11">
        <f t="shared" si="73"/>
        <v>9.1940598640526616E-2</v>
      </c>
      <c r="AX11" s="11">
        <f t="shared" si="74"/>
        <v>-3.6783309961037958E-2</v>
      </c>
      <c r="AY11" s="11">
        <f t="shared" si="75"/>
        <v>0.12538228731442658</v>
      </c>
      <c r="AZ11" s="90"/>
      <c r="BA11" s="2"/>
      <c r="BB11" s="12">
        <v>0.20914572005565329</v>
      </c>
      <c r="BC11" s="12">
        <v>0.5046336466040745</v>
      </c>
      <c r="BD11" s="12">
        <f t="shared" si="88"/>
        <v>0.22024501494487403</v>
      </c>
      <c r="BE11" s="12">
        <f t="shared" si="89"/>
        <v>0.44912514961026817</v>
      </c>
      <c r="BF11" s="12">
        <v>0.69426775615175895</v>
      </c>
      <c r="BG11" s="14">
        <f t="shared" si="16"/>
        <v>0.33464241629049096</v>
      </c>
      <c r="BH11" s="14">
        <f t="shared" si="17"/>
        <v>1.0426462606495186</v>
      </c>
      <c r="BI11" s="11">
        <f t="shared" si="90"/>
        <v>6.3497157273555684</v>
      </c>
      <c r="BJ11" s="11">
        <f t="shared" si="18"/>
        <v>7.3873062002934118</v>
      </c>
      <c r="BK11" s="12">
        <f t="shared" si="19"/>
        <v>-1.4116249894346677E-2</v>
      </c>
      <c r="BL11" s="11">
        <f t="shared" si="20"/>
        <v>0.11281904290680078</v>
      </c>
      <c r="BM11" s="14">
        <f t="shared" si="76"/>
        <v>3.0916449758122662</v>
      </c>
      <c r="BN11" s="14">
        <f t="shared" si="91"/>
        <v>6.6390816505067907</v>
      </c>
      <c r="BO11" s="14">
        <f t="shared" si="92"/>
        <v>2.7515714056081069</v>
      </c>
      <c r="BP11" s="14">
        <f t="shared" si="77"/>
        <v>60.692288814247028</v>
      </c>
      <c r="BQ11" s="15">
        <f t="shared" si="78"/>
        <v>279.87899277878432</v>
      </c>
      <c r="BR11" s="15">
        <f t="shared" si="79"/>
        <v>48.074619751549676</v>
      </c>
      <c r="BS11" s="15">
        <f t="shared" si="80"/>
        <v>145.87674608759292</v>
      </c>
      <c r="BT11" s="18">
        <f t="shared" si="21"/>
        <v>279.7164138480951</v>
      </c>
      <c r="BU11" s="18">
        <f t="shared" si="22"/>
        <v>48.177903454660232</v>
      </c>
      <c r="BV11" s="18">
        <f t="shared" si="23"/>
        <v>146.10751117668499</v>
      </c>
      <c r="BW11" s="11">
        <f t="shared" si="81"/>
        <v>-0.16257893068922158</v>
      </c>
      <c r="BX11" s="11">
        <f t="shared" si="82"/>
        <v>0.22637785924086984</v>
      </c>
      <c r="BY11" s="11">
        <f t="shared" si="83"/>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c r="ET11" s="1">
        <f t="shared" si="36"/>
        <v>3.1077472010862762E-5</v>
      </c>
      <c r="EU11" s="1">
        <f t="shared" si="37"/>
        <v>0.28654230252336749</v>
      </c>
      <c r="EV11" s="1">
        <f t="shared" si="38"/>
        <v>1.4521965911464016E-3</v>
      </c>
      <c r="EW11" s="1">
        <f t="shared" si="39"/>
        <v>2.9219877229485422E-3</v>
      </c>
      <c r="EX11" s="1">
        <f t="shared" si="40"/>
        <v>2.7210570570707331</v>
      </c>
      <c r="EY11" s="1">
        <f t="shared" si="41"/>
        <v>0.97566155091511553</v>
      </c>
      <c r="EZ11" s="1">
        <f t="shared" si="42"/>
        <v>7.3281808841126575E-2</v>
      </c>
      <c r="FA11" s="1">
        <f t="shared" si="43"/>
        <v>1.5554445776444787</v>
      </c>
      <c r="FB11" s="1">
        <f t="shared" si="44"/>
        <v>0.41817490459853385</v>
      </c>
      <c r="FC11" s="1">
        <f t="shared" si="45"/>
        <v>0.21941065704101487</v>
      </c>
      <c r="FD11" s="1">
        <f t="shared" si="46"/>
        <v>0.13087075956264058</v>
      </c>
      <c r="FE11" s="1">
        <f t="shared" si="47"/>
        <v>0.76259917374567043</v>
      </c>
      <c r="FF11" s="1">
        <f t="shared" si="48"/>
        <v>0.16543537978132028</v>
      </c>
      <c r="FG11" s="1">
        <f t="shared" si="49"/>
        <v>-0.16543537978132028</v>
      </c>
      <c r="FH11" s="1">
        <f t="shared" si="50"/>
        <v>0.68129958687283521</v>
      </c>
      <c r="FI11" s="1">
        <f t="shared" si="51"/>
        <v>1.6495626866144655</v>
      </c>
      <c r="FJ11" s="1">
        <f t="shared" si="52"/>
        <v>0.98775581542966151</v>
      </c>
      <c r="FK11" s="1">
        <f t="shared" si="53"/>
        <v>0.27070613003980271</v>
      </c>
      <c r="FL11" s="1">
        <f t="shared" si="54"/>
        <v>1.1946864568352051</v>
      </c>
      <c r="FM11" s="1">
        <f t="shared" si="55"/>
        <v>0.31227879963981825</v>
      </c>
      <c r="FN11" s="1">
        <f t="shared" si="56"/>
        <v>0.30385076939843592</v>
      </c>
      <c r="FO11" s="1">
        <f t="shared" si="57"/>
        <v>0.30798457235731169</v>
      </c>
    </row>
    <row r="12" spans="1:171" x14ac:dyDescent="0.25">
      <c r="A12" s="11">
        <v>7.834063092570239</v>
      </c>
      <c r="B12" s="3">
        <v>300</v>
      </c>
      <c r="C12" s="12">
        <v>0.1891508537216991</v>
      </c>
      <c r="D12" s="12">
        <v>0.38607009792214575</v>
      </c>
      <c r="E12" s="11">
        <v>7.834063092570239</v>
      </c>
      <c r="F12" s="12">
        <v>0.20814572005565329</v>
      </c>
      <c r="G12" s="12">
        <v>0.50383364660407459</v>
      </c>
      <c r="H12" s="12">
        <f t="shared" si="84"/>
        <v>0.21937759640869217</v>
      </c>
      <c r="I12" s="12">
        <f t="shared" si="85"/>
        <v>0.44776499001184611</v>
      </c>
      <c r="J12" s="12">
        <f t="shared" si="58"/>
        <v>6.3564126613688418E-2</v>
      </c>
      <c r="K12" s="13">
        <f t="shared" si="59"/>
        <v>3.5761135859269093E-2</v>
      </c>
      <c r="L12" s="13">
        <f>SUM(K$3:$K12)</f>
        <v>0.53609947813405678</v>
      </c>
      <c r="M12" s="72">
        <f t="shared" si="86"/>
        <v>0.69356012038617454</v>
      </c>
      <c r="N12" s="12">
        <f t="shared" si="60"/>
        <v>1.4015569129308025E-4</v>
      </c>
      <c r="O12" s="21">
        <f t="shared" si="61"/>
        <v>3.0482080873313215E-9</v>
      </c>
      <c r="P12" s="11">
        <f>SUM(O$2:$O12)</f>
        <v>8.2542129956243318E-8</v>
      </c>
      <c r="Q12" s="12">
        <f t="shared" si="62"/>
        <v>1.0149517451649187E-3</v>
      </c>
      <c r="R12" s="3">
        <f t="shared" si="0"/>
        <v>0.33362020119649599</v>
      </c>
      <c r="S12" s="1">
        <f t="shared" si="63"/>
        <v>1.464653440157939E-3</v>
      </c>
      <c r="T12" s="1">
        <f t="shared" si="64"/>
        <v>0.95616834655261895</v>
      </c>
      <c r="U12" s="1">
        <f t="shared" si="65"/>
        <v>4.1997708641125023E-3</v>
      </c>
      <c r="V12" s="11">
        <f t="shared" si="66"/>
        <v>6.3691713095889027</v>
      </c>
      <c r="W12" s="12">
        <f t="shared" si="67"/>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68"/>
        <v>3.0978756082195065</v>
      </c>
      <c r="AD12" s="1">
        <f t="shared" si="69"/>
        <v>6.6641785399260938</v>
      </c>
      <c r="AE12" s="14">
        <f t="shared" si="70"/>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71"/>
        <v>0.69356012038617454</v>
      </c>
      <c r="AM12" s="14">
        <f t="shared" si="9"/>
        <v>0.33362020119649599</v>
      </c>
      <c r="AN12" s="14">
        <f t="shared" si="10"/>
        <v>1.0458409375351236</v>
      </c>
      <c r="AO12" s="11">
        <f t="shared" si="87"/>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72"/>
        <v>-0.70353696857387149</v>
      </c>
      <c r="AW12" s="11">
        <f t="shared" si="73"/>
        <v>-3.9751092557438028E-2</v>
      </c>
      <c r="AX12" s="11">
        <f t="shared" si="74"/>
        <v>-0.36182590185404706</v>
      </c>
      <c r="AY12" s="11">
        <f t="shared" si="75"/>
        <v>0.13386761405201497</v>
      </c>
      <c r="AZ12" s="90"/>
      <c r="BA12" s="2"/>
      <c r="BB12" s="12">
        <v>0.20814572005565329</v>
      </c>
      <c r="BC12" s="12">
        <v>0.50383364660407459</v>
      </c>
      <c r="BD12" s="12">
        <f t="shared" si="88"/>
        <v>0.21937759640869217</v>
      </c>
      <c r="BE12" s="12">
        <f t="shared" si="89"/>
        <v>0.44776499001184611</v>
      </c>
      <c r="BF12" s="12">
        <v>0.69353888336950131</v>
      </c>
      <c r="BG12" s="14">
        <f t="shared" si="16"/>
        <v>0.33358955548624752</v>
      </c>
      <c r="BH12" s="14">
        <f t="shared" si="17"/>
        <v>1.0459370152983827</v>
      </c>
      <c r="BI12" s="11">
        <f t="shared" si="90"/>
        <v>6.36975642316715</v>
      </c>
      <c r="BJ12" s="11">
        <f t="shared" si="18"/>
        <v>7.9914644550777068</v>
      </c>
      <c r="BK12" s="12">
        <f t="shared" si="19"/>
        <v>-1.5197435849239604E-2</v>
      </c>
      <c r="BL12" s="11">
        <f t="shared" si="20"/>
        <v>0.15740136250746772</v>
      </c>
      <c r="BM12" s="14">
        <f t="shared" si="76"/>
        <v>3.0977807503492087</v>
      </c>
      <c r="BN12" s="14">
        <f t="shared" si="91"/>
        <v>6.6639744808018655</v>
      </c>
      <c r="BO12" s="14">
        <f t="shared" si="92"/>
        <v>2.7530471140388206</v>
      </c>
      <c r="BP12" s="14">
        <f t="shared" si="77"/>
        <v>61.125746903876312</v>
      </c>
      <c r="BQ12" s="15">
        <f t="shared" si="78"/>
        <v>282.87168406516611</v>
      </c>
      <c r="BR12" s="15">
        <f t="shared" si="79"/>
        <v>48.278093650993192</v>
      </c>
      <c r="BS12" s="15">
        <f t="shared" si="80"/>
        <v>147.77253700453036</v>
      </c>
      <c r="BT12" s="18">
        <f t="shared" si="21"/>
        <v>282.81889748803667</v>
      </c>
      <c r="BU12" s="18">
        <f t="shared" si="22"/>
        <v>48.25085888043899</v>
      </c>
      <c r="BV12" s="18">
        <f t="shared" si="23"/>
        <v>147.80164970836231</v>
      </c>
      <c r="BW12" s="11">
        <f t="shared" si="81"/>
        <v>-5.2786577129438683E-2</v>
      </c>
      <c r="BX12" s="11">
        <f t="shared" si="82"/>
        <v>3.3637542760772021E-2</v>
      </c>
      <c r="BY12" s="11">
        <f t="shared" si="83"/>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c r="ET12" s="1">
        <f t="shared" si="36"/>
        <v>3.1085872692288346E-5</v>
      </c>
      <c r="EU12" s="1">
        <f t="shared" si="37"/>
        <v>0.29548631184045893</v>
      </c>
      <c r="EV12" s="1">
        <f t="shared" si="38"/>
        <v>1.4689914830740827E-3</v>
      </c>
      <c r="EW12" s="1">
        <f t="shared" si="39"/>
        <v>2.9815457374974034E-3</v>
      </c>
      <c r="EX12" s="1">
        <f t="shared" si="40"/>
        <v>2.7827132874159632</v>
      </c>
      <c r="EY12" s="1">
        <f t="shared" si="41"/>
        <v>1.0025612262946992</v>
      </c>
      <c r="EZ12" s="1">
        <f t="shared" si="42"/>
        <v>7.3918708405956643E-2</v>
      </c>
      <c r="FA12" s="1">
        <f t="shared" si="43"/>
        <v>1.5948169306033642</v>
      </c>
      <c r="FB12" s="1">
        <f t="shared" si="44"/>
        <v>0.4244983984697735</v>
      </c>
      <c r="FC12" s="1">
        <f t="shared" si="45"/>
        <v>0.22322750896617199</v>
      </c>
      <c r="FD12" s="1">
        <f t="shared" si="46"/>
        <v>0.13017656393407714</v>
      </c>
      <c r="FE12" s="1">
        <f t="shared" si="47"/>
        <v>0.76453796448335665</v>
      </c>
      <c r="FF12" s="1">
        <f t="shared" si="48"/>
        <v>0.16508828196703856</v>
      </c>
      <c r="FG12" s="1">
        <f t="shared" si="49"/>
        <v>-0.16508828196703856</v>
      </c>
      <c r="FH12" s="1">
        <f t="shared" si="50"/>
        <v>0.68226898224167831</v>
      </c>
      <c r="FI12" s="1">
        <f t="shared" si="51"/>
        <v>1.6681466624418739</v>
      </c>
      <c r="FJ12" s="1">
        <f t="shared" si="52"/>
        <v>1.0012797942107388</v>
      </c>
      <c r="FK12" s="1">
        <f t="shared" si="53"/>
        <v>0.27187995219573774</v>
      </c>
      <c r="FL12" s="1">
        <f t="shared" si="54"/>
        <v>1.2097853765123527</v>
      </c>
      <c r="FM12" s="1">
        <f t="shared" si="55"/>
        <v>0.31423140296152152</v>
      </c>
      <c r="FN12" s="1">
        <f t="shared" si="56"/>
        <v>0.30555436113717793</v>
      </c>
      <c r="FO12" s="1">
        <f t="shared" si="57"/>
        <v>0.3098101080062477</v>
      </c>
    </row>
    <row r="13" spans="1:171" x14ac:dyDescent="0.25">
      <c r="A13" s="11">
        <v>8.5227719358730862</v>
      </c>
      <c r="B13" s="3">
        <v>330</v>
      </c>
      <c r="C13" s="12">
        <v>0.18825875165145373</v>
      </c>
      <c r="D13" s="12">
        <v>0.38477686045836157</v>
      </c>
      <c r="E13" s="11">
        <v>8.5227719358730862</v>
      </c>
      <c r="F13" s="12">
        <v>0.20734572005565327</v>
      </c>
      <c r="G13" s="12">
        <v>0.50403364660407457</v>
      </c>
      <c r="H13" s="12">
        <f t="shared" si="84"/>
        <v>0.21834293437005509</v>
      </c>
      <c r="I13" s="12">
        <f t="shared" si="85"/>
        <v>0.44626509021859395</v>
      </c>
      <c r="J13" s="12">
        <f t="shared" si="58"/>
        <v>6.3125943187559611E-2</v>
      </c>
      <c r="K13" s="13">
        <f t="shared" si="59"/>
        <v>4.362628571538725E-2</v>
      </c>
      <c r="L13" s="13">
        <f>SUM(K$3:$K13)</f>
        <v>0.57972576384944408</v>
      </c>
      <c r="M13" s="72">
        <f t="shared" si="86"/>
        <v>0.69272415937871978</v>
      </c>
      <c r="N13" s="12">
        <f t="shared" si="60"/>
        <v>1.3890838379065608E-4</v>
      </c>
      <c r="O13" s="21">
        <f t="shared" si="61"/>
        <v>4.5241558546774555E-9</v>
      </c>
      <c r="P13" s="11">
        <f>SUM(O$2:$O13)</f>
        <v>8.7066285810920778E-8</v>
      </c>
      <c r="Q13" s="12">
        <f t="shared" si="62"/>
        <v>1.0161572447594165E-3</v>
      </c>
      <c r="R13" s="3">
        <f t="shared" si="0"/>
        <v>0.33241529861847674</v>
      </c>
      <c r="S13" s="1">
        <f t="shared" si="63"/>
        <v>1.4628602570883858E-3</v>
      </c>
      <c r="T13" s="1">
        <f t="shared" si="64"/>
        <v>0.95271504935523754</v>
      </c>
      <c r="U13" s="1">
        <f t="shared" si="65"/>
        <v>4.1946315323678068E-3</v>
      </c>
      <c r="V13" s="11">
        <f t="shared" si="66"/>
        <v>6.3922575843863134</v>
      </c>
      <c r="W13" s="12">
        <f t="shared" si="67"/>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68"/>
        <v>3.1045411104839182</v>
      </c>
      <c r="AD13" s="1">
        <f t="shared" si="69"/>
        <v>6.6818274251601339</v>
      </c>
      <c r="AE13" s="14">
        <f t="shared" si="70"/>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71"/>
        <v>0.69272415937871978</v>
      </c>
      <c r="AM13" s="14">
        <f t="shared" si="9"/>
        <v>0.33241529861847674</v>
      </c>
      <c r="AN13" s="14">
        <f t="shared" si="10"/>
        <v>1.0496317872555525</v>
      </c>
      <c r="AO13" s="11">
        <f t="shared" si="87"/>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72"/>
        <v>0.28567803326552621</v>
      </c>
      <c r="AW13" s="11">
        <f t="shared" si="73"/>
        <v>1.813023494140964E-2</v>
      </c>
      <c r="AX13" s="11">
        <f t="shared" si="74"/>
        <v>0.46582623116961486</v>
      </c>
      <c r="AY13" s="11">
        <f t="shared" si="75"/>
        <v>0.14544579574384287</v>
      </c>
      <c r="AZ13" s="90"/>
      <c r="BA13" s="2"/>
      <c r="BB13" s="12">
        <v>0.20734572005565327</v>
      </c>
      <c r="BC13" s="12">
        <v>0.50403364660407457</v>
      </c>
      <c r="BD13" s="12">
        <f t="shared" si="88"/>
        <v>0.21834293437005509</v>
      </c>
      <c r="BE13" s="12">
        <f t="shared" si="89"/>
        <v>0.44626509021859395</v>
      </c>
      <c r="BF13" s="12">
        <v>0.69299200800831273</v>
      </c>
      <c r="BG13" s="14">
        <f t="shared" si="16"/>
        <v>0.33280104269474176</v>
      </c>
      <c r="BH13" s="14">
        <f t="shared" si="17"/>
        <v>1.0484151767518268</v>
      </c>
      <c r="BI13" s="11">
        <f t="shared" si="90"/>
        <v>6.3848484264186238</v>
      </c>
      <c r="BJ13" s="11">
        <f t="shared" si="18"/>
        <v>8.4496818001077347</v>
      </c>
      <c r="BK13" s="12">
        <f t="shared" si="19"/>
        <v>-1.6010893874352838E-2</v>
      </c>
      <c r="BL13" s="11">
        <f t="shared" si="20"/>
        <v>-7.3090135765351505E-2</v>
      </c>
      <c r="BM13" s="14">
        <f t="shared" si="76"/>
        <v>3.1057415119289953</v>
      </c>
      <c r="BN13" s="14">
        <f t="shared" si="91"/>
        <v>6.6844110196468787</v>
      </c>
      <c r="BO13" s="14">
        <f t="shared" si="92"/>
        <v>2.7497847124982417</v>
      </c>
      <c r="BP13" s="14">
        <f t="shared" si="77"/>
        <v>61.585887691262727</v>
      </c>
      <c r="BQ13" s="15">
        <f t="shared" si="78"/>
        <v>285.28365157675353</v>
      </c>
      <c r="BR13" s="15">
        <f t="shared" si="79"/>
        <v>48.277856341352759</v>
      </c>
      <c r="BS13" s="15">
        <f t="shared" si="80"/>
        <v>148.80384484431806</v>
      </c>
      <c r="BT13" s="18">
        <f t="shared" si="21"/>
        <v>285.16478438288254</v>
      </c>
      <c r="BU13" s="18">
        <f t="shared" si="22"/>
        <v>48.302380442898752</v>
      </c>
      <c r="BV13" s="18">
        <f t="shared" si="23"/>
        <v>149.084133550037</v>
      </c>
      <c r="BW13" s="11">
        <f t="shared" si="81"/>
        <v>-0.1188671938709831</v>
      </c>
      <c r="BX13" s="11">
        <f t="shared" si="82"/>
        <v>0.22275223123608612</v>
      </c>
      <c r="BY13" s="11">
        <f t="shared" si="83"/>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c r="ET13" s="1">
        <f t="shared" si="36"/>
        <v>3.1096146934553095E-5</v>
      </c>
      <c r="EU13" s="1">
        <f t="shared" si="37"/>
        <v>0.30312334529919022</v>
      </c>
      <c r="EV13" s="1">
        <f t="shared" si="38"/>
        <v>1.4690367661966011E-3</v>
      </c>
      <c r="EW13" s="1">
        <f t="shared" si="39"/>
        <v>3.0495260526269942E-3</v>
      </c>
      <c r="EX13" s="1">
        <f t="shared" si="40"/>
        <v>2.835895557844446</v>
      </c>
      <c r="EY13" s="1">
        <f t="shared" si="41"/>
        <v>1.0211197411000463</v>
      </c>
      <c r="EZ13" s="1">
        <f t="shared" si="42"/>
        <v>7.4002484200309956E-2</v>
      </c>
      <c r="FA13" s="1">
        <f t="shared" si="43"/>
        <v>1.6242163741445039</v>
      </c>
      <c r="FB13" s="1">
        <f t="shared" si="44"/>
        <v>0.42861486224958917</v>
      </c>
      <c r="FC13" s="1">
        <f t="shared" si="45"/>
        <v>0.2250343869278662</v>
      </c>
      <c r="FD13" s="1">
        <f t="shared" si="46"/>
        <v>0.1283921736299462</v>
      </c>
      <c r="FE13" s="1">
        <f t="shared" si="47"/>
        <v>0.76955675776361798</v>
      </c>
      <c r="FF13" s="1">
        <f t="shared" si="48"/>
        <v>0.16419608681497311</v>
      </c>
      <c r="FG13" s="1">
        <f t="shared" si="49"/>
        <v>-0.16419608681497311</v>
      </c>
      <c r="FH13" s="1">
        <f t="shared" si="50"/>
        <v>0.68477837888180892</v>
      </c>
      <c r="FI13" s="1">
        <f t="shared" si="51"/>
        <v>1.6840117451622616</v>
      </c>
      <c r="FJ13" s="1">
        <f t="shared" si="52"/>
        <v>1.0105046962285957</v>
      </c>
      <c r="FK13" s="1">
        <f t="shared" si="53"/>
        <v>0.27203397618736885</v>
      </c>
      <c r="FL13" s="1">
        <f t="shared" si="54"/>
        <v>1.2209850312497077</v>
      </c>
      <c r="FM13" s="1">
        <f t="shared" si="55"/>
        <v>0.31598023738130282</v>
      </c>
      <c r="FN13" s="1">
        <f t="shared" si="56"/>
        <v>0.30673660951141019</v>
      </c>
      <c r="FO13" s="1">
        <f t="shared" si="57"/>
        <v>0.31127043977033503</v>
      </c>
    </row>
    <row r="14" spans="1:171" x14ac:dyDescent="0.25">
      <c r="A14" s="11">
        <v>9.1253921737631298</v>
      </c>
      <c r="B14" s="3">
        <v>360</v>
      </c>
      <c r="C14" s="12">
        <v>0.18750571978017941</v>
      </c>
      <c r="D14" s="12">
        <v>0.38374368110821533</v>
      </c>
      <c r="E14" s="11">
        <v>9.1253921737631298</v>
      </c>
      <c r="F14" s="12">
        <v>0.20634572005565327</v>
      </c>
      <c r="G14" s="12">
        <v>0.50443364660407453</v>
      </c>
      <c r="H14" s="12">
        <f t="shared" si="84"/>
        <v>0.21746956626893954</v>
      </c>
      <c r="I14" s="12">
        <f t="shared" si="85"/>
        <v>0.44506680642534358</v>
      </c>
      <c r="J14" s="12">
        <f t="shared" si="58"/>
        <v>6.2464739745651879E-2</v>
      </c>
      <c r="K14" s="13">
        <f t="shared" si="59"/>
        <v>3.7841743612992473E-2</v>
      </c>
      <c r="L14" s="13">
        <f>SUM(K$3:$K14)</f>
        <v>0.61756750746243649</v>
      </c>
      <c r="M14" s="72">
        <f t="shared" si="86"/>
        <v>0.69200067139427157</v>
      </c>
      <c r="N14" s="12">
        <f t="shared" si="60"/>
        <v>1.3732168282651387E-4</v>
      </c>
      <c r="O14" s="21">
        <f t="shared" si="61"/>
        <v>3.400095117608118E-9</v>
      </c>
      <c r="P14" s="11">
        <f>SUM(O$2:$O14)</f>
        <v>9.0466380928528898E-8</v>
      </c>
      <c r="Q14" s="12">
        <f t="shared" si="62"/>
        <v>1.0172012521673947E-3</v>
      </c>
      <c r="R14" s="3">
        <f t="shared" si="0"/>
        <v>0.33137485252057519</v>
      </c>
      <c r="S14" s="1">
        <f t="shared" si="63"/>
        <v>1.4613060168347626E-3</v>
      </c>
      <c r="T14" s="1">
        <f t="shared" si="64"/>
        <v>0.94973309076418178</v>
      </c>
      <c r="U14" s="1">
        <f t="shared" si="65"/>
        <v>4.1901770199368376E-3</v>
      </c>
      <c r="V14" s="11">
        <f t="shared" si="66"/>
        <v>6.4123279047798736</v>
      </c>
      <c r="W14" s="12">
        <f t="shared" si="67"/>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68"/>
        <v>3.1096485354737378</v>
      </c>
      <c r="AD14" s="1">
        <f t="shared" si="69"/>
        <v>6.7071967492965969</v>
      </c>
      <c r="AE14" s="14">
        <f t="shared" si="70"/>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71"/>
        <v>0.69200067139427157</v>
      </c>
      <c r="AM14" s="14">
        <f t="shared" si="9"/>
        <v>0.33137485252057519</v>
      </c>
      <c r="AN14" s="14">
        <f t="shared" si="10"/>
        <v>1.0529274063677954</v>
      </c>
      <c r="AO14" s="11">
        <f t="shared" si="87"/>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72"/>
        <v>0.28605895837091566</v>
      </c>
      <c r="AW14" s="11">
        <f t="shared" si="73"/>
        <v>0.1061264449912116</v>
      </c>
      <c r="AX14" s="11">
        <f t="shared" si="74"/>
        <v>0.28904781643771571</v>
      </c>
      <c r="AY14" s="11">
        <f t="shared" si="75"/>
        <v>0.15678644459348767</v>
      </c>
      <c r="AZ14" s="90"/>
      <c r="BA14" s="2"/>
      <c r="BB14" s="12">
        <v>0.20634572005565327</v>
      </c>
      <c r="BC14" s="12">
        <v>0.50443364660407453</v>
      </c>
      <c r="BD14" s="12">
        <f t="shared" si="88"/>
        <v>0.21746956626893954</v>
      </c>
      <c r="BE14" s="12">
        <f t="shared" si="89"/>
        <v>0.44506680642534358</v>
      </c>
      <c r="BF14" s="12">
        <v>0.69226320202897429</v>
      </c>
      <c r="BG14" s="14">
        <f t="shared" si="16"/>
        <v>0.33175214576298118</v>
      </c>
      <c r="BH14" s="14">
        <f t="shared" si="17"/>
        <v>1.0517299389203643</v>
      </c>
      <c r="BI14" s="11">
        <f t="shared" si="90"/>
        <v>6.4050353280250176</v>
      </c>
      <c r="BJ14" s="11">
        <f t="shared" si="18"/>
        <v>9.0669516066655333</v>
      </c>
      <c r="BK14" s="12">
        <f t="shared" si="19"/>
        <v>-1.7097965340191368E-2</v>
      </c>
      <c r="BL14" s="11">
        <f t="shared" si="20"/>
        <v>-5.8440567097596485E-2</v>
      </c>
      <c r="BM14" s="14">
        <f t="shared" si="76"/>
        <v>3.1108282713287267</v>
      </c>
      <c r="BN14" s="14">
        <f t="shared" si="91"/>
        <v>6.7097413199776064</v>
      </c>
      <c r="BO14" s="14">
        <f t="shared" si="92"/>
        <v>2.7447146188181435</v>
      </c>
      <c r="BP14" s="14">
        <f t="shared" si="77"/>
        <v>61.983144356555776</v>
      </c>
      <c r="BQ14" s="15">
        <f t="shared" si="78"/>
        <v>288.35871655129284</v>
      </c>
      <c r="BR14" s="15">
        <f t="shared" si="79"/>
        <v>48.252066801924201</v>
      </c>
      <c r="BS14" s="15">
        <f t="shared" si="80"/>
        <v>150.66135028354969</v>
      </c>
      <c r="BT14" s="18">
        <f t="shared" si="21"/>
        <v>288.31536922965233</v>
      </c>
      <c r="BU14" s="18">
        <f t="shared" si="22"/>
        <v>48.366658563073919</v>
      </c>
      <c r="BV14" s="18">
        <f t="shared" si="23"/>
        <v>150.80855802663004</v>
      </c>
      <c r="BW14" s="11">
        <f t="shared" si="81"/>
        <v>-4.3347321640510472E-2</v>
      </c>
      <c r="BX14" s="11">
        <f t="shared" si="82"/>
        <v>9.0049966288859196E-2</v>
      </c>
      <c r="BY14" s="11">
        <f t="shared" si="83"/>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c r="ET14" s="1">
        <f t="shared" si="36"/>
        <v>3.1105081769902882E-5</v>
      </c>
      <c r="EU14" s="1">
        <f t="shared" si="37"/>
        <v>0.31269769633331806</v>
      </c>
      <c r="EV14" s="1">
        <f t="shared" si="38"/>
        <v>1.4651199816127698E-3</v>
      </c>
      <c r="EW14" s="1">
        <f t="shared" si="39"/>
        <v>3.1056051757084695E-3</v>
      </c>
      <c r="EX14" s="1">
        <f t="shared" si="40"/>
        <v>2.901071389021121</v>
      </c>
      <c r="EY14" s="1">
        <f t="shared" si="41"/>
        <v>1.0486984364275784</v>
      </c>
      <c r="EZ14" s="1">
        <f t="shared" si="42"/>
        <v>7.3940858630365883E-2</v>
      </c>
      <c r="FA14" s="1">
        <f t="shared" si="43"/>
        <v>1.6650683832426392</v>
      </c>
      <c r="FB14" s="1">
        <f t="shared" si="44"/>
        <v>0.43312157101274601</v>
      </c>
      <c r="FC14" s="1">
        <f t="shared" si="45"/>
        <v>0.2277620098628842</v>
      </c>
      <c r="FD14" s="1">
        <f t="shared" si="46"/>
        <v>0.12675723112574527</v>
      </c>
      <c r="FE14" s="1">
        <f t="shared" si="47"/>
        <v>0.77420047549884341</v>
      </c>
      <c r="FF14" s="1">
        <f t="shared" si="48"/>
        <v>0.16337861556287264</v>
      </c>
      <c r="FG14" s="1">
        <f t="shared" si="49"/>
        <v>-0.16337861556287264</v>
      </c>
      <c r="FH14" s="1">
        <f t="shared" si="50"/>
        <v>0.68710023774942175</v>
      </c>
      <c r="FI14" s="1">
        <f t="shared" si="51"/>
        <v>1.7032531781919917</v>
      </c>
      <c r="FJ14" s="1">
        <f t="shared" si="52"/>
        <v>1.0240597816668606</v>
      </c>
      <c r="FK14" s="1">
        <f t="shared" si="53"/>
        <v>0.27192068444744305</v>
      </c>
      <c r="FL14" s="1">
        <f t="shared" si="54"/>
        <v>1.2363089629889803</v>
      </c>
      <c r="FM14" s="1">
        <f t="shared" si="55"/>
        <v>0.31731739022851457</v>
      </c>
      <c r="FN14" s="1">
        <f t="shared" si="56"/>
        <v>0.30754050592852311</v>
      </c>
      <c r="FO14" s="1">
        <f t="shared" si="57"/>
        <v>0.3123361546283242</v>
      </c>
    </row>
    <row r="15" spans="1:171" x14ac:dyDescent="0.25">
      <c r="A15" s="11">
        <v>9.5558352008274561</v>
      </c>
      <c r="B15" s="3">
        <v>390</v>
      </c>
      <c r="C15" s="12">
        <v>0.18698292219101309</v>
      </c>
      <c r="D15" s="12">
        <v>0.38303388868104921</v>
      </c>
      <c r="E15" s="11">
        <v>9.5558352008274561</v>
      </c>
      <c r="F15" s="12">
        <v>0.20554572005565327</v>
      </c>
      <c r="G15" s="12">
        <v>0.50383364660407459</v>
      </c>
      <c r="H15" s="12">
        <f t="shared" si="84"/>
        <v>0.216863224419231</v>
      </c>
      <c r="I15" s="12">
        <f t="shared" si="85"/>
        <v>0.44424358753123327</v>
      </c>
      <c r="J15" s="12">
        <f t="shared" si="58"/>
        <v>6.1877379133646958E-2</v>
      </c>
      <c r="K15" s="13">
        <f t="shared" si="59"/>
        <v>2.6761099020998852E-2</v>
      </c>
      <c r="L15" s="13">
        <f>SUM(K$3:$K15)</f>
        <v>0.64432860648343537</v>
      </c>
      <c r="M15" s="72">
        <f t="shared" si="86"/>
        <v>0.6914899434003462</v>
      </c>
      <c r="N15" s="12">
        <f t="shared" si="60"/>
        <v>1.3635898908012113E-4</v>
      </c>
      <c r="O15" s="21">
        <f t="shared" si="61"/>
        <v>1.7104900764775685E-9</v>
      </c>
      <c r="P15" s="11">
        <f>SUM(O$2:$O15)</f>
        <v>9.2176871005006468E-8</v>
      </c>
      <c r="Q15" s="12">
        <f t="shared" si="62"/>
        <v>1.0179386066950142E-3</v>
      </c>
      <c r="R15" s="3">
        <f t="shared" si="0"/>
        <v>0.33064168472415256</v>
      </c>
      <c r="S15" s="1">
        <f t="shared" si="63"/>
        <v>1.4602075087671951E-3</v>
      </c>
      <c r="T15" s="1">
        <f t="shared" si="64"/>
        <v>0.94763180362048705</v>
      </c>
      <c r="U15" s="1">
        <f t="shared" si="65"/>
        <v>4.1870286535043667E-3</v>
      </c>
      <c r="V15" s="11">
        <f t="shared" si="66"/>
        <v>6.426546657396651</v>
      </c>
      <c r="W15" s="12">
        <f t="shared" si="67"/>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68"/>
        <v>3.113111647792687</v>
      </c>
      <c r="AD15" s="1">
        <f t="shared" si="69"/>
        <v>6.7283321998932335</v>
      </c>
      <c r="AE15" s="14">
        <f t="shared" si="70"/>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71"/>
        <v>0.6914899434003462</v>
      </c>
      <c r="AM15" s="14">
        <f t="shared" si="9"/>
        <v>0.33064168472415256</v>
      </c>
      <c r="AN15" s="14">
        <f t="shared" si="10"/>
        <v>1.055262176912422</v>
      </c>
      <c r="AO15" s="11">
        <f t="shared" si="87"/>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72"/>
        <v>7.6356544026907613E-3</v>
      </c>
      <c r="AW15" s="11">
        <f t="shared" si="73"/>
        <v>-4.1192398028684352E-3</v>
      </c>
      <c r="AX15" s="11">
        <f t="shared" si="74"/>
        <v>-0.30210308154036625</v>
      </c>
      <c r="AY15" s="11">
        <f t="shared" si="75"/>
        <v>0.16420763225266199</v>
      </c>
      <c r="AZ15" s="90"/>
      <c r="BA15" s="2"/>
      <c r="BB15" s="12">
        <v>0.20554572005565327</v>
      </c>
      <c r="BC15" s="12">
        <v>0.50383364660407459</v>
      </c>
      <c r="BD15" s="12">
        <f t="shared" si="88"/>
        <v>0.216863224419231</v>
      </c>
      <c r="BE15" s="12">
        <f t="shared" si="89"/>
        <v>0.44424358753123327</v>
      </c>
      <c r="BF15" s="12">
        <v>0.69164815697979232</v>
      </c>
      <c r="BG15" s="14">
        <f t="shared" si="16"/>
        <v>0.33086869008368647</v>
      </c>
      <c r="BH15" s="14">
        <f t="shared" si="17"/>
        <v>1.054538173169995</v>
      </c>
      <c r="BI15" s="11">
        <f t="shared" si="90"/>
        <v>6.4221374746052691</v>
      </c>
      <c r="BJ15" s="11">
        <f t="shared" si="18"/>
        <v>9.5938073605835861</v>
      </c>
      <c r="BK15" s="12">
        <f t="shared" si="19"/>
        <v>-1.8018028374129691E-2</v>
      </c>
      <c r="BL15" s="11">
        <f t="shared" si="20"/>
        <v>3.7972159756129997E-2</v>
      </c>
      <c r="BM15" s="14">
        <f t="shared" si="76"/>
        <v>3.1138239308008688</v>
      </c>
      <c r="BN15" s="14">
        <f t="shared" si="91"/>
        <v>6.7298716489209562</v>
      </c>
      <c r="BO15" s="14">
        <f t="shared" si="92"/>
        <v>2.7455417542739347</v>
      </c>
      <c r="BP15" s="14">
        <f t="shared" si="77"/>
        <v>62.268399349317576</v>
      </c>
      <c r="BQ15" s="15">
        <f t="shared" si="78"/>
        <v>290.86613560917073</v>
      </c>
      <c r="BR15" s="15">
        <f t="shared" si="79"/>
        <v>48.410069229601504</v>
      </c>
      <c r="BS15" s="15">
        <f t="shared" si="80"/>
        <v>152.4710067908195</v>
      </c>
      <c r="BT15" s="18">
        <f t="shared" si="21"/>
        <v>290.99591845434725</v>
      </c>
      <c r="BU15" s="18">
        <f t="shared" si="22"/>
        <v>48.416924663833413</v>
      </c>
      <c r="BV15" s="18">
        <f t="shared" si="23"/>
        <v>152.27753213099786</v>
      </c>
      <c r="BW15" s="11">
        <f t="shared" si="81"/>
        <v>0.12978284517652128</v>
      </c>
      <c r="BX15" s="11">
        <f t="shared" si="82"/>
        <v>-0.22836017620022631</v>
      </c>
      <c r="BY15" s="11">
        <f t="shared" si="83"/>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c r="ET15" s="1">
        <f t="shared" si="36"/>
        <v>3.11114130721665E-5</v>
      </c>
      <c r="EU15" s="1">
        <f t="shared" si="37"/>
        <v>0.32054435980769652</v>
      </c>
      <c r="EV15" s="1">
        <f t="shared" si="38"/>
        <v>1.4778003589184638E-3</v>
      </c>
      <c r="EW15" s="1">
        <f t="shared" si="39"/>
        <v>3.1449356435267351E-3</v>
      </c>
      <c r="EX15" s="1">
        <f t="shared" si="40"/>
        <v>2.9538712283696786</v>
      </c>
      <c r="EY15" s="1">
        <f t="shared" si="41"/>
        <v>1.073917294289066</v>
      </c>
      <c r="EZ15" s="1">
        <f t="shared" si="42"/>
        <v>7.4421847545483671E-2</v>
      </c>
      <c r="FA15" s="1">
        <f t="shared" si="43"/>
        <v>1.7009250563025764</v>
      </c>
      <c r="FB15" s="1">
        <f t="shared" si="44"/>
        <v>0.43827562030990863</v>
      </c>
      <c r="FC15" s="1">
        <f t="shared" si="45"/>
        <v>0.23122034134111383</v>
      </c>
      <c r="FD15" s="1">
        <f t="shared" si="46"/>
        <v>0.12644902988939768</v>
      </c>
      <c r="FE15" s="1">
        <f t="shared" si="47"/>
        <v>0.77508077756364557</v>
      </c>
      <c r="FF15" s="1">
        <f t="shared" si="48"/>
        <v>0.16322451494469886</v>
      </c>
      <c r="FG15" s="1">
        <f t="shared" si="49"/>
        <v>-0.16322451494469886</v>
      </c>
      <c r="FH15" s="1">
        <f t="shared" si="50"/>
        <v>0.68754038878182278</v>
      </c>
      <c r="FI15" s="1">
        <f t="shared" si="51"/>
        <v>1.7186829924013558</v>
      </c>
      <c r="FJ15" s="1">
        <f t="shared" si="52"/>
        <v>1.036299809075089</v>
      </c>
      <c r="FK15" s="1">
        <f t="shared" si="53"/>
        <v>0.27280367949403406</v>
      </c>
      <c r="FL15" s="1">
        <f t="shared" si="54"/>
        <v>1.2495884047128945</v>
      </c>
      <c r="FM15" s="1">
        <f t="shared" si="55"/>
        <v>0.3186262206269731</v>
      </c>
      <c r="FN15" s="1">
        <f t="shared" si="56"/>
        <v>0.30871269652098615</v>
      </c>
      <c r="FO15" s="1">
        <f t="shared" si="57"/>
        <v>0.31357519239751336</v>
      </c>
    </row>
    <row r="16" spans="1:171" s="39" customFormat="1" x14ac:dyDescent="0.25">
      <c r="A16" s="34">
        <v>10.115411136011028</v>
      </c>
      <c r="B16" s="35">
        <v>420</v>
      </c>
      <c r="C16" s="36">
        <v>0.18631788772602825</v>
      </c>
      <c r="D16" s="36">
        <v>0.38210920584357133</v>
      </c>
      <c r="E16" s="34">
        <v>10.115411136011028</v>
      </c>
      <c r="F16" s="12">
        <v>0.20474572005565328</v>
      </c>
      <c r="G16" s="12">
        <v>0.50323364660407455</v>
      </c>
      <c r="H16" s="12">
        <f t="shared" si="84"/>
        <v>0.2160919159128894</v>
      </c>
      <c r="I16" s="12">
        <f t="shared" si="85"/>
        <v>0.44317113824361481</v>
      </c>
      <c r="J16" s="12">
        <f t="shared" si="58"/>
        <v>6.1336603277710199E-2</v>
      </c>
      <c r="K16" s="13">
        <f t="shared" si="59"/>
        <v>3.4473789717763693E-2</v>
      </c>
      <c r="L16" s="13">
        <f>SUM(K$3:$K16)</f>
        <v>0.67880239620119909</v>
      </c>
      <c r="M16" s="72">
        <f t="shared" si="86"/>
        <v>0.69083313093326615</v>
      </c>
      <c r="N16" s="12">
        <f t="shared" si="60"/>
        <v>1.3540186741751415E-4</v>
      </c>
      <c r="O16" s="21">
        <f t="shared" si="61"/>
        <v>2.8387457116006314E-9</v>
      </c>
      <c r="P16" s="11">
        <f>SUM(O$2:$O16)</f>
        <v>9.5015616716607097E-8</v>
      </c>
      <c r="Q16" s="12">
        <f t="shared" si="62"/>
        <v>1.0188872810761097E-3</v>
      </c>
      <c r="R16" s="3">
        <f t="shared" si="0"/>
        <v>0.32970039829207076</v>
      </c>
      <c r="S16" s="1">
        <f t="shared" si="63"/>
        <v>1.4587931325689505E-3</v>
      </c>
      <c r="T16" s="1">
        <f t="shared" si="64"/>
        <v>0.94493404045096607</v>
      </c>
      <c r="U16" s="1">
        <f t="shared" si="65"/>
        <v>4.1829749968432042E-3</v>
      </c>
      <c r="V16" s="11">
        <f t="shared" si="66"/>
        <v>6.444894288170179</v>
      </c>
      <c r="W16" s="36">
        <f t="shared" si="67"/>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68"/>
        <v>3.1176810550939331</v>
      </c>
      <c r="AD16" s="39">
        <f t="shared" si="69"/>
        <v>6.7482058305832844</v>
      </c>
      <c r="AE16" s="40">
        <f t="shared" si="70"/>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71"/>
        <v>0.69083313093326615</v>
      </c>
      <c r="AM16" s="40">
        <f t="shared" si="9"/>
        <v>0.32970039829207076</v>
      </c>
      <c r="AN16" s="40">
        <f t="shared" si="10"/>
        <v>1.0582749241658749</v>
      </c>
      <c r="AO16" s="11">
        <f t="shared" si="87"/>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72"/>
        <v>0.28166764309253267</v>
      </c>
      <c r="AW16" s="11">
        <f t="shared" si="73"/>
        <v>-0.11756796769007138</v>
      </c>
      <c r="AX16" s="11">
        <f t="shared" si="74"/>
        <v>-0.38587585238056477</v>
      </c>
      <c r="AY16" s="11">
        <f t="shared" si="75"/>
        <v>0.17320747750698295</v>
      </c>
      <c r="AZ16" s="90"/>
      <c r="BB16" s="55">
        <v>0.20474572005565328</v>
      </c>
      <c r="BC16" s="55">
        <v>0.50323364660407455</v>
      </c>
      <c r="BD16" s="12">
        <f t="shared" si="88"/>
        <v>0.2160919159128894</v>
      </c>
      <c r="BE16" s="12">
        <f t="shared" si="89"/>
        <v>0.44317113824361481</v>
      </c>
      <c r="BF16" s="36">
        <v>0.69104416573088068</v>
      </c>
      <c r="BG16" s="40">
        <f t="shared" si="16"/>
        <v>0.3300026399357443</v>
      </c>
      <c r="BH16" s="40">
        <f t="shared" si="17"/>
        <v>1.057305675093805</v>
      </c>
      <c r="BI16" s="11">
        <f t="shared" si="90"/>
        <v>6.4389915613212718</v>
      </c>
      <c r="BJ16" s="34">
        <f t="shared" si="18"/>
        <v>10.116534278344647</v>
      </c>
      <c r="BK16" s="12">
        <f t="shared" si="19"/>
        <v>-1.8923947571942823E-2</v>
      </c>
      <c r="BL16" s="34">
        <f t="shared" si="20"/>
        <v>1.1231423336184321E-3</v>
      </c>
      <c r="BM16" s="14">
        <f t="shared" si="76"/>
        <v>3.1186334402084102</v>
      </c>
      <c r="BN16" s="14">
        <f t="shared" si="91"/>
        <v>6.7502672636384622</v>
      </c>
      <c r="BO16" s="14">
        <f t="shared" si="92"/>
        <v>2.7464147931847984</v>
      </c>
      <c r="BP16" s="14">
        <f t="shared" si="77"/>
        <v>62.624824053381829</v>
      </c>
      <c r="BQ16" s="15">
        <f t="shared" si="78"/>
        <v>293.3997857348582</v>
      </c>
      <c r="BR16" s="15">
        <f t="shared" si="79"/>
        <v>48.567988307051152</v>
      </c>
      <c r="BS16" s="15">
        <f t="shared" si="80"/>
        <v>154.09330188176386</v>
      </c>
      <c r="BT16" s="44">
        <f t="shared" si="21"/>
        <v>293.64780852353744</v>
      </c>
      <c r="BU16" s="44">
        <f t="shared" si="22"/>
        <v>48.462666655884441</v>
      </c>
      <c r="BV16" s="44">
        <f t="shared" si="23"/>
        <v>153.73244055707599</v>
      </c>
      <c r="BW16" s="11">
        <f t="shared" si="81"/>
        <v>0.24802278867923633</v>
      </c>
      <c r="BX16" s="34">
        <f t="shared" si="82"/>
        <v>-0.40793354418684658</v>
      </c>
      <c r="BY16" s="34">
        <f t="shared" si="83"/>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c r="ET16" s="39">
        <f t="shared" si="36"/>
        <v>3.1119584503820708E-5</v>
      </c>
      <c r="EU16" s="39">
        <f t="shared" si="37"/>
        <v>0.32875714321560462</v>
      </c>
      <c r="EV16" s="39">
        <f t="shared" si="38"/>
        <v>1.4912352697803448E-3</v>
      </c>
      <c r="EW16" s="39">
        <f t="shared" si="39"/>
        <v>3.196946562392462E-3</v>
      </c>
      <c r="EX16" s="39">
        <f t="shared" si="40"/>
        <v>3.0092747822435304</v>
      </c>
      <c r="EY16" s="39">
        <f t="shared" si="41"/>
        <v>1.0983990390290361</v>
      </c>
      <c r="EZ16" s="39">
        <f t="shared" si="42"/>
        <v>7.4942506290614511E-2</v>
      </c>
      <c r="FA16" s="39">
        <f t="shared" si="43"/>
        <v>1.7365625808221317</v>
      </c>
      <c r="FB16" s="39">
        <f t="shared" si="44"/>
        <v>0.44371998780803951</v>
      </c>
      <c r="FC16" s="39">
        <f t="shared" si="45"/>
        <v>0.23453257121017479</v>
      </c>
      <c r="FD16" s="39">
        <f t="shared" si="46"/>
        <v>0.12587972072491335</v>
      </c>
      <c r="FE16" s="39">
        <f t="shared" si="47"/>
        <v>0.77671101595528969</v>
      </c>
      <c r="FF16" s="39">
        <f t="shared" si="48"/>
        <v>0.16293986036245667</v>
      </c>
      <c r="FG16" s="39">
        <f t="shared" si="49"/>
        <v>-0.16293986036245667</v>
      </c>
      <c r="FH16" s="39">
        <f t="shared" si="50"/>
        <v>0.68835550797764489</v>
      </c>
      <c r="FI16" s="39">
        <f t="shared" si="51"/>
        <v>1.7347261404162706</v>
      </c>
      <c r="FJ16" s="39">
        <f t="shared" si="52"/>
        <v>1.0480453420673346</v>
      </c>
      <c r="FK16" s="39">
        <f t="shared" si="53"/>
        <v>0.27375628995625745</v>
      </c>
      <c r="FL16" s="39">
        <f t="shared" si="54"/>
        <v>1.262674465905524</v>
      </c>
      <c r="FM16" s="39">
        <f t="shared" si="55"/>
        <v>0.32025962691735105</v>
      </c>
      <c r="FN16" s="39">
        <f t="shared" si="56"/>
        <v>0.31011546108683335</v>
      </c>
      <c r="FO16" s="39">
        <f t="shared" si="57"/>
        <v>0.31509092653806964</v>
      </c>
    </row>
    <row r="17" spans="1:171" x14ac:dyDescent="0.25">
      <c r="A17" s="11">
        <v>10.631942768488157</v>
      </c>
      <c r="B17" s="3">
        <v>450</v>
      </c>
      <c r="C17" s="12">
        <v>0.18571014495393662</v>
      </c>
      <c r="D17" s="12">
        <v>0.38121999542129603</v>
      </c>
      <c r="E17" s="11">
        <v>10.631942768488157</v>
      </c>
      <c r="F17" s="12">
        <v>0.20394572005565328</v>
      </c>
      <c r="G17" s="12">
        <v>0.50443364660407453</v>
      </c>
      <c r="H17" s="12">
        <f t="shared" si="84"/>
        <v>0.21538705444410439</v>
      </c>
      <c r="I17" s="12">
        <f t="shared" si="85"/>
        <v>0.44213982994496276</v>
      </c>
      <c r="J17" s="12">
        <f t="shared" si="58"/>
        <v>6.0860866096941288E-2</v>
      </c>
      <c r="K17" s="13">
        <f t="shared" si="59"/>
        <v>3.1559429170331346E-2</v>
      </c>
      <c r="L17" s="13">
        <f>SUM(K$3:$K17)</f>
        <v>0.71036182537153048</v>
      </c>
      <c r="M17" s="72">
        <f t="shared" si="86"/>
        <v>0.690232937402526</v>
      </c>
      <c r="N17" s="12">
        <f t="shared" si="60"/>
        <v>1.3390192775030208E-4</v>
      </c>
      <c r="O17" s="21">
        <f t="shared" si="61"/>
        <v>2.3727186493252283E-9</v>
      </c>
      <c r="P17" s="11">
        <f>SUM(O$2:$O17)</f>
        <v>9.7388335365932324E-8</v>
      </c>
      <c r="Q17" s="12">
        <f t="shared" si="62"/>
        <v>1.019754556289391E-3</v>
      </c>
      <c r="R17" s="13">
        <f t="shared" si="0"/>
        <v>0.32884181682252239</v>
      </c>
      <c r="S17" s="1">
        <f t="shared" si="63"/>
        <v>1.4574990101103569E-3</v>
      </c>
      <c r="T17" s="1">
        <f t="shared" si="64"/>
        <v>0.9424733128895818</v>
      </c>
      <c r="U17" s="1">
        <f t="shared" si="65"/>
        <v>4.1792659920316475E-3</v>
      </c>
      <c r="V17" s="11">
        <f t="shared" si="66"/>
        <v>6.4617214267089729</v>
      </c>
      <c r="W17" s="12">
        <f t="shared" si="67"/>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68"/>
        <v>3.1222382181150508</v>
      </c>
      <c r="AD17" s="1">
        <f t="shared" si="69"/>
        <v>6.7687906097188337</v>
      </c>
      <c r="AE17" s="14">
        <f t="shared" si="70"/>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71"/>
        <v>0.690232937402526</v>
      </c>
      <c r="AM17" s="14">
        <f t="shared" si="9"/>
        <v>0.32884181682252239</v>
      </c>
      <c r="AN17" s="14">
        <f t="shared" si="10"/>
        <v>1.0610380011016374</v>
      </c>
      <c r="AO17" s="11">
        <f t="shared" si="87"/>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72"/>
        <v>0.32330165204660943</v>
      </c>
      <c r="AW17" s="11">
        <f t="shared" si="73"/>
        <v>0.11143324340738303</v>
      </c>
      <c r="AX17" s="11">
        <f t="shared" si="74"/>
        <v>-0.29009558189244444</v>
      </c>
      <c r="AY17" s="11">
        <f t="shared" si="75"/>
        <v>0.18166509363694416</v>
      </c>
      <c r="AZ17" s="90"/>
      <c r="BA17" s="2"/>
      <c r="BB17" s="12">
        <v>0.20394572005565328</v>
      </c>
      <c r="BC17" s="12">
        <v>0.50443364660407453</v>
      </c>
      <c r="BD17" s="12">
        <f t="shared" si="88"/>
        <v>0.21538705444410439</v>
      </c>
      <c r="BE17" s="12">
        <f t="shared" si="89"/>
        <v>0.44213982994496276</v>
      </c>
      <c r="BF17" s="12">
        <v>0.690232937402526</v>
      </c>
      <c r="BG17" s="14">
        <f t="shared" si="16"/>
        <v>0.32884181682252239</v>
      </c>
      <c r="BH17" s="14">
        <f t="shared" si="17"/>
        <v>1.0610380011016374</v>
      </c>
      <c r="BI17" s="11">
        <f t="shared" si="90"/>
        <v>6.4617214267089729</v>
      </c>
      <c r="BJ17" s="11">
        <f t="shared" si="18"/>
        <v>10.827026065962908</v>
      </c>
      <c r="BK17" s="12">
        <f t="shared" si="19"/>
        <v>-2.0144443331357564E-2</v>
      </c>
      <c r="BL17" s="11">
        <f t="shared" si="20"/>
        <v>0.19508329747475095</v>
      </c>
      <c r="BM17" s="14">
        <f t="shared" si="76"/>
        <v>3.1222382181150508</v>
      </c>
      <c r="BN17" s="14">
        <f t="shared" si="91"/>
        <v>6.7687906097188337</v>
      </c>
      <c r="BO17" s="14">
        <f t="shared" si="92"/>
        <v>2.7366649391819164</v>
      </c>
      <c r="BP17" s="14">
        <f t="shared" si="77"/>
        <v>62.991260936705288</v>
      </c>
      <c r="BQ17" s="15">
        <f t="shared" si="78"/>
        <v>296.05362980780393</v>
      </c>
      <c r="BR17" s="15">
        <f t="shared" si="79"/>
        <v>48.393996372468365</v>
      </c>
      <c r="BS17" s="15">
        <f t="shared" si="80"/>
        <v>155.47384337015646</v>
      </c>
      <c r="BT17" s="18">
        <f t="shared" si="21"/>
        <v>297.24026433059322</v>
      </c>
      <c r="BU17" s="18">
        <f t="shared" si="22"/>
        <v>48.518331321820114</v>
      </c>
      <c r="BV17" s="18">
        <f t="shared" si="23"/>
        <v>155.70596805522163</v>
      </c>
      <c r="BW17" s="11">
        <f t="shared" si="81"/>
        <v>1.1866345227892907</v>
      </c>
      <c r="BX17" s="11">
        <f t="shared" si="82"/>
        <v>0.23212468506517325</v>
      </c>
      <c r="BY17" s="11">
        <f t="shared" si="83"/>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c r="ET17" s="1">
        <f t="shared" si="36"/>
        <v>3.1127080240107278E-5</v>
      </c>
      <c r="EU17" s="1">
        <f t="shared" si="37"/>
        <v>0.33715652691077053</v>
      </c>
      <c r="EV17" s="1">
        <f t="shared" si="38"/>
        <v>1.4726341373801799E-3</v>
      </c>
      <c r="EW17" s="1">
        <f t="shared" si="39"/>
        <v>3.2475908333651749E-3</v>
      </c>
      <c r="EX17" s="1">
        <f t="shared" si="40"/>
        <v>3.0653751276381755</v>
      </c>
      <c r="EY17" s="1">
        <f t="shared" si="41"/>
        <v>1.1202648719910226</v>
      </c>
      <c r="EZ17" s="1">
        <f t="shared" si="42"/>
        <v>7.4371598808252171E-2</v>
      </c>
      <c r="FA17" s="1">
        <f t="shared" si="43"/>
        <v>1.7698923176673513</v>
      </c>
      <c r="FB17" s="1">
        <f t="shared" si="44"/>
        <v>0.44596447323620181</v>
      </c>
      <c r="FC17" s="1">
        <f t="shared" si="45"/>
        <v>0.23567280491587031</v>
      </c>
      <c r="FD17" s="1">
        <f t="shared" si="46"/>
        <v>0.12371360986077694</v>
      </c>
      <c r="FE17" s="1">
        <f t="shared" si="47"/>
        <v>0.78296351692190647</v>
      </c>
      <c r="FF17" s="1">
        <f t="shared" si="48"/>
        <v>0.16185680493038848</v>
      </c>
      <c r="FG17" s="1">
        <f t="shared" si="49"/>
        <v>-0.16185680493038848</v>
      </c>
      <c r="FH17" s="1">
        <f t="shared" si="50"/>
        <v>0.69148175846095317</v>
      </c>
      <c r="FI17" s="1">
        <f t="shared" si="51"/>
        <v>1.7508212723285537</v>
      </c>
      <c r="FJ17" s="1">
        <f t="shared" si="52"/>
        <v>1.0584256572811443</v>
      </c>
      <c r="FK17" s="1">
        <f t="shared" si="53"/>
        <v>0.27271156705987404</v>
      </c>
      <c r="FL17" s="1">
        <f t="shared" si="54"/>
        <v>1.2747986283798216</v>
      </c>
      <c r="FM17" s="1">
        <f t="shared" si="55"/>
        <v>0.32105761249288289</v>
      </c>
      <c r="FN17" s="1">
        <f t="shared" si="56"/>
        <v>0.31018716850942624</v>
      </c>
      <c r="FO17" s="1">
        <f t="shared" si="57"/>
        <v>0.31551949984300448</v>
      </c>
    </row>
    <row r="18" spans="1:171" x14ac:dyDescent="0.25">
      <c r="A18" s="11">
        <v>10.933252887433179</v>
      </c>
      <c r="B18" s="3">
        <v>480</v>
      </c>
      <c r="C18" s="12">
        <v>0.18535279504154922</v>
      </c>
      <c r="D18" s="12">
        <v>0.38067451549496861</v>
      </c>
      <c r="E18" s="11">
        <v>10.933252887433179</v>
      </c>
      <c r="F18" s="12">
        <v>0.2033457200556533</v>
      </c>
      <c r="G18" s="12">
        <v>0.50523364660407455</v>
      </c>
      <c r="H18" s="12">
        <f t="shared" si="84"/>
        <v>0.21497259919151673</v>
      </c>
      <c r="I18" s="12">
        <f t="shared" si="85"/>
        <v>0.44150718106829961</v>
      </c>
      <c r="J18" s="12">
        <f t="shared" si="58"/>
        <v>6.0476396527567526E-2</v>
      </c>
      <c r="K18" s="13">
        <f t="shared" si="59"/>
        <v>1.8280072516927051E-2</v>
      </c>
      <c r="L18" s="13">
        <f>SUM(K$3:$K18)</f>
        <v>0.72864189788845757</v>
      </c>
      <c r="M18" s="72">
        <f t="shared" si="86"/>
        <v>0.68988576586557904</v>
      </c>
      <c r="N18" s="12">
        <f t="shared" si="60"/>
        <v>1.3282548711181843E-4</v>
      </c>
      <c r="O18" s="21">
        <f t="shared" si="61"/>
        <v>7.919065595810542E-10</v>
      </c>
      <c r="P18" s="11">
        <f>SUM(O$2:$O18)</f>
        <v>9.8180241925513379E-8</v>
      </c>
      <c r="Q18" s="12">
        <f t="shared" si="62"/>
        <v>1.0202563710906443E-3</v>
      </c>
      <c r="R18" s="3">
        <f t="shared" si="0"/>
        <v>0.32834586639665136</v>
      </c>
      <c r="S18" s="1">
        <f t="shared" si="63"/>
        <v>1.4567497056218448E-3</v>
      </c>
      <c r="T18" s="1">
        <f t="shared" si="64"/>
        <v>0.94105189986670001</v>
      </c>
      <c r="U18" s="1">
        <f t="shared" si="65"/>
        <v>4.1771184565068935E-3</v>
      </c>
      <c r="V18" s="11">
        <f t="shared" si="66"/>
        <v>6.4714815419453995</v>
      </c>
      <c r="W18" s="12">
        <f t="shared" si="67"/>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68"/>
        <v>3.1251395014517604</v>
      </c>
      <c r="AD18" s="1">
        <f t="shared" si="69"/>
        <v>6.7853482795385665</v>
      </c>
      <c r="AE18" s="14">
        <f t="shared" si="70"/>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71"/>
        <v>0.68988576586557904</v>
      </c>
      <c r="AM18" s="14">
        <f t="shared" si="9"/>
        <v>0.32834586639665136</v>
      </c>
      <c r="AN18" s="14">
        <f t="shared" si="10"/>
        <v>1.062640647281675</v>
      </c>
      <c r="AO18" s="11">
        <f t="shared" si="87"/>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72"/>
        <v>-6.0546591836100561E-2</v>
      </c>
      <c r="AW18" s="11">
        <f t="shared" si="73"/>
        <v>0.26179940381025801</v>
      </c>
      <c r="AX18" s="11">
        <f t="shared" si="74"/>
        <v>-0.59135273697361868</v>
      </c>
      <c r="AY18" s="11">
        <f t="shared" si="75"/>
        <v>0.1864098363970168</v>
      </c>
      <c r="AZ18" s="90"/>
      <c r="BA18" s="2"/>
      <c r="BB18" s="12">
        <v>0.2033457200556533</v>
      </c>
      <c r="BC18" s="12">
        <v>0.50523364660407455</v>
      </c>
      <c r="BD18" s="12">
        <f t="shared" si="88"/>
        <v>0.21497259919151673</v>
      </c>
      <c r="BE18" s="12">
        <f t="shared" si="89"/>
        <v>0.44150718106829961</v>
      </c>
      <c r="BF18" s="12">
        <v>0.68988576586557904</v>
      </c>
      <c r="BG18" s="14">
        <f t="shared" si="16"/>
        <v>0.32834586639665136</v>
      </c>
      <c r="BH18" s="14">
        <f t="shared" si="17"/>
        <v>1.062640647281675</v>
      </c>
      <c r="BI18" s="11">
        <f t="shared" si="90"/>
        <v>6.4714815419453995</v>
      </c>
      <c r="BJ18" s="11">
        <f t="shared" si="18"/>
        <v>11.134058633355171</v>
      </c>
      <c r="BK18" s="12">
        <f t="shared" si="19"/>
        <v>-2.0668080116945986E-2</v>
      </c>
      <c r="BL18" s="11">
        <f t="shared" si="20"/>
        <v>0.20080574592199163</v>
      </c>
      <c r="BM18" s="14">
        <f t="shared" si="76"/>
        <v>3.1251395014517604</v>
      </c>
      <c r="BN18" s="14">
        <f t="shared" si="91"/>
        <v>6.7853482795385665</v>
      </c>
      <c r="BO18" s="14">
        <f t="shared" si="92"/>
        <v>2.7309573323259162</v>
      </c>
      <c r="BP18" s="14">
        <f t="shared" si="77"/>
        <v>63.203704440688199</v>
      </c>
      <c r="BQ18" s="15">
        <f t="shared" si="78"/>
        <v>297.95316634742073</v>
      </c>
      <c r="BR18" s="15">
        <f t="shared" si="79"/>
        <v>48.265137372264455</v>
      </c>
      <c r="BS18" s="15">
        <f t="shared" si="80"/>
        <v>156.6071903976206</v>
      </c>
      <c r="BT18" s="18">
        <f t="shared" si="21"/>
        <v>298.78849961835436</v>
      </c>
      <c r="BU18" s="18">
        <f t="shared" si="22"/>
        <v>48.54009255218007</v>
      </c>
      <c r="BV18" s="18">
        <f t="shared" si="23"/>
        <v>156.55741549794237</v>
      </c>
      <c r="BW18" s="11">
        <f t="shared" si="81"/>
        <v>0.83533327093363141</v>
      </c>
      <c r="BX18" s="11">
        <f t="shared" si="82"/>
        <v>-4.9774899678226348E-2</v>
      </c>
      <c r="BY18" s="11">
        <f t="shared" si="83"/>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c r="ET18" s="1">
        <f t="shared" si="36"/>
        <v>3.1131428531795516E-5</v>
      </c>
      <c r="EU18" s="1">
        <f t="shared" si="37"/>
        <v>0.34351517003825105</v>
      </c>
      <c r="EV18" s="1">
        <f t="shared" si="38"/>
        <v>1.4601670552847313E-3</v>
      </c>
      <c r="EW18" s="1">
        <f t="shared" si="39"/>
        <v>3.2789100754217928E-3</v>
      </c>
      <c r="EX18" s="1">
        <f t="shared" si="40"/>
        <v>3.1072416505483558</v>
      </c>
      <c r="EY18" s="1">
        <f t="shared" si="41"/>
        <v>1.1380090938569902</v>
      </c>
      <c r="EZ18" s="1">
        <f t="shared" si="42"/>
        <v>7.3981560959245851E-2</v>
      </c>
      <c r="FA18" s="1">
        <f t="shared" si="43"/>
        <v>1.7961576925060732</v>
      </c>
      <c r="FB18" s="1">
        <f t="shared" si="44"/>
        <v>0.44769330655693457</v>
      </c>
      <c r="FC18" s="1">
        <f t="shared" si="45"/>
        <v>0.23677228593355795</v>
      </c>
      <c r="FD18" s="1">
        <f t="shared" si="46"/>
        <v>0.1223455391885766</v>
      </c>
      <c r="FE18" s="1">
        <f t="shared" si="47"/>
        <v>0.78695374621294212</v>
      </c>
      <c r="FF18" s="1">
        <f t="shared" si="48"/>
        <v>0.16117276959428831</v>
      </c>
      <c r="FG18" s="1">
        <f t="shared" si="49"/>
        <v>-0.16117276959428831</v>
      </c>
      <c r="FH18" s="1">
        <f t="shared" si="50"/>
        <v>0.6934768731064711</v>
      </c>
      <c r="FI18" s="1">
        <f t="shared" si="51"/>
        <v>1.7627369771319701</v>
      </c>
      <c r="FJ18" s="1">
        <f t="shared" si="52"/>
        <v>1.0667750905682933</v>
      </c>
      <c r="FK18" s="1">
        <f t="shared" si="53"/>
        <v>0.27199551643224901</v>
      </c>
      <c r="FL18" s="1">
        <f t="shared" si="54"/>
        <v>1.2842597866302687</v>
      </c>
      <c r="FM18" s="1">
        <f t="shared" si="55"/>
        <v>0.32151488499083031</v>
      </c>
      <c r="FN18" s="1">
        <f t="shared" si="56"/>
        <v>0.31016928819081219</v>
      </c>
      <c r="FO18" s="1">
        <f t="shared" si="57"/>
        <v>0.31573513822178889</v>
      </c>
    </row>
    <row r="19" spans="1:171" x14ac:dyDescent="0.25">
      <c r="A19" s="11">
        <v>11.148474400965315</v>
      </c>
      <c r="B19" s="3">
        <v>510</v>
      </c>
      <c r="C19" s="12">
        <v>0.18509361736470731</v>
      </c>
      <c r="D19" s="12">
        <v>0.3802705460036464</v>
      </c>
      <c r="E19" s="11">
        <v>11.148474400965315</v>
      </c>
      <c r="F19" s="12">
        <v>0.20234572005565329</v>
      </c>
      <c r="G19" s="12">
        <v>0.5056336466040745</v>
      </c>
      <c r="H19" s="12">
        <f t="shared" si="84"/>
        <v>0.2146720043241416</v>
      </c>
      <c r="I19" s="12">
        <f t="shared" si="85"/>
        <v>0.44103865632053879</v>
      </c>
      <c r="J19" s="12">
        <f t="shared" si="58"/>
        <v>5.9704829119676596E-2</v>
      </c>
      <c r="K19" s="13">
        <f t="shared" si="59"/>
        <v>1.2932792640973495E-2</v>
      </c>
      <c r="L19" s="13">
        <f>SUM(K$3:$K19)</f>
        <v>0.74157469052943104</v>
      </c>
      <c r="M19" s="72">
        <f t="shared" si="86"/>
        <v>0.68964035968165227</v>
      </c>
      <c r="N19" s="12">
        <f t="shared" si="60"/>
        <v>1.3133100972784838E-4</v>
      </c>
      <c r="O19" s="21">
        <f t="shared" si="61"/>
        <v>3.9732652985210963E-10</v>
      </c>
      <c r="P19" s="11">
        <f>SUM(O$2:$O19)</f>
        <v>9.8577568455365487E-8</v>
      </c>
      <c r="Q19" s="12">
        <f t="shared" si="62"/>
        <v>1.0206111552189835E-3</v>
      </c>
      <c r="R19" s="3">
        <f t="shared" si="0"/>
        <v>0.3279955934229859</v>
      </c>
      <c r="S19" s="1">
        <f t="shared" si="63"/>
        <v>1.4562197099283649E-3</v>
      </c>
      <c r="T19" s="1">
        <f t="shared" si="64"/>
        <v>0.94004800403284272</v>
      </c>
      <c r="U19" s="1">
        <f t="shared" si="65"/>
        <v>4.1755994684357367E-3</v>
      </c>
      <c r="V19" s="11">
        <f t="shared" si="66"/>
        <v>6.4783925649261107</v>
      </c>
      <c r="W19" s="12">
        <f t="shared" si="67"/>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68"/>
        <v>3.1273465479653297</v>
      </c>
      <c r="AD19" s="1">
        <f t="shared" si="69"/>
        <v>6.8164561078136288</v>
      </c>
      <c r="AE19" s="14">
        <f t="shared" si="70"/>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71"/>
        <v>0.68964035968165227</v>
      </c>
      <c r="AM19" s="14">
        <f t="shared" si="9"/>
        <v>0.3279955934229859</v>
      </c>
      <c r="AN19" s="14">
        <f t="shared" si="10"/>
        <v>1.0637754622210365</v>
      </c>
      <c r="AO19" s="11">
        <f t="shared" si="87"/>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72"/>
        <v>-2.0447711102378889</v>
      </c>
      <c r="AW19" s="11">
        <f t="shared" si="73"/>
        <v>0.33541313200399969</v>
      </c>
      <c r="AX19" s="11">
        <f t="shared" si="74"/>
        <v>-2.5302582620734313</v>
      </c>
      <c r="AY19" s="11">
        <f t="shared" si="75"/>
        <v>0.18859039204833294</v>
      </c>
      <c r="AZ19" s="90"/>
      <c r="BA19" s="2"/>
      <c r="BB19" s="12">
        <v>0.20234572005565329</v>
      </c>
      <c r="BC19" s="12">
        <v>0.5056336466040745</v>
      </c>
      <c r="BD19" s="12">
        <f t="shared" si="88"/>
        <v>0.2146720043241416</v>
      </c>
      <c r="BE19" s="12">
        <f t="shared" si="89"/>
        <v>0.44103865632053879</v>
      </c>
      <c r="BF19" s="12">
        <v>0.68964035968165227</v>
      </c>
      <c r="BG19" s="14">
        <f t="shared" si="16"/>
        <v>0.3279955934229859</v>
      </c>
      <c r="BH19" s="14">
        <f t="shared" si="17"/>
        <v>1.0637754622210365</v>
      </c>
      <c r="BI19" s="11">
        <f t="shared" si="90"/>
        <v>6.4783925649261107</v>
      </c>
      <c r="BJ19" s="11">
        <f t="shared" si="18"/>
        <v>11.352173838611561</v>
      </c>
      <c r="BK19" s="12">
        <f t="shared" si="19"/>
        <v>-2.1038701989879338E-2</v>
      </c>
      <c r="BL19" s="11">
        <f t="shared" si="20"/>
        <v>0.20369943764624665</v>
      </c>
      <c r="BM19" s="14">
        <f t="shared" si="76"/>
        <v>3.1273465479653297</v>
      </c>
      <c r="BN19" s="14">
        <f t="shared" si="91"/>
        <v>6.8164561078136288</v>
      </c>
      <c r="BO19" s="14">
        <f t="shared" si="92"/>
        <v>2.7278262208751318</v>
      </c>
      <c r="BP19" s="14">
        <f t="shared" si="77"/>
        <v>63.360599681821576</v>
      </c>
      <c r="BQ19" s="15">
        <f t="shared" si="78"/>
        <v>301.0125106939642</v>
      </c>
      <c r="BR19" s="15">
        <f t="shared" si="79"/>
        <v>48.205951593506761</v>
      </c>
      <c r="BS19" s="15">
        <f t="shared" si="80"/>
        <v>159.13666324200625</v>
      </c>
      <c r="BT19" s="18">
        <f t="shared" si="21"/>
        <v>299.88683725171461</v>
      </c>
      <c r="BU19" s="18">
        <f t="shared" si="22"/>
        <v>48.554718383235873</v>
      </c>
      <c r="BV19" s="18">
        <f t="shared" si="23"/>
        <v>157.16177828947895</v>
      </c>
      <c r="BW19" s="11">
        <f t="shared" si="81"/>
        <v>-1.1256734422495924</v>
      </c>
      <c r="BX19" s="11">
        <f t="shared" si="82"/>
        <v>-1.9748849525273044</v>
      </c>
      <c r="BY19" s="11">
        <f t="shared" si="83"/>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c r="ET19" s="1">
        <f t="shared" si="36"/>
        <v>3.1134507754405196E-5</v>
      </c>
      <c r="EU19" s="1">
        <f t="shared" si="37"/>
        <v>0.35407970060069965</v>
      </c>
      <c r="EV19" s="1">
        <f t="shared" si="38"/>
        <v>1.4542844885286127E-3</v>
      </c>
      <c r="EW19" s="1">
        <f t="shared" si="39"/>
        <v>3.3022141042863013E-3</v>
      </c>
      <c r="EX19" s="1">
        <f t="shared" si="40"/>
        <v>3.1751317301382</v>
      </c>
      <c r="EY19" s="1">
        <f t="shared" si="41"/>
        <v>1.1737190558614152</v>
      </c>
      <c r="EZ19" s="1">
        <f t="shared" si="42"/>
        <v>7.3805082300358468E-2</v>
      </c>
      <c r="FA19" s="1">
        <f t="shared" si="43"/>
        <v>1.8454888309976489</v>
      </c>
      <c r="FB19" s="1">
        <f t="shared" si="44"/>
        <v>0.45178021759005788</v>
      </c>
      <c r="FC19" s="1">
        <f t="shared" si="45"/>
        <v>0.24029750127138161</v>
      </c>
      <c r="FD19" s="1">
        <f t="shared" si="46"/>
        <v>0.12151229805382092</v>
      </c>
      <c r="FE19" s="1">
        <f t="shared" si="47"/>
        <v>0.78939998615989437</v>
      </c>
      <c r="FF19" s="1">
        <f t="shared" si="48"/>
        <v>0.16075614902691046</v>
      </c>
      <c r="FG19" s="1">
        <f t="shared" si="49"/>
        <v>-0.16075614902691046</v>
      </c>
      <c r="FH19" s="1">
        <f t="shared" si="50"/>
        <v>0.69469999307994712</v>
      </c>
      <c r="FI19" s="1">
        <f t="shared" si="51"/>
        <v>1.7818899321052915</v>
      </c>
      <c r="FJ19" s="1">
        <f t="shared" si="52"/>
        <v>1.083383152841789</v>
      </c>
      <c r="FK19" s="1">
        <f t="shared" si="53"/>
        <v>0.2716709080861594</v>
      </c>
      <c r="FL19" s="1">
        <f t="shared" si="54"/>
        <v>1.3017920672661829</v>
      </c>
      <c r="FM19" s="1">
        <f t="shared" si="55"/>
        <v>0.32193261174473148</v>
      </c>
      <c r="FN19" s="1">
        <f t="shared" si="56"/>
        <v>0.31028546787935252</v>
      </c>
      <c r="FO19" s="1">
        <f t="shared" si="57"/>
        <v>0.31599948877811512</v>
      </c>
    </row>
    <row r="20" spans="1:171" x14ac:dyDescent="0.25">
      <c r="A20" s="11">
        <v>11.535873125323196</v>
      </c>
      <c r="B20" s="3">
        <v>540</v>
      </c>
      <c r="C20" s="12">
        <v>0.18461246669301723</v>
      </c>
      <c r="D20" s="12">
        <v>0.37951268340633953</v>
      </c>
      <c r="E20" s="11">
        <v>11.535873125323196</v>
      </c>
      <c r="F20" s="12">
        <v>0.20174572005565328</v>
      </c>
      <c r="G20" s="12">
        <v>0.50523364660407455</v>
      </c>
      <c r="H20" s="12">
        <f t="shared" si="84"/>
        <v>0.21411396466537747</v>
      </c>
      <c r="I20" s="12">
        <f t="shared" si="85"/>
        <v>0.44015968553222901</v>
      </c>
      <c r="J20" s="12">
        <f t="shared" si="58"/>
        <v>5.9320500874921134E-2</v>
      </c>
      <c r="K20" s="13">
        <f t="shared" si="59"/>
        <v>2.3055130503091516E-2</v>
      </c>
      <c r="L20" s="13">
        <f>SUM(K$3:$K20)</f>
        <v>0.76462982103252253</v>
      </c>
      <c r="M20" s="72">
        <f t="shared" si="86"/>
        <v>0.68920330986458733</v>
      </c>
      <c r="N20" s="12">
        <f t="shared" si="60"/>
        <v>1.30626905590321E-4</v>
      </c>
      <c r="O20" s="21">
        <f t="shared" si="61"/>
        <v>1.2682190157043404E-9</v>
      </c>
      <c r="P20" s="11">
        <f>SUM(O$2:$O20)</f>
        <v>9.9845787471069831E-8</v>
      </c>
      <c r="Q20" s="12">
        <f t="shared" si="62"/>
        <v>1.0212431255701405E-3</v>
      </c>
      <c r="R20" s="3">
        <f t="shared" si="0"/>
        <v>0.32737240083432456</v>
      </c>
      <c r="S20" s="1">
        <f t="shared" si="63"/>
        <v>1.4552751375459909E-3</v>
      </c>
      <c r="T20" s="1">
        <f t="shared" si="64"/>
        <v>0.93826191007046544</v>
      </c>
      <c r="U20" s="1">
        <f t="shared" si="65"/>
        <v>4.1728922876061144E-3</v>
      </c>
      <c r="V20" s="11">
        <f t="shared" si="66"/>
        <v>6.4907249613731279</v>
      </c>
      <c r="W20" s="12">
        <f t="shared" si="67"/>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68"/>
        <v>3.1316057899815228</v>
      </c>
      <c r="AD20" s="1">
        <f t="shared" si="69"/>
        <v>6.8323958463601082</v>
      </c>
      <c r="AE20" s="14">
        <f t="shared" si="70"/>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71"/>
        <v>0.68920330986458733</v>
      </c>
      <c r="AM20" s="14">
        <f t="shared" si="9"/>
        <v>0.32737240083432456</v>
      </c>
      <c r="AN20" s="14">
        <f t="shared" si="10"/>
        <v>1.0658004862681656</v>
      </c>
      <c r="AO20" s="11">
        <f t="shared" si="87"/>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72"/>
        <v>-2.107534522354058</v>
      </c>
      <c r="AW20" s="11">
        <f t="shared" si="73"/>
        <v>0.25252275694678161</v>
      </c>
      <c r="AX20" s="11">
        <f t="shared" si="74"/>
        <v>-2.6847543132541034</v>
      </c>
      <c r="AY20" s="11">
        <f t="shared" si="75"/>
        <v>0.19055355266319829</v>
      </c>
      <c r="AZ20" s="90"/>
      <c r="BA20" s="2"/>
      <c r="BB20" s="12">
        <v>0.20174572005565328</v>
      </c>
      <c r="BC20" s="12">
        <v>0.50523364660407455</v>
      </c>
      <c r="BD20" s="12">
        <f t="shared" si="88"/>
        <v>0.21411396466537747</v>
      </c>
      <c r="BE20" s="12">
        <f t="shared" si="89"/>
        <v>0.44015968553222901</v>
      </c>
      <c r="BF20" s="12">
        <v>0.68920330986458733</v>
      </c>
      <c r="BG20" s="14">
        <f t="shared" si="16"/>
        <v>0.32737240083432456</v>
      </c>
      <c r="BH20" s="14">
        <f t="shared" si="17"/>
        <v>1.0658004862681656</v>
      </c>
      <c r="BI20" s="11">
        <f t="shared" si="90"/>
        <v>6.4907249613731279</v>
      </c>
      <c r="BJ20" s="11">
        <f t="shared" si="18"/>
        <v>11.742851425120705</v>
      </c>
      <c r="BK20" s="12">
        <f t="shared" si="19"/>
        <v>-2.1699732107180347E-2</v>
      </c>
      <c r="BL20" s="11">
        <f t="shared" si="20"/>
        <v>0.20697829979750892</v>
      </c>
      <c r="BM20" s="14">
        <f t="shared" si="76"/>
        <v>3.1316057899815228</v>
      </c>
      <c r="BN20" s="14">
        <f t="shared" si="91"/>
        <v>6.8323958463601082</v>
      </c>
      <c r="BO20" s="14">
        <f t="shared" si="92"/>
        <v>2.728255786197392</v>
      </c>
      <c r="BP20" s="14">
        <f t="shared" si="77"/>
        <v>63.654246470194529</v>
      </c>
      <c r="BQ20" s="15">
        <f t="shared" si="78"/>
        <v>302.99764055957951</v>
      </c>
      <c r="BR20" s="15">
        <f t="shared" si="79"/>
        <v>48.312929993348718</v>
      </c>
      <c r="BS20" s="15">
        <f t="shared" si="80"/>
        <v>160.3478311423446</v>
      </c>
      <c r="BT20" s="18">
        <f t="shared" si="21"/>
        <v>301.85098962865993</v>
      </c>
      <c r="BU20" s="18">
        <f t="shared" si="22"/>
        <v>48.579196763004632</v>
      </c>
      <c r="BV20" s="18">
        <f t="shared" si="23"/>
        <v>158.24325059583194</v>
      </c>
      <c r="BW20" s="11">
        <f t="shared" si="81"/>
        <v>-1.1466509309195771</v>
      </c>
      <c r="BX20" s="11">
        <f t="shared" si="82"/>
        <v>-2.1045805465126648</v>
      </c>
      <c r="BY20" s="11">
        <f t="shared" si="83"/>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c r="ET20" s="1">
        <f t="shared" si="36"/>
        <v>3.1140002964223502E-5</v>
      </c>
      <c r="EU20" s="1">
        <f t="shared" si="37"/>
        <v>0.36090243789700838</v>
      </c>
      <c r="EV20" s="1">
        <f t="shared" si="38"/>
        <v>1.4630602310053676E-3</v>
      </c>
      <c r="EW20" s="1">
        <f t="shared" si="39"/>
        <v>3.3462179141807466E-3</v>
      </c>
      <c r="EX20" s="1">
        <f t="shared" si="40"/>
        <v>3.2197904455858559</v>
      </c>
      <c r="EY20" s="1">
        <f t="shared" si="41"/>
        <v>1.1931353708570136</v>
      </c>
      <c r="EZ20" s="1">
        <f t="shared" si="42"/>
        <v>7.4148161979360194E-2</v>
      </c>
      <c r="FA20" s="1">
        <f t="shared" si="43"/>
        <v>1.8738399335988114</v>
      </c>
      <c r="FB20" s="1">
        <f t="shared" si="44"/>
        <v>0.45584927961554939</v>
      </c>
      <c r="FC20" s="1">
        <f t="shared" si="45"/>
        <v>0.24270072524767641</v>
      </c>
      <c r="FD20" s="1">
        <f t="shared" si="46"/>
        <v>0.12097405804769856</v>
      </c>
      <c r="FE20" s="1">
        <f t="shared" si="47"/>
        <v>0.79098664507303729</v>
      </c>
      <c r="FF20" s="1">
        <f t="shared" si="48"/>
        <v>0.16048702902384929</v>
      </c>
      <c r="FG20" s="1">
        <f t="shared" si="49"/>
        <v>-0.16048702902384929</v>
      </c>
      <c r="FH20" s="1">
        <f t="shared" si="50"/>
        <v>0.69549332253651863</v>
      </c>
      <c r="FI20" s="1">
        <f t="shared" si="51"/>
        <v>1.7943774534879378</v>
      </c>
      <c r="FJ20" s="1">
        <f t="shared" si="52"/>
        <v>1.0923073609827105</v>
      </c>
      <c r="FK20" s="1">
        <f t="shared" si="53"/>
        <v>0.27230160113256807</v>
      </c>
      <c r="FL20" s="1">
        <f t="shared" si="54"/>
        <v>1.3118134887504718</v>
      </c>
      <c r="FM20" s="1">
        <f t="shared" si="55"/>
        <v>0.32320091171076393</v>
      </c>
      <c r="FN20" s="1">
        <f t="shared" si="56"/>
        <v>0.31131833512987411</v>
      </c>
      <c r="FO20" s="1">
        <f t="shared" si="57"/>
        <v>0.31714775014371005</v>
      </c>
    </row>
    <row r="21" spans="1:171" x14ac:dyDescent="0.25">
      <c r="A21" s="11">
        <v>12.052404757800351</v>
      </c>
      <c r="B21" s="3">
        <v>570</v>
      </c>
      <c r="C21" s="12">
        <v>0.18392145983988545</v>
      </c>
      <c r="D21" s="12">
        <v>0.37845132044607521</v>
      </c>
      <c r="E21" s="11">
        <v>12.052404757800351</v>
      </c>
      <c r="F21" s="12">
        <v>0.20094572005565328</v>
      </c>
      <c r="G21" s="12">
        <v>0.50583364660407459</v>
      </c>
      <c r="H21" s="12">
        <f t="shared" si="84"/>
        <v>0.21331253332335973</v>
      </c>
      <c r="I21" s="12">
        <f t="shared" si="85"/>
        <v>0.43892871432296038</v>
      </c>
      <c r="J21" s="12">
        <f t="shared" si="58"/>
        <v>5.8860154511449291E-2</v>
      </c>
      <c r="K21" s="13">
        <f t="shared" si="59"/>
        <v>3.0522023426971037E-2</v>
      </c>
      <c r="L21" s="13">
        <f>SUM(K$3:$K21)</f>
        <v>0.79515184445949361</v>
      </c>
      <c r="M21" s="72">
        <f t="shared" si="86"/>
        <v>0.68862556359445315</v>
      </c>
      <c r="N21" s="12">
        <f t="shared" si="60"/>
        <v>1.2937642711028898E-4</v>
      </c>
      <c r="O21" s="21">
        <f t="shared" si="61"/>
        <v>2.2135021076904881E-9</v>
      </c>
      <c r="P21" s="11">
        <f>SUM(O$2:$O21)</f>
        <v>1.0205928957876032E-7</v>
      </c>
      <c r="Q21" s="12">
        <f t="shared" si="62"/>
        <v>1.0220787760078494E-3</v>
      </c>
      <c r="R21" s="3">
        <f t="shared" si="0"/>
        <v>0.32654980027168945</v>
      </c>
      <c r="S21" s="1">
        <f t="shared" si="63"/>
        <v>1.4540251094883306E-3</v>
      </c>
      <c r="T21" s="1">
        <f t="shared" si="64"/>
        <v>0.93590430517415757</v>
      </c>
      <c r="U21" s="1">
        <f t="shared" si="65"/>
        <v>4.1693096590460004E-3</v>
      </c>
      <c r="V21" s="11">
        <f t="shared" si="66"/>
        <v>6.5070755272001266</v>
      </c>
      <c r="W21" s="12">
        <f t="shared" si="67"/>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68"/>
        <v>3.1377558183070602</v>
      </c>
      <c r="AD21" s="1">
        <f t="shared" si="69"/>
        <v>6.8538465353104669</v>
      </c>
      <c r="AE21" s="14">
        <f t="shared" si="70"/>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71"/>
        <v>0.68862556359445315</v>
      </c>
      <c r="AM21" s="14">
        <f t="shared" si="9"/>
        <v>0.32654980027168945</v>
      </c>
      <c r="AN21" s="14">
        <f t="shared" si="10"/>
        <v>1.0684853082430421</v>
      </c>
      <c r="AO21" s="11">
        <f t="shared" si="87"/>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72"/>
        <v>-2.2248036609962014</v>
      </c>
      <c r="AW21" s="11">
        <f t="shared" si="73"/>
        <v>0.3552713233011886</v>
      </c>
      <c r="AX21" s="11">
        <f t="shared" si="74"/>
        <v>-2.643977759317039</v>
      </c>
      <c r="AY21" s="11">
        <f t="shared" si="75"/>
        <v>0.19305020255520233</v>
      </c>
      <c r="AZ21" s="90"/>
      <c r="BA21" s="2"/>
      <c r="BB21" s="12">
        <v>0.20094572005565328</v>
      </c>
      <c r="BC21" s="12">
        <v>0.50583364660407459</v>
      </c>
      <c r="BD21" s="12">
        <f t="shared" si="88"/>
        <v>0.21331253332335973</v>
      </c>
      <c r="BE21" s="12">
        <f t="shared" si="89"/>
        <v>0.43892871432296038</v>
      </c>
      <c r="BF21" s="12">
        <v>0.68862556359445315</v>
      </c>
      <c r="BG21" s="14">
        <f t="shared" si="16"/>
        <v>0.32654980027168945</v>
      </c>
      <c r="BH21" s="14">
        <f t="shared" si="17"/>
        <v>1.0684853082430421</v>
      </c>
      <c r="BI21" s="11">
        <f t="shared" si="90"/>
        <v>6.5070755272001266</v>
      </c>
      <c r="BJ21" s="11">
        <f t="shared" si="18"/>
        <v>12.263709911284684</v>
      </c>
      <c r="BK21" s="12">
        <f t="shared" si="19"/>
        <v>-2.2575495452773153E-2</v>
      </c>
      <c r="BL21" s="11">
        <f t="shared" si="20"/>
        <v>0.21130515348433221</v>
      </c>
      <c r="BM21" s="14">
        <f t="shared" si="76"/>
        <v>3.1377558183070602</v>
      </c>
      <c r="BN21" s="14">
        <f t="shared" si="91"/>
        <v>6.8538465353104669</v>
      </c>
      <c r="BO21" s="14">
        <f t="shared" si="92"/>
        <v>2.7227353032664241</v>
      </c>
      <c r="BP21" s="14">
        <f t="shared" si="77"/>
        <v>64.065487424529096</v>
      </c>
      <c r="BQ21" s="15">
        <f t="shared" si="78"/>
        <v>305.67125453488711</v>
      </c>
      <c r="BR21" s="15">
        <f t="shared" si="79"/>
        <v>48.238821873319068</v>
      </c>
      <c r="BS21" s="15">
        <f t="shared" si="80"/>
        <v>161.71361413461889</v>
      </c>
      <c r="BT21" s="18">
        <f t="shared" si="21"/>
        <v>304.46343943479957</v>
      </c>
      <c r="BU21" s="18">
        <f t="shared" si="22"/>
        <v>48.608428873688872</v>
      </c>
      <c r="BV21" s="18">
        <f t="shared" si="23"/>
        <v>159.68305435123645</v>
      </c>
      <c r="BW21" s="11">
        <f t="shared" si="81"/>
        <v>-1.2078151000875437</v>
      </c>
      <c r="BX21" s="11">
        <f t="shared" si="82"/>
        <v>-2.0305597833824436</v>
      </c>
      <c r="BY21" s="11">
        <f t="shared" si="83"/>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c r="ET21" s="1">
        <f t="shared" si="36"/>
        <v>3.1147289515085251E-5</v>
      </c>
      <c r="EU21" s="1">
        <f t="shared" si="37"/>
        <v>0.37023004538629889</v>
      </c>
      <c r="EV21" s="1">
        <f t="shared" si="38"/>
        <v>1.455117084630814E-3</v>
      </c>
      <c r="EW21" s="1">
        <f t="shared" si="39"/>
        <v>3.408633172578742E-3</v>
      </c>
      <c r="EX21" s="1">
        <f t="shared" si="40"/>
        <v>3.2804744201506035</v>
      </c>
      <c r="EY21" s="1">
        <f t="shared" si="41"/>
        <v>1.2169047551793351</v>
      </c>
      <c r="EZ21" s="1">
        <f t="shared" si="42"/>
        <v>7.3934359427635016E-2</v>
      </c>
      <c r="FA21" s="1">
        <f t="shared" si="43"/>
        <v>1.9098780458964879</v>
      </c>
      <c r="FB21" s="1">
        <f t="shared" si="44"/>
        <v>0.45927367365864413</v>
      </c>
      <c r="FC21" s="1">
        <f t="shared" si="45"/>
        <v>0.2444312050953735</v>
      </c>
      <c r="FD21" s="1">
        <f t="shared" si="46"/>
        <v>0.11920710048199508</v>
      </c>
      <c r="FE21" s="1">
        <f t="shared" si="47"/>
        <v>0.79623165962593423</v>
      </c>
      <c r="FF21" s="1">
        <f t="shared" si="48"/>
        <v>0.15960355024099754</v>
      </c>
      <c r="FG21" s="1">
        <f t="shared" si="49"/>
        <v>-0.15960355024099754</v>
      </c>
      <c r="FH21" s="1">
        <f t="shared" si="50"/>
        <v>0.69811582981296705</v>
      </c>
      <c r="FI21" s="1">
        <f t="shared" si="51"/>
        <v>1.8112080002447548</v>
      </c>
      <c r="FJ21" s="1">
        <f t="shared" si="52"/>
        <v>1.1031340603840201</v>
      </c>
      <c r="FK21" s="1">
        <f t="shared" si="53"/>
        <v>0.27190873363618723</v>
      </c>
      <c r="FL21" s="1">
        <f t="shared" si="54"/>
        <v>1.3244540017369797</v>
      </c>
      <c r="FM21" s="1">
        <f t="shared" si="55"/>
        <v>0.32447416721614691</v>
      </c>
      <c r="FN21" s="1">
        <f t="shared" si="56"/>
        <v>0.31190814366481184</v>
      </c>
      <c r="FO21" s="1">
        <f t="shared" si="57"/>
        <v>0.31807328917134514</v>
      </c>
    </row>
    <row r="22" spans="1:171" x14ac:dyDescent="0.25">
      <c r="A22" s="11">
        <v>12.31067057403893</v>
      </c>
      <c r="B22" s="3">
        <v>600</v>
      </c>
      <c r="C22" s="12">
        <v>0.18354359518627872</v>
      </c>
      <c r="D22" s="12">
        <v>0.3779100638847388</v>
      </c>
      <c r="E22" s="11">
        <v>12.31067057403893</v>
      </c>
      <c r="F22" s="12">
        <v>0.20034572005565329</v>
      </c>
      <c r="G22" s="12">
        <v>0.50703364660407457</v>
      </c>
      <c r="H22" s="12">
        <f t="shared" si="84"/>
        <v>0.21287428502659014</v>
      </c>
      <c r="I22" s="12">
        <f t="shared" si="85"/>
        <v>0.43830096371475474</v>
      </c>
      <c r="J22" s="12">
        <f t="shared" si="58"/>
        <v>5.8493542117970768E-2</v>
      </c>
      <c r="K22" s="13">
        <f t="shared" si="59"/>
        <v>1.5154224124305856E-2</v>
      </c>
      <c r="L22" s="13">
        <f>SUM(K$3:$K22)</f>
        <v>0.8103060685837995</v>
      </c>
      <c r="M22" s="72">
        <f t="shared" si="86"/>
        <v>0.68833907152648766</v>
      </c>
      <c r="N22" s="12">
        <f t="shared" si="60"/>
        <v>1.2824611447049164E-4</v>
      </c>
      <c r="O22" s="21">
        <f t="shared" si="61"/>
        <v>5.4536668453315195E-10</v>
      </c>
      <c r="P22" s="11">
        <f>SUM(O$2:$O22)</f>
        <v>1.0260465626329348E-7</v>
      </c>
      <c r="Q22" s="12">
        <f t="shared" si="62"/>
        <v>1.0224932497090015E-3</v>
      </c>
      <c r="R22" s="3">
        <f t="shared" si="0"/>
        <v>0.32614240175393233</v>
      </c>
      <c r="S22" s="1">
        <f t="shared" si="63"/>
        <v>1.453404657813811E-3</v>
      </c>
      <c r="T22" s="1">
        <f t="shared" si="64"/>
        <v>0.93473668533065069</v>
      </c>
      <c r="U22" s="1">
        <f t="shared" si="65"/>
        <v>4.1675314206491235E-3</v>
      </c>
      <c r="V22" s="11">
        <f t="shared" si="66"/>
        <v>6.515203795436511</v>
      </c>
      <c r="W22" s="12">
        <f t="shared" si="67"/>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68"/>
        <v>3.1409425418213641</v>
      </c>
      <c r="AD22" s="1">
        <f t="shared" si="69"/>
        <v>6.8715126166436349</v>
      </c>
      <c r="AE22" s="14">
        <f t="shared" si="70"/>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71"/>
        <v>0.68833907152648766</v>
      </c>
      <c r="AM22" s="14">
        <f t="shared" si="9"/>
        <v>0.32614240175393233</v>
      </c>
      <c r="AN22" s="14">
        <f t="shared" si="10"/>
        <v>1.0698199992506587</v>
      </c>
      <c r="AO22" s="11">
        <f t="shared" si="87"/>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72"/>
        <v>-2.91234004054877</v>
      </c>
      <c r="AW22" s="11">
        <f t="shared" si="73"/>
        <v>0.57618390812598363</v>
      </c>
      <c r="AX22" s="11">
        <f t="shared" si="74"/>
        <v>-3.0647145367051678</v>
      </c>
      <c r="AY22" s="11">
        <f t="shared" si="75"/>
        <v>0.19399610573942994</v>
      </c>
      <c r="AZ22" s="90"/>
      <c r="BA22" s="2"/>
      <c r="BB22" s="12">
        <v>0.20034572005565329</v>
      </c>
      <c r="BC22" s="12">
        <v>0.50703364660407457</v>
      </c>
      <c r="BD22" s="12">
        <f t="shared" si="88"/>
        <v>0.21287428502659014</v>
      </c>
      <c r="BE22" s="12">
        <f t="shared" si="89"/>
        <v>0.43830096371475474</v>
      </c>
      <c r="BF22" s="12">
        <v>0.68833907152648766</v>
      </c>
      <c r="BG22" s="14">
        <f t="shared" si="16"/>
        <v>0.32614240175393233</v>
      </c>
      <c r="BH22" s="14">
        <f t="shared" si="17"/>
        <v>1.0698199992506587</v>
      </c>
      <c r="BI22" s="11">
        <f t="shared" si="90"/>
        <v>6.515203795436511</v>
      </c>
      <c r="BJ22" s="11">
        <f t="shared" si="18"/>
        <v>12.523868123775811</v>
      </c>
      <c r="BK22" s="12">
        <f t="shared" si="19"/>
        <v>-2.3010585938375572E-2</v>
      </c>
      <c r="BL22" s="11">
        <f t="shared" si="20"/>
        <v>0.21319754973688099</v>
      </c>
      <c r="BM22" s="14">
        <f t="shared" si="76"/>
        <v>3.1409425418213641</v>
      </c>
      <c r="BN22" s="14">
        <f t="shared" si="91"/>
        <v>6.8715126166436349</v>
      </c>
      <c r="BO22" s="14">
        <f t="shared" si="92"/>
        <v>2.7151613157695955</v>
      </c>
      <c r="BP22" s="14">
        <f t="shared" si="77"/>
        <v>64.275873680381693</v>
      </c>
      <c r="BQ22" s="15">
        <f t="shared" si="78"/>
        <v>307.63284469796878</v>
      </c>
      <c r="BR22" s="15">
        <f t="shared" si="79"/>
        <v>48.030740224331019</v>
      </c>
      <c r="BS22" s="15">
        <f t="shared" si="80"/>
        <v>162.8359638811547</v>
      </c>
      <c r="BT22" s="18">
        <f t="shared" si="21"/>
        <v>305.76568450057647</v>
      </c>
      <c r="BU22" s="18">
        <f t="shared" si="22"/>
        <v>48.621585616681443</v>
      </c>
      <c r="BV22" s="18">
        <f t="shared" si="23"/>
        <v>160.40134854600035</v>
      </c>
      <c r="BW22" s="11">
        <f t="shared" si="81"/>
        <v>-1.8671601973923089</v>
      </c>
      <c r="BX22" s="11">
        <f t="shared" si="82"/>
        <v>-2.4346153351543478</v>
      </c>
      <c r="BY22" s="11">
        <f t="shared" si="83"/>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c r="ET22" s="1">
        <f t="shared" si="36"/>
        <v>3.1150912180372576E-5</v>
      </c>
      <c r="EU22" s="1">
        <f t="shared" si="37"/>
        <v>0.37724652441884443</v>
      </c>
      <c r="EV22" s="1">
        <f t="shared" si="38"/>
        <v>1.4357703562132072E-3</v>
      </c>
      <c r="EW22" s="1">
        <f t="shared" si="39"/>
        <v>3.440892531950956E-3</v>
      </c>
      <c r="EX22" s="1">
        <f t="shared" si="40"/>
        <v>3.3253055276314138</v>
      </c>
      <c r="EY22" s="1">
        <f t="shared" si="41"/>
        <v>1.2356339323241396</v>
      </c>
      <c r="EZ22" s="1">
        <f t="shared" si="42"/>
        <v>7.3299429714940842E-2</v>
      </c>
      <c r="FA22" s="1">
        <f t="shared" si="43"/>
        <v>1.9377106869433098</v>
      </c>
      <c r="FB22" s="1">
        <f t="shared" si="44"/>
        <v>0.46028068390526472</v>
      </c>
      <c r="FC22" s="1">
        <f t="shared" si="45"/>
        <v>0.24507116271224191</v>
      </c>
      <c r="FD22" s="1">
        <f t="shared" si="46"/>
        <v>0.11754591607734435</v>
      </c>
      <c r="FE22" s="1">
        <f t="shared" si="47"/>
        <v>0.8012142441816007</v>
      </c>
      <c r="FF22" s="1">
        <f t="shared" si="48"/>
        <v>0.1587729580386722</v>
      </c>
      <c r="FG22" s="1">
        <f t="shared" si="49"/>
        <v>-0.1587729580386722</v>
      </c>
      <c r="FH22" s="1">
        <f t="shared" si="50"/>
        <v>0.70060712209080034</v>
      </c>
      <c r="FI22" s="1">
        <f t="shared" si="51"/>
        <v>1.8235420279311947</v>
      </c>
      <c r="FJ22" s="1">
        <f t="shared" si="52"/>
        <v>1.1115907215896235</v>
      </c>
      <c r="FK22" s="1">
        <f t="shared" si="53"/>
        <v>0.27073867421360553</v>
      </c>
      <c r="FL22" s="1">
        <f t="shared" si="54"/>
        <v>1.3341116063883616</v>
      </c>
      <c r="FM22" s="1">
        <f t="shared" si="55"/>
        <v>0.32474421199839965</v>
      </c>
      <c r="FN22" s="1">
        <f t="shared" si="56"/>
        <v>0.31154873610627853</v>
      </c>
      <c r="FO22" s="1">
        <f t="shared" si="57"/>
        <v>0.31802342260487876</v>
      </c>
    </row>
    <row r="23" spans="1:171" x14ac:dyDescent="0.25">
      <c r="A23" s="11">
        <v>12.482847784864649</v>
      </c>
      <c r="B23" s="3">
        <v>630</v>
      </c>
      <c r="C23" s="12">
        <v>0.18327562531204289</v>
      </c>
      <c r="D23" s="12">
        <v>0.37755099650116486</v>
      </c>
      <c r="E23" s="11">
        <v>12.482847784864649</v>
      </c>
      <c r="F23" s="12">
        <v>0.19974572005565328</v>
      </c>
      <c r="G23" s="12">
        <v>0.50683364660407459</v>
      </c>
      <c r="H23" s="12">
        <f t="shared" si="84"/>
        <v>0.21256349294839896</v>
      </c>
      <c r="I23" s="12">
        <f t="shared" si="85"/>
        <v>0.43788451653512361</v>
      </c>
      <c r="J23" s="12">
        <f t="shared" si="58"/>
        <v>5.8044917428681807E-2</v>
      </c>
      <c r="K23" s="13">
        <f t="shared" si="59"/>
        <v>1.0032633459334271E-2</v>
      </c>
      <c r="L23" s="13">
        <f>SUM(K$3:$K23)</f>
        <v>0.82033870204313375</v>
      </c>
      <c r="M23" s="73">
        <f t="shared" si="86"/>
        <v>0.68814953473623941</v>
      </c>
      <c r="N23" s="12">
        <f t="shared" si="60"/>
        <v>1.2750677771652236E-4</v>
      </c>
      <c r="O23" s="21">
        <f t="shared" si="61"/>
        <v>1.2049190933788425E-10</v>
      </c>
      <c r="P23" s="11">
        <f>SUM(O$2:$O23)</f>
        <v>1.0272514817263136E-7</v>
      </c>
      <c r="Q23" s="12">
        <f t="shared" si="62"/>
        <v>1.0227674880967745E-3</v>
      </c>
      <c r="R23" s="3">
        <f t="shared" si="0"/>
        <v>0.32587306226627066</v>
      </c>
      <c r="S23" s="1">
        <f t="shared" si="63"/>
        <v>1.4529939635586251E-3</v>
      </c>
      <c r="T23" s="1">
        <f t="shared" si="64"/>
        <v>0.93396474798496487</v>
      </c>
      <c r="U23" s="12">
        <f t="shared" si="65"/>
        <v>4.1663543550952064E-3</v>
      </c>
      <c r="V23" s="11">
        <f t="shared" si="66"/>
        <v>6.5205887193699921</v>
      </c>
      <c r="W23" s="12">
        <f t="shared" si="67"/>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68"/>
        <v>3.1430640214520649</v>
      </c>
      <c r="AD23" s="1">
        <f t="shared" si="69"/>
        <v>6.8902556164358044</v>
      </c>
      <c r="AE23" s="14">
        <f t="shared" si="70"/>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71"/>
        <v>0.68814953473623941</v>
      </c>
      <c r="AM23" s="14">
        <f t="shared" si="9"/>
        <v>0.32587306226627066</v>
      </c>
      <c r="AN23" s="14">
        <f t="shared" si="10"/>
        <v>1.0707042232134636</v>
      </c>
      <c r="AO23" s="11">
        <f t="shared" si="87"/>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72"/>
        <v>-4.0032707819449342</v>
      </c>
      <c r="AW23" s="11">
        <f t="shared" si="73"/>
        <v>0.53301370317297625</v>
      </c>
      <c r="AX23" s="11">
        <f t="shared" si="74"/>
        <v>-4.1661868546400456</v>
      </c>
      <c r="AY23" s="11">
        <f t="shared" si="75"/>
        <v>0.19398030889029272</v>
      </c>
      <c r="AZ23" s="90"/>
      <c r="BA23" s="2"/>
      <c r="BB23" s="12">
        <v>0.19974572005565328</v>
      </c>
      <c r="BC23" s="12">
        <v>0.50683364660407459</v>
      </c>
      <c r="BD23" s="12">
        <f t="shared" si="88"/>
        <v>0.21256349294839896</v>
      </c>
      <c r="BE23" s="12">
        <f t="shared" si="89"/>
        <v>0.43788451653512361</v>
      </c>
      <c r="BF23" s="12">
        <v>0.68814953473623941</v>
      </c>
      <c r="BG23" s="14">
        <f t="shared" si="16"/>
        <v>0.32587306226627066</v>
      </c>
      <c r="BH23" s="14">
        <f t="shared" si="17"/>
        <v>1.0707042232134636</v>
      </c>
      <c r="BI23" s="11">
        <f t="shared" si="90"/>
        <v>6.5205887193699921</v>
      </c>
      <c r="BJ23" s="11">
        <f t="shared" si="18"/>
        <v>12.696670060881825</v>
      </c>
      <c r="BK23" s="12">
        <f t="shared" si="19"/>
        <v>-2.3298730867365225E-2</v>
      </c>
      <c r="BL23" s="11">
        <f t="shared" si="20"/>
        <v>0.21382227601717574</v>
      </c>
      <c r="BM23" s="14">
        <f t="shared" si="76"/>
        <v>3.1430640214520649</v>
      </c>
      <c r="BN23" s="14">
        <f t="shared" si="91"/>
        <v>6.8902556164358044</v>
      </c>
      <c r="BO23" s="14">
        <f t="shared" si="92"/>
        <v>2.715484811819544</v>
      </c>
      <c r="BP23" s="14">
        <f t="shared" si="77"/>
        <v>64.415927279208432</v>
      </c>
      <c r="BQ23" s="15">
        <f t="shared" si="78"/>
        <v>309.56900825660449</v>
      </c>
      <c r="BR23" s="15">
        <f t="shared" si="79"/>
        <v>48.081893749108289</v>
      </c>
      <c r="BS23" s="15">
        <f t="shared" si="80"/>
        <v>164.4031201680875</v>
      </c>
      <c r="BT23" s="18">
        <f t="shared" si="21"/>
        <v>306.62970401227426</v>
      </c>
      <c r="BU23" s="18">
        <f t="shared" si="22"/>
        <v>48.62979643418322</v>
      </c>
      <c r="BV23" s="18">
        <f t="shared" si="23"/>
        <v>160.87814048077533</v>
      </c>
      <c r="BW23" s="11">
        <f t="shared" si="81"/>
        <v>-2.9393042443302306</v>
      </c>
      <c r="BX23" s="11">
        <f t="shared" si="82"/>
        <v>-3.5249796873121682</v>
      </c>
      <c r="BY23" s="11">
        <f t="shared" si="83"/>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c r="ET23" s="1">
        <f t="shared" si="36"/>
        <v>3.1153312287923763E-5</v>
      </c>
      <c r="EU23" s="1">
        <f t="shared" si="37"/>
        <v>0.38430848166698084</v>
      </c>
      <c r="EV23" s="1">
        <f t="shared" si="38"/>
        <v>1.4399659910333761E-3</v>
      </c>
      <c r="EW23" s="1">
        <f t="shared" si="39"/>
        <v>3.4624804553470352E-3</v>
      </c>
      <c r="EX23" s="1">
        <f t="shared" si="40"/>
        <v>3.369822950752356</v>
      </c>
      <c r="EY23" s="1">
        <f t="shared" si="41"/>
        <v>1.2589345189916539</v>
      </c>
      <c r="EZ23" s="1">
        <f t="shared" si="42"/>
        <v>7.3462327542660577E-2</v>
      </c>
      <c r="FA23" s="1">
        <f t="shared" si="43"/>
        <v>1.9698286110520102</v>
      </c>
      <c r="FB23" s="1">
        <f t="shared" si="44"/>
        <v>0.46370659097114547</v>
      </c>
      <c r="FC23" s="1">
        <f t="shared" si="45"/>
        <v>0.24770108504650326</v>
      </c>
      <c r="FD23" s="1">
        <f t="shared" si="46"/>
        <v>0.11730474582867327</v>
      </c>
      <c r="FE23" s="1">
        <f t="shared" si="47"/>
        <v>0.80194183155540688</v>
      </c>
      <c r="FF23" s="1">
        <f t="shared" si="48"/>
        <v>0.15865237291433665</v>
      </c>
      <c r="FG23" s="1">
        <f t="shared" si="49"/>
        <v>-0.15865237291433665</v>
      </c>
      <c r="FH23" s="1">
        <f t="shared" si="50"/>
        <v>0.70097091577770343</v>
      </c>
      <c r="FI23" s="1">
        <f t="shared" si="51"/>
        <v>1.8357077519998537</v>
      </c>
      <c r="FJ23" s="1">
        <f t="shared" si="52"/>
        <v>1.1220225126937757</v>
      </c>
      <c r="FK23" s="1">
        <f t="shared" si="53"/>
        <v>0.27103934685329467</v>
      </c>
      <c r="FL23" s="1">
        <f t="shared" si="54"/>
        <v>1.3451507751478193</v>
      </c>
      <c r="FM23" s="1">
        <f t="shared" si="55"/>
        <v>0.32534868870624256</v>
      </c>
      <c r="FN23" s="1">
        <f t="shared" si="56"/>
        <v>0.31203632160557621</v>
      </c>
      <c r="FO23" s="1">
        <f t="shared" si="57"/>
        <v>0.31856830067774722</v>
      </c>
    </row>
    <row r="24" spans="1:171" x14ac:dyDescent="0.25">
      <c r="AY24" s="11"/>
      <c r="AZ24" s="7"/>
      <c r="BA24" s="2"/>
    </row>
    <row r="25" spans="1:171" x14ac:dyDescent="0.25">
      <c r="E25" s="1">
        <f>0.2/E5*100</f>
        <v>8.0109925013465677</v>
      </c>
      <c r="F25" s="1">
        <f>0.0002/F23*100</f>
        <v>0.10012730182367656</v>
      </c>
      <c r="M25" s="1">
        <f>0.001/0.704*100</f>
        <v>0.14204545454545456</v>
      </c>
      <c r="V25" s="1">
        <f>0.04/6.09*100</f>
        <v>0.65681444991789828</v>
      </c>
      <c r="AZ25" s="90"/>
      <c r="BA25" s="2"/>
    </row>
    <row r="26" spans="1:171" x14ac:dyDescent="0.25">
      <c r="AG26" s="1" t="s">
        <v>65</v>
      </c>
      <c r="AX26" s="162" t="s">
        <v>197</v>
      </c>
      <c r="AY26" s="162"/>
      <c r="AZ26" s="90"/>
      <c r="BA26" s="2"/>
      <c r="BB26" s="163" t="s">
        <v>198</v>
      </c>
      <c r="BC26" s="163"/>
    </row>
    <row r="27" spans="1:171" ht="15.6" x14ac:dyDescent="0.3">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6" x14ac:dyDescent="0.3">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6" x14ac:dyDescent="0.3">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6" x14ac:dyDescent="0.3">
      <c r="A30" s="1" t="s">
        <v>83</v>
      </c>
      <c r="B30" s="1">
        <f>0.000046</f>
        <v>4.6E-5</v>
      </c>
      <c r="F30" s="1" t="s">
        <v>84</v>
      </c>
      <c r="G30" s="1" t="s">
        <v>85</v>
      </c>
      <c r="H30" s="1" t="s">
        <v>86</v>
      </c>
      <c r="J30" s="21">
        <f t="shared" ref="J30:J50" si="95">12*$B$31*$B$38^2+$K$29*L3</f>
        <v>36.229587085533922</v>
      </c>
      <c r="M30" s="1">
        <f t="shared" ref="M30:M50" si="96">36*$B$40*($B$38^2)*(4*$B$40*$B$38^2 + $K$29*L3)/J30^2</f>
        <v>1.0002750326258736</v>
      </c>
      <c r="N30" s="14">
        <f t="shared" ref="N30:N50" si="97">(12*$K$29*L3*$D$38^3)/(J30^2)</f>
        <v>3.1802344813420097E-5</v>
      </c>
      <c r="O30" s="14">
        <f t="shared" si="94"/>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6" x14ac:dyDescent="0.3">
      <c r="A31" s="1" t="s">
        <v>89</v>
      </c>
      <c r="B31" s="1">
        <v>6.09</v>
      </c>
      <c r="E31" s="1" t="s">
        <v>62</v>
      </c>
      <c r="F31" s="1">
        <v>231</v>
      </c>
      <c r="G31" s="1">
        <v>6.1588176205143972</v>
      </c>
      <c r="H31" s="1">
        <v>0.23121321132432957</v>
      </c>
      <c r="J31" s="21">
        <f t="shared" si="95"/>
        <v>36.340206556154271</v>
      </c>
      <c r="M31" s="1">
        <f t="shared" si="96"/>
        <v>1.0032963203653738</v>
      </c>
      <c r="N31" s="14">
        <f t="shared" si="97"/>
        <v>3.8232537993356999E-4</v>
      </c>
      <c r="O31" s="14">
        <f t="shared" si="94"/>
        <v>-1.9635934873262418E-2</v>
      </c>
      <c r="AX31" s="46" t="s">
        <v>67</v>
      </c>
      <c r="AY31" s="14">
        <v>2.8396451939774803</v>
      </c>
      <c r="AZ31" s="90"/>
      <c r="BA31" s="2"/>
      <c r="BB31" s="46" t="s">
        <v>67</v>
      </c>
      <c r="BC31" s="14">
        <v>2.895538799357146</v>
      </c>
      <c r="BD31" s="49"/>
      <c r="CM31" s="21"/>
      <c r="CQ31" s="14"/>
      <c r="CR31" s="14"/>
    </row>
    <row r="32" spans="1:171" ht="15.6" x14ac:dyDescent="0.3">
      <c r="A32" s="1" t="s">
        <v>90</v>
      </c>
      <c r="B32" s="1">
        <v>1.23</v>
      </c>
      <c r="E32" s="1" t="s">
        <v>91</v>
      </c>
      <c r="F32" s="1">
        <v>120</v>
      </c>
      <c r="G32" s="1">
        <v>5.9398554585183101</v>
      </c>
      <c r="H32" s="1">
        <v>0.23973647337795911</v>
      </c>
      <c r="J32" s="21">
        <f t="shared" si="95"/>
        <v>36.402202300409783</v>
      </c>
      <c r="M32" s="1">
        <f t="shared" si="96"/>
        <v>1.0049654526537271</v>
      </c>
      <c r="N32" s="14">
        <f t="shared" si="97"/>
        <v>5.769113060199733E-4</v>
      </c>
      <c r="O32" s="14">
        <f t="shared" si="94"/>
        <v>-1.9569108818557487E-2</v>
      </c>
      <c r="AR32" s="49"/>
      <c r="AX32" s="46" t="s">
        <v>72</v>
      </c>
      <c r="AY32" s="14">
        <v>0.25793038245602273</v>
      </c>
      <c r="AZ32" s="90"/>
      <c r="BA32" s="2"/>
      <c r="BB32" s="46" t="s">
        <v>72</v>
      </c>
      <c r="BC32" s="14">
        <v>0.25523221724324363</v>
      </c>
      <c r="BD32" s="49"/>
      <c r="CM32" s="21"/>
      <c r="CQ32" s="14"/>
      <c r="CR32" s="14"/>
    </row>
    <row r="33" spans="1:202" ht="15.6" x14ac:dyDescent="0.3">
      <c r="A33" s="1" t="s">
        <v>93</v>
      </c>
      <c r="B33" s="1">
        <v>300</v>
      </c>
      <c r="E33" s="1" t="s">
        <v>94</v>
      </c>
      <c r="F33" s="1">
        <v>120</v>
      </c>
      <c r="G33" s="1">
        <v>2.9070625361253621</v>
      </c>
      <c r="H33" s="1">
        <v>0.48984154358714227</v>
      </c>
      <c r="J33" s="21">
        <f t="shared" si="95"/>
        <v>36.469089143397895</v>
      </c>
      <c r="M33" s="1">
        <f t="shared" si="96"/>
        <v>1.006747050047017</v>
      </c>
      <c r="N33" s="14">
        <f t="shared" si="97"/>
        <v>7.8536394862930789E-4</v>
      </c>
      <c r="O33" s="14">
        <f t="shared" si="94"/>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202" ht="15.6" x14ac:dyDescent="0.3">
      <c r="A34" s="1" t="s">
        <v>95</v>
      </c>
      <c r="B34" s="1">
        <f>C34/C35</f>
        <v>3.5853802171808245E-2</v>
      </c>
      <c r="C34" s="1">
        <f>1+B30*B32*B33</f>
        <v>1.016974</v>
      </c>
      <c r="E34" s="1" t="s">
        <v>71</v>
      </c>
      <c r="F34" s="1">
        <v>43.4</v>
      </c>
      <c r="G34" s="1">
        <v>2.6695386832951487</v>
      </c>
      <c r="H34" s="1">
        <v>0.53342549741301504</v>
      </c>
      <c r="J34" s="21">
        <f t="shared" si="95"/>
        <v>36.537808298309656</v>
      </c>
      <c r="M34" s="1">
        <f t="shared" si="96"/>
        <v>1.0085568640682758</v>
      </c>
      <c r="N34" s="14">
        <f t="shared" si="97"/>
        <v>9.9793476927055179E-4</v>
      </c>
      <c r="O34" s="14">
        <f t="shared" si="94"/>
        <v>-1.9424121244408933E-2</v>
      </c>
      <c r="AX34" s="49" t="s">
        <v>88</v>
      </c>
      <c r="AY34" s="11">
        <f>(AY30+2*AY31)/3</f>
        <v>3.6624585112977752</v>
      </c>
      <c r="AZ34" s="90"/>
      <c r="BA34" s="2"/>
      <c r="BB34" s="49" t="s">
        <v>88</v>
      </c>
      <c r="BC34" s="11">
        <f>(BC30+2*BC31)/3</f>
        <v>3.7295657352419762</v>
      </c>
      <c r="BN34" s="47"/>
      <c r="CM34" s="21"/>
      <c r="CQ34" s="14"/>
      <c r="CR34" s="14"/>
    </row>
    <row r="35" spans="1:202" ht="15.6" x14ac:dyDescent="0.3">
      <c r="C35" s="1">
        <f>12*B31*(B29^2)</f>
        <v>28.364467319999999</v>
      </c>
      <c r="J35" s="21">
        <f t="shared" si="95"/>
        <v>36.584965950939704</v>
      </c>
      <c r="M35" s="1">
        <f t="shared" si="96"/>
        <v>1.0097868535411938</v>
      </c>
      <c r="N35" s="14">
        <f t="shared" si="97"/>
        <v>1.142882137239187E-3</v>
      </c>
      <c r="O35" s="14">
        <f t="shared" si="94"/>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202" ht="15.6" x14ac:dyDescent="0.3">
      <c r="B36" s="5" t="s">
        <v>96</v>
      </c>
      <c r="J36" s="21">
        <f t="shared" si="95"/>
        <v>36.628532363253413</v>
      </c>
      <c r="M36" s="1">
        <f t="shared" si="96"/>
        <v>1.0109145775750035</v>
      </c>
      <c r="N36" s="14">
        <f t="shared" si="97"/>
        <v>1.2761252985603359E-3</v>
      </c>
      <c r="O36" s="14">
        <f t="shared" si="94"/>
        <v>-1.9328018413579829E-2</v>
      </c>
      <c r="AX36" s="96" t="s">
        <v>92</v>
      </c>
      <c r="AY36" s="51">
        <f>SUMSQ(AY6:AY16)</f>
        <v>0.1757280044411644</v>
      </c>
      <c r="AZ36" s="90"/>
      <c r="BA36" s="2"/>
      <c r="BB36" s="96" t="s">
        <v>92</v>
      </c>
      <c r="BC36" s="51">
        <f>SUMSQ(BL6:BL16)</f>
        <v>0.11236025552527494</v>
      </c>
      <c r="CM36" s="21"/>
      <c r="CQ36" s="14"/>
      <c r="CR36" s="14"/>
    </row>
    <row r="37" spans="1:202" ht="15.6" x14ac:dyDescent="0.3">
      <c r="A37" s="1" t="s">
        <v>74</v>
      </c>
      <c r="B37" s="13">
        <v>2.34</v>
      </c>
      <c r="C37" s="13">
        <f>B37/2</f>
        <v>1.17</v>
      </c>
      <c r="J37" s="21">
        <f t="shared" si="95"/>
        <v>36.683065314167855</v>
      </c>
      <c r="M37" s="1">
        <f t="shared" si="96"/>
        <v>1.0123146136303767</v>
      </c>
      <c r="N37" s="14">
        <f t="shared" si="97"/>
        <v>1.4420125152595218E-3</v>
      </c>
      <c r="O37" s="14">
        <f t="shared" si="94"/>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202" ht="15.6" x14ac:dyDescent="0.3">
      <c r="A38" s="1" t="s">
        <v>80</v>
      </c>
      <c r="B38" s="1">
        <v>0.70399999999999996</v>
      </c>
      <c r="C38" s="1" t="s">
        <v>97</v>
      </c>
      <c r="D38" s="1">
        <v>0.70399999999999996</v>
      </c>
      <c r="J38" s="21">
        <f t="shared" si="95"/>
        <v>36.728448365296558</v>
      </c>
      <c r="M38" s="1">
        <f t="shared" si="96"/>
        <v>1.0134700089348865</v>
      </c>
      <c r="N38" s="14">
        <f t="shared" si="97"/>
        <v>1.5793111288984413E-3</v>
      </c>
      <c r="O38" s="14">
        <f t="shared" si="94"/>
        <v>-1.9223001641775563E-2</v>
      </c>
      <c r="AX38" s="96" t="s">
        <v>66</v>
      </c>
      <c r="AY38" s="12">
        <f>SUMSQ(AX6:AX16)</f>
        <v>2.2741466444052163</v>
      </c>
      <c r="AZ38" s="90"/>
      <c r="BA38" s="2"/>
      <c r="BB38" s="96" t="s">
        <v>66</v>
      </c>
      <c r="BC38" s="12">
        <f>SUMSQ(BY6:BY16)</f>
        <v>4.5972752561432011E-2</v>
      </c>
      <c r="CM38" s="21"/>
      <c r="CQ38" s="14"/>
      <c r="CR38" s="14"/>
    </row>
    <row r="39" spans="1:202" ht="15.6" x14ac:dyDescent="0.3">
      <c r="A39" s="1" t="s">
        <v>83</v>
      </c>
      <c r="B39" s="1">
        <f>0.000046</f>
        <v>4.6E-5</v>
      </c>
      <c r="C39" s="1" t="s">
        <v>98</v>
      </c>
      <c r="J39" s="21">
        <f t="shared" si="95"/>
        <v>36.7648165106759</v>
      </c>
      <c r="M39" s="1">
        <f t="shared" si="96"/>
        <v>1.0143895537582135</v>
      </c>
      <c r="N39" s="14">
        <f t="shared" si="97"/>
        <v>1.6888444548117979E-3</v>
      </c>
      <c r="O39" s="14">
        <f t="shared" si="94"/>
        <v>-1.9184989259086672E-2</v>
      </c>
      <c r="AX39" s="96" t="s">
        <v>71</v>
      </c>
      <c r="AY39" s="12">
        <f>SUMSQ(AW6:AW16)</f>
        <v>5.1982257332555168E-2</v>
      </c>
      <c r="AZ39" s="90"/>
      <c r="BA39" s="2"/>
      <c r="BB39" s="96" t="s">
        <v>71</v>
      </c>
      <c r="BC39" s="12">
        <f>SUMSQ(BX6:BX16)</f>
        <v>0.79167521359416559</v>
      </c>
      <c r="CM39" s="21"/>
      <c r="CQ39" s="14"/>
      <c r="CR39" s="14"/>
    </row>
    <row r="40" spans="1:202" ht="15.6" x14ac:dyDescent="0.3">
      <c r="A40" s="1" t="s">
        <v>89</v>
      </c>
      <c r="B40" s="1">
        <v>6.09</v>
      </c>
      <c r="C40" s="1" t="s">
        <v>99</v>
      </c>
      <c r="J40" s="21">
        <f t="shared" si="95"/>
        <v>36.809183308965018</v>
      </c>
      <c r="M40" s="1">
        <f t="shared" si="96"/>
        <v>1.0155037420784405</v>
      </c>
      <c r="N40" s="14">
        <f t="shared" si="97"/>
        <v>1.8218780824714406E-3</v>
      </c>
      <c r="O40" s="14">
        <f t="shared" si="94"/>
        <v>-1.9138769076912251E-2</v>
      </c>
      <c r="AX40" s="46" t="s">
        <v>64</v>
      </c>
      <c r="AY40" s="1">
        <f>3*AY33*(AY30-3)-7*AY27</f>
        <v>-552.91876655914325</v>
      </c>
      <c r="AZ40" s="90"/>
      <c r="BA40" s="2"/>
      <c r="BB40" s="46" t="s">
        <v>64</v>
      </c>
      <c r="BC40" s="1">
        <f>3*BC33*(BC30-3)-7*BC27</f>
        <v>-508.65206445594436</v>
      </c>
      <c r="CM40" s="21"/>
      <c r="CQ40" s="14"/>
      <c r="CR40" s="14"/>
    </row>
    <row r="41" spans="1:202" ht="15.6" x14ac:dyDescent="0.3">
      <c r="A41" s="1" t="s">
        <v>90</v>
      </c>
      <c r="B41" s="1">
        <v>1.23</v>
      </c>
      <c r="J41" s="21">
        <f t="shared" si="95"/>
        <v>36.847667378334101</v>
      </c>
      <c r="M41" s="1">
        <f t="shared" si="96"/>
        <v>1.0164634708412486</v>
      </c>
      <c r="N41" s="14">
        <f t="shared" si="97"/>
        <v>1.9367497600958476E-3</v>
      </c>
      <c r="O41" s="14">
        <f t="shared" si="94"/>
        <v>-1.9098812512737533E-2</v>
      </c>
      <c r="AX41" s="46" t="s">
        <v>68</v>
      </c>
      <c r="AY41" s="1">
        <f>3*AY33*(AY31-1)-7*AY28</f>
        <v>27.687584364653958</v>
      </c>
      <c r="AZ41" s="90"/>
      <c r="BA41" s="2"/>
      <c r="BB41" s="46" t="s">
        <v>68</v>
      </c>
      <c r="BC41" s="1">
        <f>3*BC33*(BC31-1)-7*BC28</f>
        <v>55.173670932224468</v>
      </c>
      <c r="CM41" s="21"/>
      <c r="CQ41" s="14"/>
      <c r="CR41" s="14"/>
    </row>
    <row r="42" spans="1:202" ht="15.6" x14ac:dyDescent="0.3">
      <c r="A42" s="1" t="s">
        <v>93</v>
      </c>
      <c r="B42" s="1">
        <v>300</v>
      </c>
      <c r="J42" s="21">
        <f t="shared" si="95"/>
        <v>36.874882720249879</v>
      </c>
      <c r="M42" s="1">
        <f t="shared" si="96"/>
        <v>1.0171384233235068</v>
      </c>
      <c r="N42" s="14">
        <f t="shared" si="97"/>
        <v>2.0176934827095656E-3</v>
      </c>
      <c r="O42" s="14">
        <f t="shared" si="94"/>
        <v>-1.9070631330128835E-2</v>
      </c>
      <c r="AX42" s="46" t="s">
        <v>73</v>
      </c>
      <c r="AY42" s="11">
        <f>3*AY33*(AY32-1)-7*AY29</f>
        <v>-691.95989305287344</v>
      </c>
      <c r="AZ42" s="90"/>
      <c r="BA42" s="2"/>
      <c r="BB42" s="46" t="s">
        <v>73</v>
      </c>
      <c r="BC42" s="11">
        <f>3*BC33*(BC32-1)-7*BC29</f>
        <v>-693.1561554228706</v>
      </c>
      <c r="CM42" s="21"/>
      <c r="CQ42" s="14"/>
      <c r="CR42" s="14"/>
      <c r="GR42" s="1" t="s">
        <v>270</v>
      </c>
    </row>
    <row r="43" spans="1:202" x14ac:dyDescent="0.25">
      <c r="A43" s="1" t="s">
        <v>95</v>
      </c>
      <c r="B43" s="1">
        <f>C43/C44</f>
        <v>2.8077988570065868E-2</v>
      </c>
      <c r="C43" s="1">
        <f>1+B39*B41*B42</f>
        <v>1.016974</v>
      </c>
      <c r="J43" s="21">
        <f t="shared" si="95"/>
        <v>36.90994166807431</v>
      </c>
      <c r="M43" s="1">
        <f t="shared" si="96"/>
        <v>1.018003339159631</v>
      </c>
      <c r="N43" s="14">
        <f t="shared" si="97"/>
        <v>2.1216108239009899E-3</v>
      </c>
      <c r="O43" s="14">
        <f t="shared" si="94"/>
        <v>-1.9034420016583616E-2</v>
      </c>
      <c r="CM43" s="21"/>
      <c r="CQ43" s="14"/>
      <c r="CR43" s="14"/>
      <c r="GR43" s="1" t="s">
        <v>271</v>
      </c>
      <c r="GS43" s="1" t="s">
        <v>272</v>
      </c>
      <c r="GT43" s="1" t="s">
        <v>273</v>
      </c>
    </row>
    <row r="44" spans="1:202" x14ac:dyDescent="0.25">
      <c r="C44" s="1">
        <f>12*B40*(B38^2)</f>
        <v>36.219617279999994</v>
      </c>
      <c r="J44" s="21">
        <f t="shared" si="95"/>
        <v>36.942036786995381</v>
      </c>
      <c r="M44" s="1">
        <f t="shared" si="96"/>
        <v>1.0187906525283612</v>
      </c>
      <c r="N44" s="14">
        <f t="shared" si="97"/>
        <v>2.2163942510213565E-3</v>
      </c>
      <c r="O44" s="14">
        <f t="shared" si="94"/>
        <v>-1.9001360302069267E-2</v>
      </c>
      <c r="CM44" s="21"/>
      <c r="CQ44" s="14"/>
      <c r="CR44" s="14"/>
      <c r="GR44" s="1" t="s">
        <v>274</v>
      </c>
      <c r="GS44" s="1">
        <v>240.99641441934546</v>
      </c>
      <c r="GT44" s="1">
        <v>0.35651595772430944</v>
      </c>
    </row>
    <row r="45" spans="1:202" x14ac:dyDescent="0.25">
      <c r="A45" s="1" t="s">
        <v>100</v>
      </c>
      <c r="B45" s="1">
        <v>3</v>
      </c>
      <c r="J45" s="21">
        <f t="shared" si="95"/>
        <v>36.960627145463214</v>
      </c>
      <c r="M45" s="1">
        <f t="shared" si="96"/>
        <v>1.0192447330599292</v>
      </c>
      <c r="N45" s="14">
        <f t="shared" si="97"/>
        <v>2.2711433668810475E-3</v>
      </c>
      <c r="O45" s="14">
        <f t="shared" si="94"/>
        <v>-1.8982250601272597E-2</v>
      </c>
      <c r="BO45" s="1" t="s">
        <v>87</v>
      </c>
      <c r="BP45" s="1">
        <v>159.67398424945941</v>
      </c>
      <c r="BQ45" s="1" t="s">
        <v>88</v>
      </c>
      <c r="BR45" s="1">
        <v>4.3347144281946504</v>
      </c>
      <c r="CM45" s="21"/>
      <c r="CQ45" s="14"/>
      <c r="CR45" s="14"/>
      <c r="GR45" s="1" t="s">
        <v>275</v>
      </c>
      <c r="GS45" s="1">
        <v>125.17213479913951</v>
      </c>
      <c r="GT45" s="1">
        <v>0.35795574578813455</v>
      </c>
    </row>
    <row r="46" spans="1:202" x14ac:dyDescent="0.25">
      <c r="A46" s="1" t="s">
        <v>101</v>
      </c>
      <c r="B46" s="1">
        <v>1</v>
      </c>
      <c r="J46" s="21">
        <f t="shared" si="95"/>
        <v>36.973779459326472</v>
      </c>
      <c r="M46" s="1">
        <f t="shared" si="96"/>
        <v>1.019565123490711</v>
      </c>
      <c r="N46" s="14">
        <f t="shared" si="97"/>
        <v>2.3098101195244765E-3</v>
      </c>
      <c r="O46" s="14">
        <f t="shared" si="94"/>
        <v>-1.8968748269795211E-2</v>
      </c>
      <c r="CM46" s="21"/>
      <c r="CQ46" s="14"/>
      <c r="CR46" s="14"/>
      <c r="GR46" s="1" t="s">
        <v>276</v>
      </c>
      <c r="GS46" s="1">
        <v>46.764414225731237</v>
      </c>
      <c r="GT46" s="1">
        <v>0.36237323156784584</v>
      </c>
    </row>
    <row r="47" spans="1:202" x14ac:dyDescent="0.25">
      <c r="J47" s="21">
        <f t="shared" si="95"/>
        <v>36.997225927614721</v>
      </c>
      <c r="M47" s="1">
        <f t="shared" si="96"/>
        <v>1.020134510946789</v>
      </c>
      <c r="N47" s="14">
        <f t="shared" si="97"/>
        <v>2.3786031068926028E-3</v>
      </c>
      <c r="O47" s="14">
        <f t="shared" si="94"/>
        <v>-1.8944713536564805E-2</v>
      </c>
      <c r="CE47" s="1" t="s">
        <v>113</v>
      </c>
      <c r="CF47" s="1">
        <v>1.016974</v>
      </c>
      <c r="CM47" s="21"/>
      <c r="CQ47" s="14"/>
      <c r="CR47" s="14"/>
      <c r="GR47" s="1" t="s">
        <v>63</v>
      </c>
      <c r="GS47" s="1">
        <v>5.3080851459383656</v>
      </c>
      <c r="GT47" s="1">
        <v>4.7949895482609639E-2</v>
      </c>
    </row>
    <row r="48" spans="1:202" x14ac:dyDescent="0.25">
      <c r="A48" s="1" t="s">
        <v>50</v>
      </c>
      <c r="B48" s="1">
        <v>151.13999999999999</v>
      </c>
      <c r="J48" s="21">
        <f t="shared" si="95"/>
        <v>37.028266031867346</v>
      </c>
      <c r="M48" s="1">
        <f t="shared" si="96"/>
        <v>1.0208848314822938</v>
      </c>
      <c r="N48" s="14">
        <f t="shared" si="97"/>
        <v>2.469405399760401E-3</v>
      </c>
      <c r="O48" s="14">
        <f t="shared" si="94"/>
        <v>-1.8912964849831192E-2</v>
      </c>
      <c r="CE48" s="1" t="s">
        <v>40</v>
      </c>
      <c r="CF48" s="1">
        <v>6.07</v>
      </c>
      <c r="CM48" s="21"/>
      <c r="CQ48" s="14"/>
      <c r="CR48" s="14"/>
      <c r="GR48" s="1" t="s">
        <v>67</v>
      </c>
      <c r="GS48" s="1">
        <v>2.8396451939774803</v>
      </c>
      <c r="GT48" s="1">
        <v>4.8695408860176696E-2</v>
      </c>
    </row>
    <row r="49" spans="1:205" x14ac:dyDescent="0.25">
      <c r="A49" s="1" t="s">
        <v>102</v>
      </c>
      <c r="B49" s="1">
        <v>3.47</v>
      </c>
      <c r="J49" s="21">
        <f t="shared" si="95"/>
        <v>37.043677483791939</v>
      </c>
      <c r="M49" s="1">
        <f t="shared" si="96"/>
        <v>1.021255900301943</v>
      </c>
      <c r="N49" s="14">
        <f t="shared" si="97"/>
        <v>2.5143745719277692E-3</v>
      </c>
      <c r="O49" s="14">
        <f t="shared" si="94"/>
        <v>-1.8897231227457525E-2</v>
      </c>
      <c r="CE49" s="1" t="s">
        <v>114</v>
      </c>
      <c r="CF49" s="1">
        <v>1.02</v>
      </c>
      <c r="CM49" s="21"/>
      <c r="CQ49" s="14"/>
      <c r="CR49" s="14"/>
      <c r="GR49" s="1" t="s">
        <v>72</v>
      </c>
      <c r="GS49" s="1">
        <v>0.25793038245602273</v>
      </c>
      <c r="GT49" s="1">
        <v>4.6156042327437967E-2</v>
      </c>
    </row>
    <row r="50" spans="1:205" x14ac:dyDescent="0.25">
      <c r="J50" s="21">
        <f t="shared" si="95"/>
        <v>37.053880411171605</v>
      </c>
      <c r="M50" s="1">
        <f t="shared" si="96"/>
        <v>1.0215010271006835</v>
      </c>
      <c r="N50" s="14">
        <f t="shared" si="97"/>
        <v>2.5441041332217979E-3</v>
      </c>
      <c r="O50" s="14">
        <f t="shared" si="94"/>
        <v>-1.8886825810768695E-2</v>
      </c>
      <c r="CM50" s="21"/>
      <c r="CQ50" s="14"/>
      <c r="CR50" s="14"/>
      <c r="GR50" s="1" t="s">
        <v>277</v>
      </c>
      <c r="GS50" s="1">
        <v>0.123489250733686</v>
      </c>
    </row>
    <row r="51" spans="1:205" x14ac:dyDescent="0.25">
      <c r="B51" s="1" t="s">
        <v>103</v>
      </c>
      <c r="J51" s="21"/>
      <c r="AU51" s="16">
        <v>47.947556023546788</v>
      </c>
      <c r="AV51" s="16"/>
      <c r="AW51" s="16"/>
      <c r="AX51" s="16"/>
      <c r="AY51" s="16"/>
      <c r="AZ51" s="16"/>
      <c r="BI51" s="1" t="s">
        <v>62</v>
      </c>
      <c r="BJ51" s="1">
        <v>246.36868691540607</v>
      </c>
      <c r="BK51" s="1" t="s">
        <v>63</v>
      </c>
      <c r="BL51" s="1">
        <v>5.434181546630243</v>
      </c>
      <c r="GR51" s="1" t="s">
        <v>278</v>
      </c>
      <c r="GS51" s="1">
        <v>0.32657282105499796</v>
      </c>
    </row>
    <row r="52" spans="1:205" x14ac:dyDescent="0.25">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c r="GR52" s="1" t="s">
        <v>279</v>
      </c>
      <c r="GS52" s="1">
        <v>38</v>
      </c>
    </row>
    <row r="53" spans="1:205" x14ac:dyDescent="0.25">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c r="GR53" s="1" t="s">
        <v>280</v>
      </c>
      <c r="GS53" s="1">
        <v>44</v>
      </c>
    </row>
    <row r="54" spans="1:205" x14ac:dyDescent="0.25">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c r="GR54" s="1" t="s">
        <v>281</v>
      </c>
      <c r="GS54" s="1">
        <v>0.2622960158698559</v>
      </c>
    </row>
    <row r="55" spans="1:205" x14ac:dyDescent="0.25">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c r="GR55" s="1" t="s">
        <v>282</v>
      </c>
      <c r="GS55" s="1">
        <v>0.24098396802173033</v>
      </c>
    </row>
    <row r="56" spans="1:205" x14ac:dyDescent="0.25">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c r="GR56" s="1" t="s">
        <v>283</v>
      </c>
      <c r="GS56" s="1">
        <v>0.26742700014911175</v>
      </c>
    </row>
    <row r="57" spans="1:205" x14ac:dyDescent="0.25">
      <c r="AU57" s="16">
        <v>48.339357218136854</v>
      </c>
      <c r="AV57" s="16"/>
      <c r="AW57" s="16"/>
      <c r="AX57" s="16"/>
      <c r="AY57" s="16"/>
      <c r="AZ57" s="16"/>
      <c r="GR57" s="1" t="s">
        <v>284</v>
      </c>
      <c r="GS57" s="1">
        <v>0.25356260676435366</v>
      </c>
    </row>
    <row r="58" spans="1:205" x14ac:dyDescent="0.25">
      <c r="AU58" s="1">
        <v>48.499352132150342</v>
      </c>
    </row>
    <row r="59" spans="1:205" x14ac:dyDescent="0.25">
      <c r="AU59" s="1">
        <v>48.3097411194247</v>
      </c>
      <c r="GR59" s="1" t="s">
        <v>285</v>
      </c>
    </row>
    <row r="60" spans="1:205" x14ac:dyDescent="0.25">
      <c r="AU60" s="1">
        <v>48.180418822030397</v>
      </c>
      <c r="GR60" s="1">
        <v>0.12710362811208159</v>
      </c>
      <c r="GS60" s="1">
        <v>-5.1100231030606607E-3</v>
      </c>
      <c r="GT60" s="1">
        <v>-6.539851967314027E-4</v>
      </c>
      <c r="GU60" s="1">
        <v>-1.6316396399419734E-2</v>
      </c>
      <c r="GV60" s="1">
        <v>1.1632191382193209E-4</v>
      </c>
      <c r="GW60" s="1">
        <v>1.5035616812141337E-4</v>
      </c>
    </row>
    <row r="61" spans="1:205" x14ac:dyDescent="0.25">
      <c r="AU61" s="1">
        <v>48.120784404850681</v>
      </c>
      <c r="GR61" s="1">
        <v>-5.1100231030606832E-3</v>
      </c>
      <c r="GS61" s="1">
        <v>0.12813231594273961</v>
      </c>
      <c r="GT61" s="1">
        <v>-1.411751899098649E-3</v>
      </c>
      <c r="GU61" s="1">
        <v>-1.2307612953816093E-3</v>
      </c>
      <c r="GV61" s="1">
        <v>-1.6750466384267016E-2</v>
      </c>
      <c r="GW61" s="1">
        <v>3.2518191924771925E-4</v>
      </c>
    </row>
    <row r="62" spans="1:205" x14ac:dyDescent="0.25">
      <c r="AU62" s="1">
        <v>48.226412119564628</v>
      </c>
      <c r="GR62" s="1">
        <v>-6.5398519673140422E-4</v>
      </c>
      <c r="GS62" s="1">
        <v>-1.4117518990986522E-3</v>
      </c>
      <c r="GT62" s="1">
        <v>0.13131435895692362</v>
      </c>
      <c r="GU62" s="1">
        <v>1.1114419525571208E-4</v>
      </c>
      <c r="GV62" s="1">
        <v>2.0084679446529769E-4</v>
      </c>
      <c r="GW62" s="1">
        <v>-1.5983770156505792E-2</v>
      </c>
    </row>
    <row r="63" spans="1:205" x14ac:dyDescent="0.25">
      <c r="AU63" s="1">
        <v>48.150899687196002</v>
      </c>
      <c r="GR63" s="1">
        <v>-1.631639639941973E-2</v>
      </c>
      <c r="GS63" s="1">
        <v>-1.2307612953816128E-3</v>
      </c>
      <c r="GT63" s="1">
        <v>1.1114419525571174E-4</v>
      </c>
      <c r="GU63" s="1">
        <v>2.2991924767931881E-3</v>
      </c>
      <c r="GV63" s="1">
        <v>2.2265478068771705E-4</v>
      </c>
      <c r="GW63" s="1">
        <v>-2.6123172228663433E-5</v>
      </c>
    </row>
    <row r="64" spans="1:205" x14ac:dyDescent="0.25">
      <c r="AU64" s="1">
        <v>47.942411192719817</v>
      </c>
      <c r="GR64" s="1">
        <v>1.1632191382193497E-4</v>
      </c>
      <c r="GS64" s="1">
        <v>-1.6750466384267016E-2</v>
      </c>
      <c r="GT64" s="1">
        <v>2.008467944652972E-4</v>
      </c>
      <c r="GU64" s="1">
        <v>2.2265478068771662E-4</v>
      </c>
      <c r="GV64" s="1">
        <v>2.3712428440597752E-3</v>
      </c>
      <c r="GW64" s="1">
        <v>-4.749475688193075E-5</v>
      </c>
    </row>
    <row r="65" spans="47:205" x14ac:dyDescent="0.25">
      <c r="AU65" s="1">
        <v>47.992775844223317</v>
      </c>
      <c r="GR65" s="1">
        <v>1.5035616812141353E-4</v>
      </c>
      <c r="GS65" s="1">
        <v>3.2518191924771974E-4</v>
      </c>
      <c r="GT65" s="1">
        <v>-1.5983770156505796E-2</v>
      </c>
      <c r="GU65" s="1">
        <v>-2.6123172228663474E-5</v>
      </c>
      <c r="GV65" s="1">
        <v>-4.7494756881930817E-5</v>
      </c>
      <c r="GW65" s="1">
        <v>2.1303802433322453E-3</v>
      </c>
    </row>
    <row r="67" spans="47:205" x14ac:dyDescent="0.25">
      <c r="GR67" s="1" t="s">
        <v>286</v>
      </c>
    </row>
    <row r="68" spans="47:205" x14ac:dyDescent="0.25">
      <c r="GR68" s="1" t="s">
        <v>287</v>
      </c>
    </row>
    <row r="69" spans="47:205" x14ac:dyDescent="0.25">
      <c r="GR69" s="1" t="s">
        <v>271</v>
      </c>
      <c r="GS69" s="1" t="s">
        <v>272</v>
      </c>
      <c r="GT69" s="1" t="s">
        <v>273</v>
      </c>
    </row>
    <row r="70" spans="47:205" x14ac:dyDescent="0.25">
      <c r="GR70" s="1" t="s">
        <v>274</v>
      </c>
      <c r="GS70" s="1">
        <v>240.82149340710646</v>
      </c>
      <c r="GT70" s="1">
        <v>0.18264313939112181</v>
      </c>
    </row>
    <row r="71" spans="47:205" x14ac:dyDescent="0.25">
      <c r="GR71" s="1" t="s">
        <v>275</v>
      </c>
      <c r="GS71" s="1">
        <v>125.0615513105846</v>
      </c>
      <c r="GT71" s="1">
        <v>0.18337019972016408</v>
      </c>
    </row>
    <row r="72" spans="47:205" x14ac:dyDescent="0.25">
      <c r="GR72" s="1" t="s">
        <v>276</v>
      </c>
      <c r="GS72" s="1">
        <v>46.788062454640041</v>
      </c>
      <c r="GT72" s="1">
        <v>0.18559413371717537</v>
      </c>
    </row>
    <row r="73" spans="47:205" x14ac:dyDescent="0.25">
      <c r="GR73" s="1" t="s">
        <v>63</v>
      </c>
      <c r="GS73" s="1">
        <v>5.3976196070116362</v>
      </c>
      <c r="GT73" s="1">
        <v>2.5003190070776185E-2</v>
      </c>
    </row>
    <row r="74" spans="47:205" x14ac:dyDescent="0.25">
      <c r="GR74" s="1" t="s">
        <v>67</v>
      </c>
      <c r="GS74" s="1">
        <v>2.895538799357146</v>
      </c>
      <c r="GT74" s="1">
        <v>2.538949589563223E-2</v>
      </c>
    </row>
    <row r="75" spans="47:205" x14ac:dyDescent="0.25">
      <c r="GR75" s="1" t="s">
        <v>72</v>
      </c>
      <c r="GS75" s="1">
        <v>0.25523221724324363</v>
      </c>
      <c r="GT75" s="1">
        <v>2.4045293648686305E-2</v>
      </c>
    </row>
    <row r="76" spans="47:205" x14ac:dyDescent="0.25">
      <c r="GR76" s="1" t="s">
        <v>277</v>
      </c>
      <c r="GS76" s="1">
        <v>3.1990920244856967E-2</v>
      </c>
    </row>
    <row r="77" spans="47:205" x14ac:dyDescent="0.25">
      <c r="GR77" s="1" t="s">
        <v>278</v>
      </c>
      <c r="GS77" s="1">
        <v>0.16621829631436244</v>
      </c>
    </row>
    <row r="78" spans="47:205" x14ac:dyDescent="0.25">
      <c r="GR78" s="1" t="s">
        <v>279</v>
      </c>
      <c r="GS78" s="1">
        <v>38</v>
      </c>
    </row>
    <row r="79" spans="47:205" x14ac:dyDescent="0.25">
      <c r="GR79" s="1" t="s">
        <v>280</v>
      </c>
      <c r="GS79" s="1">
        <v>44</v>
      </c>
    </row>
    <row r="80" spans="47:205" x14ac:dyDescent="0.25">
      <c r="GR80" s="1" t="s">
        <v>281</v>
      </c>
      <c r="GS80" s="1">
        <v>0.13440593832808492</v>
      </c>
    </row>
    <row r="81" spans="13:205" x14ac:dyDescent="0.25">
      <c r="GR81" s="1" t="s">
        <v>282</v>
      </c>
      <c r="GS81" s="1">
        <v>0.123417578761449</v>
      </c>
    </row>
    <row r="82" spans="13:205" x14ac:dyDescent="0.25">
      <c r="GR82" s="1" t="s">
        <v>283</v>
      </c>
      <c r="GS82" s="1">
        <v>0.13688625528652607</v>
      </c>
    </row>
    <row r="83" spans="13:205" x14ac:dyDescent="0.25">
      <c r="GR83" s="1" t="s">
        <v>284</v>
      </c>
      <c r="GS83" s="1">
        <v>0.12982552536483086</v>
      </c>
    </row>
    <row r="85" spans="13:205" x14ac:dyDescent="0.25">
      <c r="GR85" s="1" t="s">
        <v>285</v>
      </c>
    </row>
    <row r="86" spans="13:205" x14ac:dyDescent="0.25">
      <c r="GR86" s="1">
        <v>3.3358516366644754E-2</v>
      </c>
      <c r="GS86" s="1">
        <v>-1.3181076569048706E-3</v>
      </c>
      <c r="GT86" s="1">
        <v>-1.6894063233377889E-4</v>
      </c>
      <c r="GU86" s="1">
        <v>-4.3607999228577029E-3</v>
      </c>
      <c r="GV86" s="1">
        <v>2.660698569290728E-5</v>
      </c>
      <c r="GW86" s="1">
        <v>3.9667474606251101E-5</v>
      </c>
    </row>
    <row r="87" spans="13:205" x14ac:dyDescent="0.25">
      <c r="GR87" s="1">
        <v>-1.3181076569048591E-3</v>
      </c>
      <c r="GS87" s="1">
        <v>3.3624630145412858E-2</v>
      </c>
      <c r="GT87" s="1">
        <v>-3.6418473658967834E-4</v>
      </c>
      <c r="GU87" s="1">
        <v>-3.3581126246269745E-4</v>
      </c>
      <c r="GV87" s="1">
        <v>-4.4764727957088751E-3</v>
      </c>
      <c r="GW87" s="1">
        <v>8.5665340951212617E-5</v>
      </c>
    </row>
    <row r="88" spans="13:205" x14ac:dyDescent="0.25">
      <c r="GR88" s="1">
        <v>-1.6894063233377867E-4</v>
      </c>
      <c r="GS88" s="1">
        <v>-3.6418473658967834E-4</v>
      </c>
      <c r="GT88" s="1">
        <v>3.444518247022877E-2</v>
      </c>
      <c r="GU88" s="1">
        <v>2.9253636037414772E-5</v>
      </c>
      <c r="GV88" s="1">
        <v>5.2731677063883271E-5</v>
      </c>
      <c r="GW88" s="1">
        <v>-4.2672944600395269E-3</v>
      </c>
    </row>
    <row r="89" spans="13:205" x14ac:dyDescent="0.25">
      <c r="GR89" s="1">
        <v>-4.3607999228577046E-3</v>
      </c>
      <c r="GS89" s="1">
        <v>-3.3581126246269593E-4</v>
      </c>
      <c r="GT89" s="1">
        <v>2.9253636037414823E-5</v>
      </c>
      <c r="GU89" s="1">
        <v>6.2515951371536075E-4</v>
      </c>
      <c r="GV89" s="1">
        <v>6.1777869714699538E-5</v>
      </c>
      <c r="GW89" s="1">
        <v>-7.0182192078500398E-6</v>
      </c>
    </row>
    <row r="90" spans="13:205" x14ac:dyDescent="0.25">
      <c r="GR90" s="1">
        <v>2.6606985692905694E-5</v>
      </c>
      <c r="GS90" s="1">
        <v>-4.476472795708876E-3</v>
      </c>
      <c r="GT90" s="1">
        <v>5.2731677063883298E-5</v>
      </c>
      <c r="GU90" s="1">
        <v>6.1777869714699742E-5</v>
      </c>
      <c r="GV90" s="1">
        <v>6.4462650183432586E-4</v>
      </c>
      <c r="GW90" s="1">
        <v>-1.2726174300973025E-5</v>
      </c>
    </row>
    <row r="91" spans="13:205" x14ac:dyDescent="0.25">
      <c r="GR91" s="1">
        <v>3.9667474606251087E-5</v>
      </c>
      <c r="GS91" s="1">
        <v>8.5665340951212617E-5</v>
      </c>
      <c r="GT91" s="1">
        <v>-4.2672944600395269E-3</v>
      </c>
      <c r="GU91" s="1">
        <v>-7.0182192078500347E-6</v>
      </c>
      <c r="GV91" s="1">
        <v>-1.2726174300973021E-5</v>
      </c>
      <c r="GW91" s="1">
        <v>5.7817614665155398E-4</v>
      </c>
    </row>
    <row r="92" spans="13:205" x14ac:dyDescent="0.25">
      <c r="M92" s="1" t="s">
        <v>108</v>
      </c>
      <c r="N92" s="1" t="s">
        <v>109</v>
      </c>
      <c r="O92" s="1" t="s">
        <v>62</v>
      </c>
      <c r="P92" s="1" t="s">
        <v>71</v>
      </c>
      <c r="Q92" s="1" t="s">
        <v>66</v>
      </c>
      <c r="R92" s="1" t="s">
        <v>53</v>
      </c>
      <c r="S92" s="1" t="s">
        <v>54</v>
      </c>
      <c r="T92" s="1" t="s">
        <v>55</v>
      </c>
      <c r="U92" s="1" t="s">
        <v>36</v>
      </c>
    </row>
    <row r="93" spans="13:205" x14ac:dyDescent="0.25">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5">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5">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5">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5">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5">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5">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5">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5">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5">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5">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5">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5">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5">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5">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5">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5">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5">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5">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5">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GW112"/>
  <sheetViews>
    <sheetView zoomScale="85" zoomScaleNormal="85" workbookViewId="0">
      <pane xSplit="1" topLeftCell="B1" activePane="topRight" state="frozen"/>
      <selection activeCell="BA26" sqref="BA26:BA28"/>
      <selection pane="topRight" activeCell="AW35" sqref="AW35:AW38"/>
    </sheetView>
  </sheetViews>
  <sheetFormatPr defaultColWidth="9.109375" defaultRowHeight="15" x14ac:dyDescent="0.25"/>
  <cols>
    <col min="1" max="1" width="12.6640625" style="1" customWidth="1"/>
    <col min="2" max="2" width="16.6640625" style="1" bestFit="1" customWidth="1"/>
    <col min="3" max="4" width="33.88671875" style="1" bestFit="1" customWidth="1"/>
    <col min="5" max="5" width="16.44140625" style="1" bestFit="1" customWidth="1"/>
    <col min="6" max="6" width="17" style="1" bestFit="1" customWidth="1"/>
    <col min="7" max="7" width="23.5546875" style="1" customWidth="1"/>
    <col min="8" max="8" width="22.109375" style="1" bestFit="1" customWidth="1"/>
    <col min="9" max="9" width="19.44140625" style="1" bestFit="1" customWidth="1"/>
    <col min="10" max="10" width="25.44140625" style="1" bestFit="1" customWidth="1"/>
    <col min="11" max="11" width="11.88671875" style="1" bestFit="1" customWidth="1"/>
    <col min="12" max="12" width="14.44140625" style="1" bestFit="1" customWidth="1"/>
    <col min="13" max="13" width="17" style="1" bestFit="1" customWidth="1"/>
    <col min="14" max="14" width="15.5546875" style="1" hidden="1" customWidth="1"/>
    <col min="15" max="15" width="11.6640625" style="1" bestFit="1" customWidth="1"/>
    <col min="16" max="16" width="10.33203125" style="1" bestFit="1" customWidth="1"/>
    <col min="17" max="17" width="9.109375" style="1" bestFit="1" customWidth="1"/>
    <col min="18" max="21" width="15.5546875" style="1" bestFit="1" customWidth="1"/>
    <col min="22" max="22" width="9.33203125" style="1" bestFit="1" customWidth="1"/>
    <col min="23" max="23" width="9.33203125" style="1" hidden="1" customWidth="1"/>
    <col min="24" max="24" width="10.5546875" style="1" hidden="1" customWidth="1"/>
    <col min="25" max="28" width="12.44140625" style="1" hidden="1" customWidth="1"/>
    <col min="29" max="30" width="9.33203125" style="1" bestFit="1" customWidth="1"/>
    <col min="31" max="31" width="9.33203125" style="1" customWidth="1"/>
    <col min="32" max="32" width="15.109375" style="1" bestFit="1" customWidth="1"/>
    <col min="33" max="33" width="15" style="1" bestFit="1" customWidth="1"/>
    <col min="34" max="34" width="21.6640625" style="1" customWidth="1"/>
    <col min="35" max="36" width="10.109375" style="1" bestFit="1" customWidth="1"/>
    <col min="37" max="37" width="9.109375" style="1"/>
    <col min="38" max="38" width="13.109375" style="1" bestFit="1" customWidth="1"/>
    <col min="39" max="39" width="23.109375" style="1" bestFit="1" customWidth="1"/>
    <col min="40" max="40" width="21.88671875" style="1" bestFit="1" customWidth="1"/>
    <col min="41" max="41" width="19.109375" style="1" bestFit="1" customWidth="1"/>
    <col min="42" max="42" width="11.88671875" style="1" customWidth="1"/>
    <col min="43" max="43" width="14.33203125" style="1" bestFit="1" customWidth="1"/>
    <col min="44" max="47" width="10.88671875" style="1" bestFit="1" customWidth="1"/>
    <col min="48" max="57" width="14.109375" style="1" customWidth="1"/>
    <col min="58" max="58" width="13.5546875" style="1" bestFit="1" customWidth="1"/>
    <col min="59" max="59" width="16.109375" style="1" bestFit="1" customWidth="1"/>
    <col min="60" max="60" width="13.5546875" style="1" bestFit="1" customWidth="1"/>
    <col min="61" max="61" width="10.88671875" style="1" bestFit="1" customWidth="1"/>
    <col min="62" max="62" width="9.33203125" style="1" bestFit="1" customWidth="1"/>
    <col min="63" max="63" width="11.109375" style="1" bestFit="1" customWidth="1"/>
    <col min="64" max="66" width="9.33203125" style="1" bestFit="1" customWidth="1"/>
    <col min="67" max="67" width="11.88671875" style="1" bestFit="1" customWidth="1"/>
    <col min="68" max="68" width="9.33203125" style="1" bestFit="1" customWidth="1"/>
    <col min="69" max="69" width="19.109375" style="1" bestFit="1" customWidth="1"/>
    <col min="70" max="70" width="9.33203125" style="1" bestFit="1" customWidth="1"/>
    <col min="71" max="71" width="10.44140625" style="1" bestFit="1" customWidth="1"/>
    <col min="72" max="75" width="9.33203125" style="1" bestFit="1" customWidth="1"/>
    <col min="76" max="76" width="12.109375" style="1" bestFit="1" customWidth="1"/>
    <col min="77" max="77" width="12.33203125" style="1" bestFit="1" customWidth="1"/>
    <col min="78" max="78" width="20.6640625" style="1" bestFit="1" customWidth="1"/>
    <col min="79" max="79" width="9.109375" style="1"/>
    <col min="80" max="80" width="5.5546875" style="1" customWidth="1"/>
    <col min="81" max="81" width="5.6640625" style="1" customWidth="1"/>
    <col min="82" max="82" width="4.6640625" style="1" customWidth="1"/>
    <col min="83" max="83" width="13.88671875" style="1" bestFit="1" customWidth="1"/>
    <col min="84" max="89" width="9.109375" style="1"/>
    <col min="90" max="90" width="15.44140625" style="1" bestFit="1" customWidth="1"/>
    <col min="91" max="91" width="16" style="1" bestFit="1" customWidth="1"/>
    <col min="92" max="92" width="12.6640625" style="1" bestFit="1" customWidth="1"/>
    <col min="93" max="93" width="12.6640625" style="1" customWidth="1"/>
    <col min="94" max="97" width="9.109375" style="1"/>
    <col min="98" max="98" width="16.6640625" style="1" bestFit="1" customWidth="1"/>
    <col min="99" max="16384" width="9.109375" style="1"/>
  </cols>
  <sheetData>
    <row r="1" spans="1:171"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5">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 t="shared" ref="AB2:AB23" si="2">SQRT((Q2/M2)^2+(0.0002/I2)^2)*AD2</f>
        <v>4.4555100476021065E-3</v>
      </c>
      <c r="AC2" s="14">
        <f>2*0.712/H2</f>
        <v>5.9302602040809917</v>
      </c>
      <c r="AD2" s="1">
        <f>2*0.712/I2</f>
        <v>3.0066311311313236</v>
      </c>
      <c r="AE2" s="1">
        <f>2*0.712/F2</f>
        <v>6.2129162562539788</v>
      </c>
      <c r="AF2" s="14">
        <f t="shared" ref="AF2:AF23" si="3">V2*AC2^2</f>
        <v>214.17303527656995</v>
      </c>
      <c r="AG2" s="14">
        <f t="shared" ref="AG2:AG23" si="4">V2*AD2^2</f>
        <v>55.052569320410058</v>
      </c>
      <c r="AH2" s="14">
        <f t="shared" ref="AH2:AH23" si="5">V2*AE2^2</f>
        <v>235.07599999999999</v>
      </c>
      <c r="AI2" s="14">
        <f>AG2+0.5*AF2-AH2*0.5</f>
        <v>44.601086958695035</v>
      </c>
      <c r="AJ2" s="14">
        <f t="shared" ref="AJ2:AJ23" si="6">AH2+AI2-3*AG2</f>
        <v>114.51937899746486</v>
      </c>
      <c r="AK2" s="7"/>
      <c r="AL2" s="12">
        <f>M2</f>
        <v>0.70399999999999996</v>
      </c>
      <c r="AM2" s="14">
        <f t="shared" ref="AM2:AM23" si="7">AL2^3</f>
        <v>0.34891366399999996</v>
      </c>
      <c r="AN2" s="14">
        <f>$AM$2/AM2</f>
        <v>1</v>
      </c>
      <c r="AO2" s="11">
        <v>6.09</v>
      </c>
      <c r="AP2" s="14">
        <f t="shared" ref="AP2:AP23" si="8">-3*$AX$32*((1-2*AQ2)^2.5)*(1+3*(4-$AX$33)*AQ2/2)*AQ2</f>
        <v>0</v>
      </c>
      <c r="AQ2" s="14">
        <f t="shared" ref="AQ2:AQ23" si="9">0.5*(1-AN2^0.666666667)</f>
        <v>0</v>
      </c>
      <c r="AR2" s="82">
        <f t="shared" ref="AR2:AR23" si="10">(1-2*AQ2)^(3.5)*($AX$26-$AX$39*AQ2)+AP2*3</f>
        <v>240.9217221637571</v>
      </c>
      <c r="AS2" s="82">
        <f t="shared" ref="AS2:AS23" si="11">(1-2*AQ2)^(3.5)*($AX$28-$AX$41*AQ2)+AP2*1</f>
        <v>44.636996201729012</v>
      </c>
      <c r="AT2" s="82">
        <f t="shared" ref="AT2:AT23" si="12">(1-2*AQ2)^(3.5)*($AX$27-$AX$40*AQ2)+AP2*1</f>
        <v>122.99107767172234</v>
      </c>
      <c r="AU2" s="14">
        <f t="shared" ref="AU2:AU23" si="13">AR2-AH2</f>
        <v>5.8457221637571024</v>
      </c>
      <c r="AV2" s="14">
        <f t="shared" ref="AV2:AV23" si="14">AS2-AI2</f>
        <v>3.5909243033977134E-2</v>
      </c>
      <c r="AW2" s="14">
        <f t="shared" ref="AW2:AW23" si="15">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6">BE2^3</f>
        <v>0.34891366399999996</v>
      </c>
      <c r="BG2" s="14">
        <f t="shared" ref="BG2:BG23" si="17">$BF$2/BF2</f>
        <v>1</v>
      </c>
      <c r="BH2" s="11">
        <v>6.09</v>
      </c>
      <c r="BI2" s="11">
        <f t="shared" ref="BI2:BI23" si="18">-3*$BB$32*((1-2*BJ2)^2.5)*(1+3*(4-$BB$33)*BJ2/2)*BJ2</f>
        <v>0</v>
      </c>
      <c r="BJ2" s="12">
        <f t="shared" ref="BJ2:BJ23" si="19">0.5*(1-BG2^0.666666667)</f>
        <v>0</v>
      </c>
      <c r="BK2" s="11">
        <f t="shared" ref="BK2:BK23" si="20">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1">BQ2+BR2-3*BP2</f>
        <v>114.51937899746486</v>
      </c>
      <c r="BT2" s="18">
        <f t="shared" ref="BT2:BT23" si="22">(1-2*BJ2)^(3.5)*($BB$26-$BB$39*BJ2)+BI2*3</f>
        <v>240.87740272626925</v>
      </c>
      <c r="BU2" s="18">
        <f t="shared" ref="BU2:BU23" si="23">(1-2*BJ2)^(3.5)*($BB$28-$BB$41*BJ2)+BI2*1</f>
        <v>44.658879089196766</v>
      </c>
      <c r="BV2" s="18">
        <f t="shared" ref="BV2:BV23" si="24">(1-2*BJ2)^(3.5)*($BB$27-$BB$40*BJ2)+BI2*1</f>
        <v>122.97399089518898</v>
      </c>
      <c r="BW2" s="11">
        <f>BT2-BQ2</f>
        <v>5.8014027262692593</v>
      </c>
      <c r="BX2" s="11">
        <f t="shared" ref="BX2:BY17" si="25">BU2-BR2</f>
        <v>5.7792130501731265E-2</v>
      </c>
      <c r="BY2" s="11">
        <f t="shared" si="25"/>
        <v>8.4546118977241207</v>
      </c>
      <c r="BZ2" s="11">
        <f t="shared" ref="BZ2:BZ23" si="26">(BT2+2*BV2)/3</f>
        <v>162.27512817221574</v>
      </c>
      <c r="CA2" s="11">
        <f t="shared" ref="CA2:CA23" si="27">SQRT(BT2/BH2)</f>
        <v>6.2891127905553299</v>
      </c>
      <c r="CB2" s="11">
        <f t="shared" ref="CB2:CB23" si="28">SQRT(BU2/BH2)</f>
        <v>2.7079788174448809</v>
      </c>
      <c r="CC2" s="11">
        <f t="shared" ref="CC2:CC23" si="29">SQRT((0.33333334*(BT2+2*BV2+4*BU2))/BH2)</f>
        <v>6.0352046657558933</v>
      </c>
      <c r="CD2" s="11">
        <f t="shared" ref="CD2:CD23" si="30">SQRT((0.3333334*(BT2-BV2+BU2))/BH2)</f>
        <v>2.9829136070131081</v>
      </c>
      <c r="CE2" s="11">
        <f t="shared" ref="CE2:CE23" si="31">(BT2-BV2+3*BU2)/5</f>
        <v>50.376009819734108</v>
      </c>
      <c r="CF2" s="11">
        <f t="shared" ref="CF2:CF23" si="32">((5*(BT2-BV2)*BU2)/(3*(BT2-BV2)+4*BU2))</f>
        <v>49.455022369102707</v>
      </c>
      <c r="CG2" s="11">
        <f t="shared" ref="CG2:CG23" si="33">(CE2+CF2)/2</f>
        <v>49.915516094418408</v>
      </c>
      <c r="CH2" s="14">
        <f t="shared" ref="CH2:CH23" si="34">CA2-AE2</f>
        <v>7.6196534301351093E-2</v>
      </c>
      <c r="CI2" s="14" t="e">
        <f>CB2-#REF!</f>
        <v>#REF!</v>
      </c>
      <c r="CJ2" s="14">
        <f t="shared" ref="CJ2:CJ23" si="35">CC2-AC2</f>
        <v>0.10494446167490157</v>
      </c>
      <c r="CK2" s="14">
        <f t="shared" ref="CK2:CK23" si="36">CD2-AD2</f>
        <v>-2.3717524118215483E-2</v>
      </c>
      <c r="CL2" s="19"/>
      <c r="CM2" s="12"/>
      <c r="CP2" s="17"/>
      <c r="CQ2" s="20"/>
      <c r="CR2" s="20"/>
      <c r="CS2" s="21"/>
      <c r="CZ2" s="14"/>
      <c r="DA2" s="14"/>
      <c r="DB2" s="14"/>
      <c r="DC2" s="14"/>
      <c r="DH2" s="12"/>
      <c r="DP2" s="1" t="s">
        <v>61</v>
      </c>
      <c r="EI2" s="1">
        <v>0</v>
      </c>
      <c r="ET2" s="1">
        <f t="shared" ref="ET2:ET23" si="37">(0.02/$B$40)^2+9*(0.001/$B$38)^2+(Q2/M2)^2</f>
        <v>3.0962041697548578E-5</v>
      </c>
      <c r="EU2" s="1">
        <f t="shared" ref="EU2:EU23" si="38">4*(AH2)^2*(0.0002/F2)^2</f>
        <v>0.1683090963084839</v>
      </c>
      <c r="EV2" s="1">
        <f t="shared" ref="EV2:EV23" si="39">4*(AF2)^2*(0.0002/H2)^2</f>
        <v>0.12728495874922099</v>
      </c>
      <c r="EW2" s="1">
        <f t="shared" ref="EW2:EW23" si="40">4*(AG2)^2*(0.0002/I2)^2</f>
        <v>2.1617998816802347E-3</v>
      </c>
      <c r="EX2" s="1">
        <f t="shared" ref="EX2:EX23" si="41">(AH2)^2*ET2+1*EU2</f>
        <v>1.8792939920217933</v>
      </c>
      <c r="EY2" s="1">
        <f t="shared" ref="EY2:EY23" si="42">(AJ2)^2*ET2+0.25*EU2+0.25*EV2+4*EW2</f>
        <v>0.48860323513610227</v>
      </c>
      <c r="EZ2" s="1">
        <f t="shared" ref="EZ2:EZ23" si="43">(AI2)^2*ET2+0.25*EU2+0.25*EV2+1*EW2</f>
        <v>0.13765177052365435</v>
      </c>
      <c r="FA2" s="1">
        <f t="shared" ref="FA2:FA23" si="44">(AH2)*(AJ2)*ET2+0.5*EU2</f>
        <v>0.91767616555087261</v>
      </c>
      <c r="FB2" s="1">
        <f t="shared" ref="FB2:FB23" si="45">(AH2)*(AI2)*ET2+-0.5*EU2</f>
        <v>0.24047147117024487</v>
      </c>
      <c r="FC2" s="1">
        <f t="shared" ref="FC2:FC23" si="46">(AJ2)*(AI2)*ET2+-0.25*EU2+0.25*EV2+-2*EW2</f>
        <v>0.14356483886601445</v>
      </c>
      <c r="FD2" s="1">
        <f t="shared" ref="FD2:FD23" si="47">20*(AI2)^2/(3*((AH2)-(AJ2))+4*(AI2))^2</f>
        <v>0.13639988432239772</v>
      </c>
      <c r="FE2" s="1">
        <f t="shared" ref="FE2:FE23" si="48">15*((AH2)-(AJ2))^2/(3*((AH2)-(AJ2))+4*(AI2))^2</f>
        <v>0.74742309549948538</v>
      </c>
      <c r="FF2" s="1">
        <f t="shared" ref="FF2:FF23" si="49">(0.2+FD2)/2</f>
        <v>0.16819994216119888</v>
      </c>
      <c r="FG2" s="1">
        <f t="shared" ref="FG2:FG23" si="50">(-0.2-FD2)/2</f>
        <v>-0.16819994216119888</v>
      </c>
      <c r="FH2" s="1">
        <f t="shared" ref="FH2:FH23" si="51">(0.6+FE2)/2</f>
        <v>0.67371154774974262</v>
      </c>
      <c r="FI2" s="1">
        <f t="shared" ref="FI2:FI23" si="52">SQRT(EX2)</f>
        <v>1.3708734412854431</v>
      </c>
      <c r="FJ2" s="1">
        <f t="shared" ref="FJ2:FJ23" si="53">SQRT(EY2)</f>
        <v>0.69900159880797286</v>
      </c>
      <c r="FK2" s="1">
        <f t="shared" ref="FK2:FK23" si="54">SQRT(EZ2)</f>
        <v>0.37101451524657947</v>
      </c>
      <c r="FL2" s="1">
        <f t="shared" ref="FL2:FL23" si="55">SQRT(EX2/9+4*EY2/9+(4/9)*FA2)</f>
        <v>0.91313937081365948</v>
      </c>
      <c r="FM2" s="1">
        <f t="shared" ref="FM2:FM23" si="56">SQRT((EX2+EY2+9*EZ2)/25+(-2*FA2+6*FB2-6*FC2)/25)</f>
        <v>0.30678009222206198</v>
      </c>
      <c r="FN2" s="1">
        <f t="shared" ref="FN2:FN23" si="57">SQRT(FD2^2*(EX2+EY2)-2*FD2^2*FA2+FE2^2*EZ2+2*FD2*FE2*(FB2-FC2))</f>
        <v>0.32644276420632279</v>
      </c>
      <c r="FO2" s="1">
        <f t="shared" ref="FO2:FO23" si="58">SQRT(FF2^2*EX2+FG2^2*EY2+FH2^2*EZ2+2*FF2*FG2*FA2+2*FF2*FH2*FB2+2*FG2*FH2*FC2)</f>
        <v>0.31544778856608574</v>
      </c>
    </row>
    <row r="3" spans="1:171" x14ac:dyDescent="0.25">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9">1/((0.33333333/(H3^2))-(1.33333333333333/(I3^2))+(0.66666666666667/(F3^2)))</f>
        <v>7.4070744921295117E-2</v>
      </c>
      <c r="K3" s="13">
        <f t="shared" ref="K3:K23" si="60">(J3*(E3-E2)+0.5*(E3-E2)*(J2-J3))</f>
        <v>9.9364339781836605E-3</v>
      </c>
      <c r="L3" s="13">
        <f>SUM(K$3:$K3)</f>
        <v>9.9364339781836605E-3</v>
      </c>
      <c r="M3" s="72">
        <f>$B$38/((L3*$B$43+1))</f>
        <v>0.70380364224676162</v>
      </c>
      <c r="N3" s="12">
        <f t="shared" ref="N3:N23" si="61">(6*F3*G3*SQRT(9*(G3^6)*(0.0002^2)+16*(F3^6)*(0.0002)^2))/((4*F3^2 - 3*G3^2)^2)</f>
        <v>1.6605783510823934E-4</v>
      </c>
      <c r="O3" s="21">
        <f t="shared" ref="O3:O23" si="62">(((E3-E2)/2)^2)*(N3^2+N4^2)</f>
        <v>2.216109036549626E-10</v>
      </c>
      <c r="P3" s="11">
        <f>SUM(O$2:$O3)</f>
        <v>2.216109036549626E-10</v>
      </c>
      <c r="Q3" s="12">
        <f t="shared" ref="Q3:Q23" si="63">SQRT(((M30*0.001)^2)+((N30*0.02)^2)+((O30*P3)^2))</f>
        <v>1.0002789694172707E-3</v>
      </c>
      <c r="R3" s="3">
        <f t="shared" si="0"/>
        <v>0.34862179129078985</v>
      </c>
      <c r="S3" s="1">
        <f t="shared" ref="S3:S23" si="64">3*Q3/M3*R3</f>
        <v>1.4864332542903601E-3</v>
      </c>
      <c r="T3" s="1">
        <f t="shared" ref="T3:T23" si="65">R3/$R$2</f>
        <v>0.99916348157345281</v>
      </c>
      <c r="U3" s="1">
        <f t="shared" ref="U3:U23" si="66">T3*3*SQRT((Q3/M3)^2)+(0.001/$M$2)^2</f>
        <v>4.2621926503009083E-3</v>
      </c>
      <c r="V3" s="11">
        <f t="shared" ref="V3:V23" si="67">$B$40/((M3/$B$38)^3)</f>
        <v>6.0950986623426733</v>
      </c>
      <c r="W3" s="12">
        <f t="shared" ref="W3:W23" si="68">(SQRT((0.02/$V$2)^2+(9*(0.001/$M$2)^2)+(9*(Q3/M3)^2))*V3)</f>
        <v>4.1840907213923591E-2</v>
      </c>
      <c r="X3" s="13">
        <f t="shared" si="1"/>
        <v>-2.7903400018947089E-4</v>
      </c>
      <c r="Y3" s="12">
        <f t="shared" ref="Y3:Y23" si="69">(SQRT((Q3/M3)^2 + (0.0002/F3)^2))*AE3</f>
        <v>1.0502353120040666E-2</v>
      </c>
      <c r="Z3" s="12" t="e">
        <f>SQRT((Q3/M3)^2 + (0.0002/G3)^2)*#REF!</f>
        <v>#REF!</v>
      </c>
      <c r="AA3" s="12">
        <f t="shared" ref="AA3:AA23" si="70">SQRT((Q3/M3)^2 + (0.0002/H3)^2)*AC3</f>
        <v>9.9751241196038773E-3</v>
      </c>
      <c r="AB3" s="12">
        <f t="shared" si="2"/>
        <v>4.3421962435553864E-3</v>
      </c>
      <c r="AC3" s="14">
        <f t="shared" ref="AC3:AC23" si="71">2*M3/H3</f>
        <v>6.0148708887662519</v>
      </c>
      <c r="AD3" s="1">
        <f t="shared" ref="AD3:AD23" si="72">2*M3/I3</f>
        <v>2.9318578508530244</v>
      </c>
      <c r="AE3" s="1">
        <f t="shared" ref="AE3:AE23" si="73">2*M3/F3</f>
        <v>6.2631105239510712</v>
      </c>
      <c r="AF3" s="14">
        <f t="shared" si="3"/>
        <v>220.51257414549187</v>
      </c>
      <c r="AG3" s="14">
        <f t="shared" si="4"/>
        <v>52.392190919947581</v>
      </c>
      <c r="AH3" s="14">
        <f t="shared" si="5"/>
        <v>239.08971337136342</v>
      </c>
      <c r="AI3" s="14">
        <f t="shared" ref="AI3:AI23" si="74">AG3+0.5*AF3-AH3*0.5</f>
        <v>43.103621307011821</v>
      </c>
      <c r="AJ3" s="14">
        <f t="shared" si="6"/>
        <v>125.01676191853247</v>
      </c>
      <c r="AK3" s="7"/>
      <c r="AL3" s="12">
        <f t="shared" ref="AL3:AL23" si="75">M3</f>
        <v>0.70380364224676162</v>
      </c>
      <c r="AM3" s="14">
        <f t="shared" si="7"/>
        <v>0.34862179129078985</v>
      </c>
      <c r="AN3" s="14">
        <f t="shared" ref="AN3:AN23" si="76">$AM$2/AM3</f>
        <v>1.0008372187754799</v>
      </c>
      <c r="AO3" s="11">
        <f>$AO$2/((AL3/$AL$2)^3)</f>
        <v>6.0950986623426733</v>
      </c>
      <c r="AP3" s="14">
        <f t="shared" si="8"/>
        <v>0.13603876536099455</v>
      </c>
      <c r="AQ3" s="14">
        <f t="shared" si="9"/>
        <v>-2.7903399893347558E-4</v>
      </c>
      <c r="AR3" s="82">
        <f t="shared" si="10"/>
        <v>241.64557687998987</v>
      </c>
      <c r="AS3" s="82">
        <f t="shared" si="11"/>
        <v>44.689399205252258</v>
      </c>
      <c r="AT3" s="82">
        <f t="shared" si="12"/>
        <v>123.39632597453401</v>
      </c>
      <c r="AU3" s="14">
        <f t="shared" si="13"/>
        <v>2.5558635086264587</v>
      </c>
      <c r="AV3" s="14">
        <f t="shared" si="14"/>
        <v>1.5857778982404369</v>
      </c>
      <c r="AW3" s="14">
        <f t="shared" si="15"/>
        <v>-1.6204359439984586</v>
      </c>
      <c r="AX3" s="11">
        <f t="shared" ref="AX3:AX23" si="77">AP3-A3</f>
        <v>6.9058572417192154E-3</v>
      </c>
      <c r="AY3" s="92"/>
      <c r="AZ3" s="2"/>
      <c r="BA3" s="12">
        <v>0.22474572005565327</v>
      </c>
      <c r="BB3" s="12">
        <v>0.50723364660407455</v>
      </c>
      <c r="BC3" s="12">
        <f t="shared" ref="BC3:BC23" si="78">C3*0.704/0.607</f>
        <v>0.23402119688428533</v>
      </c>
      <c r="BD3" s="12">
        <f t="shared" ref="BD3:BD23" si="79">D3*0.704/0.607</f>
        <v>0.48010761643303401</v>
      </c>
      <c r="BE3" s="12">
        <v>0.70380364224676162</v>
      </c>
      <c r="BF3" s="14">
        <f t="shared" si="16"/>
        <v>0.34862179129078985</v>
      </c>
      <c r="BG3" s="14">
        <f t="shared" si="17"/>
        <v>1.0008372187754799</v>
      </c>
      <c r="BH3" s="11">
        <f t="shared" ref="BH3:BH23" si="80">$BH$2/((BE3/$BE$2)^3)</f>
        <v>6.0950986623426733</v>
      </c>
      <c r="BI3" s="11">
        <f t="shared" si="18"/>
        <v>0.13602002117165876</v>
      </c>
      <c r="BJ3" s="12">
        <f t="shared" si="19"/>
        <v>-2.7903399893347558E-4</v>
      </c>
      <c r="BK3" s="11">
        <f t="shared" si="20"/>
        <v>6.8871130523834312E-3</v>
      </c>
      <c r="BL3" s="14">
        <f>2*BE3/BC3</f>
        <v>6.0148708887662519</v>
      </c>
      <c r="BM3" s="14">
        <f>2*BE3/BD3</f>
        <v>2.9318578508530244</v>
      </c>
      <c r="BN3" s="14">
        <f>2*BE3/BA3</f>
        <v>6.2631105239510712</v>
      </c>
      <c r="BO3" s="14">
        <f t="shared" ref="BO3:BO23" si="81">BH3*BL3^2</f>
        <v>220.51257414549187</v>
      </c>
      <c r="BP3" s="14">
        <f t="shared" ref="BP3:BP23" si="82">BH3*BM3^2</f>
        <v>52.392190919947581</v>
      </c>
      <c r="BQ3" s="14">
        <f t="shared" ref="BQ3:BQ23" si="83">BH3*BN3^2</f>
        <v>239.08971337136342</v>
      </c>
      <c r="BR3" s="14">
        <f t="shared" ref="BR3:BR23" si="84">BP3+0.5*BO3-BQ3*0.5</f>
        <v>43.103621307011821</v>
      </c>
      <c r="BS3" s="14">
        <f t="shared" si="21"/>
        <v>125.01676191853247</v>
      </c>
      <c r="BT3" s="18">
        <f t="shared" si="22"/>
        <v>241.61175209888108</v>
      </c>
      <c r="BU3" s="18">
        <f t="shared" si="23"/>
        <v>44.711131527122113</v>
      </c>
      <c r="BV3" s="18">
        <f t="shared" si="24"/>
        <v>123.38530193440683</v>
      </c>
      <c r="BW3" s="11">
        <f t="shared" ref="BW3:BY23" si="85">BT3-BQ3</f>
        <v>2.5220387275176677</v>
      </c>
      <c r="BX3" s="11">
        <f t="shared" si="25"/>
        <v>1.6075102201102922</v>
      </c>
      <c r="BY3" s="11">
        <f t="shared" si="25"/>
        <v>-1.631459984125641</v>
      </c>
      <c r="BZ3" s="11">
        <f t="shared" si="26"/>
        <v>162.79411865589825</v>
      </c>
      <c r="CA3" s="11">
        <f t="shared" si="27"/>
        <v>6.2960570899177926</v>
      </c>
      <c r="CB3" s="11">
        <f t="shared" si="28"/>
        <v>2.7084290322886115</v>
      </c>
      <c r="CC3" s="11">
        <f t="shared" si="29"/>
        <v>6.0406792311385997</v>
      </c>
      <c r="CD3" s="11">
        <f t="shared" si="30"/>
        <v>2.9851054626277249</v>
      </c>
      <c r="CE3" s="11">
        <f t="shared" si="31"/>
        <v>50.471968949168115</v>
      </c>
      <c r="CF3" s="11">
        <f t="shared" si="32"/>
        <v>49.538910957051073</v>
      </c>
      <c r="CG3" s="11">
        <f t="shared" si="33"/>
        <v>50.005439953109594</v>
      </c>
      <c r="CH3" s="14">
        <f t="shared" si="34"/>
        <v>3.2946565966721408E-2</v>
      </c>
      <c r="CI3" s="14" t="e">
        <f>CB3-#REF!</f>
        <v>#REF!</v>
      </c>
      <c r="CJ3" s="14">
        <f t="shared" si="35"/>
        <v>2.5808342372347859E-2</v>
      </c>
      <c r="CK3" s="14">
        <f t="shared" si="36"/>
        <v>5.3247611774700498E-2</v>
      </c>
      <c r="CL3" s="19"/>
      <c r="CM3" s="12"/>
      <c r="CP3" s="17"/>
      <c r="CQ3" s="20"/>
      <c r="CR3" s="20"/>
      <c r="CS3" s="21"/>
      <c r="CZ3" s="14"/>
      <c r="DA3" s="14"/>
      <c r="DB3" s="14"/>
      <c r="DC3" s="14"/>
      <c r="DH3" s="12"/>
      <c r="ET3" s="1">
        <f t="shared" si="37"/>
        <v>3.0964294239975182E-5</v>
      </c>
      <c r="EU3" s="1">
        <f t="shared" si="38"/>
        <v>0.18107517158395986</v>
      </c>
      <c r="EV3" s="1">
        <f t="shared" si="39"/>
        <v>0.14206147131324082</v>
      </c>
      <c r="EW3" s="1">
        <f t="shared" si="40"/>
        <v>1.9053550322245402E-3</v>
      </c>
      <c r="EX3" s="1">
        <f t="shared" si="41"/>
        <v>1.9511147136484228</v>
      </c>
      <c r="EY3" s="1">
        <f t="shared" si="42"/>
        <v>0.57235244229696436</v>
      </c>
      <c r="EZ3" s="1">
        <f t="shared" si="43"/>
        <v>0.1402187644965126</v>
      </c>
      <c r="FA3" s="1">
        <f t="shared" si="44"/>
        <v>1.0160672076914943</v>
      </c>
      <c r="FB3" s="1">
        <f t="shared" si="45"/>
        <v>0.22856905013877091</v>
      </c>
      <c r="FC3" s="1">
        <f t="shared" si="46"/>
        <v>0.15329238817138147</v>
      </c>
      <c r="FD3" s="1">
        <f t="shared" si="47"/>
        <v>0.14030129419147064</v>
      </c>
      <c r="FE3" s="1">
        <f t="shared" si="48"/>
        <v>0.73698861722837083</v>
      </c>
      <c r="FF3" s="1">
        <f t="shared" si="49"/>
        <v>0.17015064709573532</v>
      </c>
      <c r="FG3" s="1">
        <f t="shared" si="50"/>
        <v>-0.17015064709573532</v>
      </c>
      <c r="FH3" s="1">
        <f t="shared" si="51"/>
        <v>0.66849430861418546</v>
      </c>
      <c r="FI3" s="1">
        <f t="shared" si="52"/>
        <v>1.396823078864472</v>
      </c>
      <c r="FJ3" s="1">
        <f t="shared" si="53"/>
        <v>0.75653978236241115</v>
      </c>
      <c r="FK3" s="1">
        <f t="shared" si="54"/>
        <v>0.37445796092019812</v>
      </c>
      <c r="FL3" s="1">
        <f t="shared" si="55"/>
        <v>0.96060127660880867</v>
      </c>
      <c r="FM3" s="1">
        <f t="shared" si="56"/>
        <v>0.29698226161408015</v>
      </c>
      <c r="FN3" s="1">
        <f t="shared" si="57"/>
        <v>0.31843214704727224</v>
      </c>
      <c r="FO3" s="1">
        <f t="shared" si="58"/>
        <v>0.30661205809873437</v>
      </c>
    </row>
    <row r="4" spans="1:171" x14ac:dyDescent="0.25">
      <c r="A4" s="11">
        <v>1.635683502844302</v>
      </c>
      <c r="B4" s="3">
        <v>60</v>
      </c>
      <c r="C4" s="12">
        <v>0.19870445393449762</v>
      </c>
      <c r="D4" s="12">
        <v>0.40424966477611346</v>
      </c>
      <c r="E4" s="11">
        <v>1.635683502844302</v>
      </c>
      <c r="F4" s="12">
        <v>0.22094572005565327</v>
      </c>
      <c r="G4" s="12">
        <v>0.50583364660407459</v>
      </c>
      <c r="H4" s="12">
        <f t="shared" ref="H4:H23" si="86">C4*0.704/0.607</f>
        <v>0.23045788397015871</v>
      </c>
      <c r="I4" s="12">
        <f t="shared" ref="I4:I23" si="87">D4*0.704/0.607</f>
        <v>0.46884969357888606</v>
      </c>
      <c r="J4" s="12">
        <f t="shared" si="59"/>
        <v>7.2113355241870847E-2</v>
      </c>
      <c r="K4" s="13">
        <f t="shared" si="60"/>
        <v>0.11011687152008026</v>
      </c>
      <c r="L4" s="13">
        <f>SUM(K$3:$K4)</f>
        <v>0.12005330549826393</v>
      </c>
      <c r="M4" s="72">
        <f t="shared" ref="M4:M23" si="88">$B$38/((L4*$B$43+1))</f>
        <v>0.70163489028365256</v>
      </c>
      <c r="N4" s="12">
        <f t="shared" si="61"/>
        <v>1.5994952484815503E-4</v>
      </c>
      <c r="O4" s="21">
        <f t="shared" si="62"/>
        <v>2.8357893464738583E-8</v>
      </c>
      <c r="P4" s="11">
        <f>SUM(O$2:$O4)</f>
        <v>2.8579504368393547E-8</v>
      </c>
      <c r="Q4" s="12">
        <f t="shared" si="63"/>
        <v>1.0033668201493557E-3</v>
      </c>
      <c r="R4" s="3">
        <f t="shared" si="0"/>
        <v>0.34540890610591546</v>
      </c>
      <c r="S4" s="1">
        <f t="shared" si="64"/>
        <v>1.4818469288092979E-3</v>
      </c>
      <c r="T4" s="1">
        <f t="shared" si="65"/>
        <v>0.98995522888411591</v>
      </c>
      <c r="U4" s="1">
        <f t="shared" si="66"/>
        <v>4.2490480648224149E-3</v>
      </c>
      <c r="V4" s="11">
        <f t="shared" si="67"/>
        <v>6.1517933562154017</v>
      </c>
      <c r="W4" s="12">
        <f t="shared" si="68"/>
        <v>4.2331093908301129E-2</v>
      </c>
      <c r="X4" s="13">
        <f t="shared" si="1"/>
        <v>-3.3765366893785398E-3</v>
      </c>
      <c r="Y4" s="12">
        <f t="shared" si="69"/>
        <v>1.0749115928116511E-2</v>
      </c>
      <c r="Z4" s="12" t="e">
        <f>SQRT((Q4/M4)^2 + (0.0002/G4)^2)*#REF!</f>
        <v>#REF!</v>
      </c>
      <c r="AA4" s="12">
        <f t="shared" si="70"/>
        <v>1.0185582388677557E-2</v>
      </c>
      <c r="AB4" s="12">
        <f t="shared" si="2"/>
        <v>4.4664880582922749E-3</v>
      </c>
      <c r="AC4" s="14">
        <f t="shared" si="71"/>
        <v>6.0890508772917933</v>
      </c>
      <c r="AD4" s="1">
        <f t="shared" si="72"/>
        <v>2.993005647195115</v>
      </c>
      <c r="AE4" s="1">
        <f t="shared" si="73"/>
        <v>6.3511969374823831</v>
      </c>
      <c r="AF4" s="14">
        <f t="shared" si="3"/>
        <v>228.08721604993087</v>
      </c>
      <c r="AG4" s="14">
        <f t="shared" si="4"/>
        <v>55.108274278947263</v>
      </c>
      <c r="AH4" s="14">
        <f t="shared" si="5"/>
        <v>248.14921048247925</v>
      </c>
      <c r="AI4" s="14">
        <f t="shared" si="74"/>
        <v>45.07727706267309</v>
      </c>
      <c r="AJ4" s="14">
        <f t="shared" si="6"/>
        <v>127.90166470831053</v>
      </c>
      <c r="AK4" s="7"/>
      <c r="AL4" s="12">
        <f t="shared" si="75"/>
        <v>0.70163489028365256</v>
      </c>
      <c r="AM4" s="14">
        <f t="shared" si="7"/>
        <v>0.34540890610591546</v>
      </c>
      <c r="AN4" s="14">
        <f t="shared" si="76"/>
        <v>1.0101466923177997</v>
      </c>
      <c r="AO4" s="11">
        <f t="shared" ref="AO4:AO23" si="89">$AO$2/((AL4/$AL$2)^3)</f>
        <v>6.1517933562154017</v>
      </c>
      <c r="AP4" s="14">
        <f t="shared" si="8"/>
        <v>1.6699228379298867</v>
      </c>
      <c r="AQ4" s="14">
        <f t="shared" si="9"/>
        <v>-3.3765366741328462E-3</v>
      </c>
      <c r="AR4" s="82">
        <f t="shared" si="10"/>
        <v>249.75543222817328</v>
      </c>
      <c r="AS4" s="82">
        <f t="shared" si="11"/>
        <v>45.257900031873831</v>
      </c>
      <c r="AT4" s="82">
        <f t="shared" si="12"/>
        <v>127.94886039801258</v>
      </c>
      <c r="AU4" s="14">
        <f t="shared" si="13"/>
        <v>1.6062217456940289</v>
      </c>
      <c r="AV4" s="14">
        <f t="shared" si="14"/>
        <v>0.18062296920074061</v>
      </c>
      <c r="AW4" s="14">
        <f t="shared" si="15"/>
        <v>4.7195689702050458E-2</v>
      </c>
      <c r="AX4" s="11">
        <f t="shared" si="77"/>
        <v>3.4239335085584743E-2</v>
      </c>
      <c r="AY4" s="92"/>
      <c r="AZ4" s="2"/>
      <c r="BA4" s="12">
        <v>0.22094572005565327</v>
      </c>
      <c r="BB4" s="12">
        <v>0.50583364660407459</v>
      </c>
      <c r="BC4" s="12">
        <f t="shared" si="78"/>
        <v>0.23045788397015871</v>
      </c>
      <c r="BD4" s="12">
        <f t="shared" si="79"/>
        <v>0.46884969357888606</v>
      </c>
      <c r="BE4" s="12">
        <v>0.70163489028365256</v>
      </c>
      <c r="BF4" s="14">
        <f t="shared" si="16"/>
        <v>0.34540890610591546</v>
      </c>
      <c r="BG4" s="14">
        <f t="shared" si="17"/>
        <v>1.0101466923177997</v>
      </c>
      <c r="BH4" s="11">
        <f t="shared" si="80"/>
        <v>6.1517933562154017</v>
      </c>
      <c r="BI4" s="11">
        <f t="shared" si="18"/>
        <v>1.6701274713589305</v>
      </c>
      <c r="BJ4" s="12">
        <f t="shared" si="19"/>
        <v>-3.3765366741328462E-3</v>
      </c>
      <c r="BK4" s="11">
        <f t="shared" si="20"/>
        <v>3.4443968514628498E-2</v>
      </c>
      <c r="BL4" s="14">
        <f>2*BE4/BC4</f>
        <v>6.0890508772917933</v>
      </c>
      <c r="BM4" s="14">
        <f>2*BE4/BD4</f>
        <v>2.993005647195115</v>
      </c>
      <c r="BN4" s="14">
        <f t="shared" ref="BN4:BN23" si="90">2*BE4/BA4</f>
        <v>6.3511969374823831</v>
      </c>
      <c r="BO4" s="14">
        <f t="shared" si="81"/>
        <v>228.08721604993087</v>
      </c>
      <c r="BP4" s="14">
        <f t="shared" si="82"/>
        <v>55.108274278947263</v>
      </c>
      <c r="BQ4" s="14">
        <f t="shared" si="83"/>
        <v>248.14921048247925</v>
      </c>
      <c r="BR4" s="14">
        <f t="shared" si="84"/>
        <v>45.07727706267309</v>
      </c>
      <c r="BS4" s="14">
        <f t="shared" si="21"/>
        <v>127.90166470831053</v>
      </c>
      <c r="BT4" s="18">
        <f t="shared" si="22"/>
        <v>249.84220395215129</v>
      </c>
      <c r="BU4" s="18">
        <f t="shared" si="23"/>
        <v>45.278350288079423</v>
      </c>
      <c r="BV4" s="18">
        <f t="shared" si="24"/>
        <v>128.00718189239268</v>
      </c>
      <c r="BW4" s="11">
        <f t="shared" si="85"/>
        <v>1.6929934696720466</v>
      </c>
      <c r="BX4" s="11">
        <f t="shared" si="25"/>
        <v>0.20107322540633277</v>
      </c>
      <c r="BY4" s="11">
        <f t="shared" si="25"/>
        <v>0.10551718408214583</v>
      </c>
      <c r="BZ4" s="11">
        <f t="shared" si="26"/>
        <v>168.61885591231223</v>
      </c>
      <c r="CA4" s="11">
        <f t="shared" si="27"/>
        <v>6.3728255726717089</v>
      </c>
      <c r="CB4" s="11">
        <f t="shared" si="28"/>
        <v>2.7129664815847074</v>
      </c>
      <c r="CC4" s="11">
        <f t="shared" si="29"/>
        <v>6.1010893281552185</v>
      </c>
      <c r="CD4" s="11">
        <f t="shared" si="30"/>
        <v>3.0091521577046398</v>
      </c>
      <c r="CE4" s="11">
        <f t="shared" si="31"/>
        <v>51.53401458479938</v>
      </c>
      <c r="CF4" s="11">
        <f t="shared" si="32"/>
        <v>50.460139346437245</v>
      </c>
      <c r="CG4" s="11">
        <f t="shared" si="33"/>
        <v>50.997076965618312</v>
      </c>
      <c r="CH4" s="14">
        <f t="shared" si="34"/>
        <v>2.1628635189325784E-2</v>
      </c>
      <c r="CI4" s="14" t="e">
        <f>CB4-#REF!</f>
        <v>#REF!</v>
      </c>
      <c r="CJ4" s="14">
        <f t="shared" si="35"/>
        <v>1.2038450863425254E-2</v>
      </c>
      <c r="CK4" s="14">
        <f t="shared" si="36"/>
        <v>1.614651050952487E-2</v>
      </c>
      <c r="CL4" s="19"/>
      <c r="CM4" s="12"/>
      <c r="CP4" s="17"/>
      <c r="CQ4" s="20"/>
      <c r="CR4" s="20"/>
      <c r="CS4" s="21"/>
      <c r="CZ4" s="14"/>
      <c r="DA4" s="14"/>
      <c r="DB4" s="14"/>
      <c r="DC4" s="14"/>
      <c r="DH4" s="12"/>
      <c r="ET4" s="1">
        <f t="shared" si="37"/>
        <v>3.0989368495790838E-5</v>
      </c>
      <c r="EU4" s="1">
        <f t="shared" si="38"/>
        <v>0.20182482830678325</v>
      </c>
      <c r="EV4" s="1">
        <f t="shared" si="39"/>
        <v>0.15672516349685811</v>
      </c>
      <c r="EW4" s="1">
        <f t="shared" si="40"/>
        <v>2.2104786884734324E-3</v>
      </c>
      <c r="EX4" s="1">
        <f t="shared" si="41"/>
        <v>2.1100891117700082</v>
      </c>
      <c r="EY4" s="1">
        <f t="shared" si="42"/>
        <v>0.60542940456263539</v>
      </c>
      <c r="EZ4" s="1">
        <f t="shared" si="43"/>
        <v>0.15481716196737885</v>
      </c>
      <c r="FA4" s="1">
        <f t="shared" si="44"/>
        <v>1.0844745946810246</v>
      </c>
      <c r="FB4" s="1">
        <f t="shared" si="45"/>
        <v>0.2457312751302726</v>
      </c>
      <c r="FC4" s="1">
        <f t="shared" si="46"/>
        <v>0.16297205300316076</v>
      </c>
      <c r="FD4" s="1">
        <f t="shared" si="47"/>
        <v>0.13882501816746079</v>
      </c>
      <c r="FE4" s="1">
        <f t="shared" si="48"/>
        <v>0.74091109204348149</v>
      </c>
      <c r="FF4" s="1">
        <f t="shared" si="49"/>
        <v>0.1694125090837304</v>
      </c>
      <c r="FG4" s="1">
        <f t="shared" si="50"/>
        <v>-0.1694125090837304</v>
      </c>
      <c r="FH4" s="1">
        <f t="shared" si="51"/>
        <v>0.67045554602174073</v>
      </c>
      <c r="FI4" s="1">
        <f t="shared" si="52"/>
        <v>1.4526145778457575</v>
      </c>
      <c r="FJ4" s="1">
        <f t="shared" si="53"/>
        <v>0.77809344205091169</v>
      </c>
      <c r="FK4" s="1">
        <f t="shared" si="54"/>
        <v>0.39346812064941022</v>
      </c>
      <c r="FL4" s="1">
        <f t="shared" si="55"/>
        <v>0.99273500485301536</v>
      </c>
      <c r="FM4" s="1">
        <f t="shared" si="56"/>
        <v>0.31218450425603611</v>
      </c>
      <c r="FN4" s="1">
        <f t="shared" si="57"/>
        <v>0.33547755389943612</v>
      </c>
      <c r="FO4" s="1">
        <f t="shared" si="58"/>
        <v>0.32261277349573597</v>
      </c>
    </row>
    <row r="5" spans="1:171" x14ac:dyDescent="0.25">
      <c r="A5" s="11">
        <v>2.4965695569728967</v>
      </c>
      <c r="B5" s="3">
        <v>90</v>
      </c>
      <c r="C5" s="12">
        <v>0.19712306763281529</v>
      </c>
      <c r="D5" s="12">
        <v>0.40093724266502045</v>
      </c>
      <c r="E5" s="11">
        <v>2.4965695569728967</v>
      </c>
      <c r="F5" s="12">
        <v>0.21874572005565329</v>
      </c>
      <c r="G5" s="12">
        <v>0.50583364660407459</v>
      </c>
      <c r="H5" s="12">
        <f t="shared" si="86"/>
        <v>0.22862378849011855</v>
      </c>
      <c r="I5" s="12">
        <f t="shared" si="87"/>
        <v>0.46500793877458718</v>
      </c>
      <c r="J5" s="12">
        <f t="shared" si="59"/>
        <v>7.0703364222383283E-2</v>
      </c>
      <c r="K5" s="13">
        <f t="shared" si="60"/>
        <v>6.1474461041586104E-2</v>
      </c>
      <c r="L5" s="13">
        <f>SUM(K$3:$K5)</f>
        <v>0.18152776653985003</v>
      </c>
      <c r="M5" s="72">
        <f t="shared" si="88"/>
        <v>0.70042995436291211</v>
      </c>
      <c r="N5" s="12">
        <f t="shared" si="61"/>
        <v>1.5618171297467797E-4</v>
      </c>
      <c r="O5" s="21">
        <f t="shared" si="62"/>
        <v>8.8434243448866546E-9</v>
      </c>
      <c r="P5" s="11">
        <f>SUM(O$2:$O5)</f>
        <v>3.7422928713280205E-8</v>
      </c>
      <c r="Q5" s="12">
        <f t="shared" si="63"/>
        <v>1.0050873477764493E-3</v>
      </c>
      <c r="R5" s="3">
        <f t="shared" si="0"/>
        <v>0.34363242120054627</v>
      </c>
      <c r="S5" s="1">
        <f t="shared" si="64"/>
        <v>1.4792939537341897E-3</v>
      </c>
      <c r="T5" s="1">
        <f t="shared" si="65"/>
        <v>0.98486375472112864</v>
      </c>
      <c r="U5" s="1">
        <f t="shared" si="66"/>
        <v>4.2417311399251768E-3</v>
      </c>
      <c r="V5" s="11">
        <f t="shared" si="67"/>
        <v>6.1835964323049204</v>
      </c>
      <c r="W5" s="12">
        <f t="shared" si="68"/>
        <v>4.2606856297887949E-2</v>
      </c>
      <c r="X5" s="13">
        <f t="shared" si="1"/>
        <v>-5.1099239506594563E-3</v>
      </c>
      <c r="Y5" s="12">
        <f t="shared" si="69"/>
        <v>1.0896412222038028E-2</v>
      </c>
      <c r="Z5" s="12" t="e">
        <f>SQRT((Q5/M5)^2 + (0.0002/G5)^2)*#REF!</f>
        <v>#REF!</v>
      </c>
      <c r="AA5" s="12">
        <f t="shared" si="70"/>
        <v>1.0297568575553823E-2</v>
      </c>
      <c r="AB5" s="12">
        <f t="shared" si="2"/>
        <v>4.5128868888541446E-3</v>
      </c>
      <c r="AC5" s="14">
        <f t="shared" si="71"/>
        <v>6.1273584782117778</v>
      </c>
      <c r="AD5" s="1">
        <f t="shared" si="72"/>
        <v>3.0125505220780577</v>
      </c>
      <c r="AE5" s="1">
        <f t="shared" si="73"/>
        <v>6.4040563096247887</v>
      </c>
      <c r="AF5" s="14">
        <f t="shared" si="3"/>
        <v>232.16017180028271</v>
      </c>
      <c r="AG5" s="14">
        <f t="shared" si="4"/>
        <v>56.118986084946535</v>
      </c>
      <c r="AH5" s="14">
        <f t="shared" si="5"/>
        <v>253.60126865599656</v>
      </c>
      <c r="AI5" s="14">
        <f t="shared" si="74"/>
        <v>45.398437657089616</v>
      </c>
      <c r="AJ5" s="14">
        <f t="shared" si="6"/>
        <v>130.64274805824655</v>
      </c>
      <c r="AK5" s="7"/>
      <c r="AL5" s="12">
        <f t="shared" si="75"/>
        <v>0.70042995436291211</v>
      </c>
      <c r="AM5" s="14">
        <f t="shared" si="7"/>
        <v>0.34363242120054627</v>
      </c>
      <c r="AN5" s="14">
        <f t="shared" si="76"/>
        <v>1.0153688722996586</v>
      </c>
      <c r="AO5" s="11">
        <f t="shared" si="89"/>
        <v>6.1835964323049204</v>
      </c>
      <c r="AP5" s="14">
        <f t="shared" si="8"/>
        <v>2.5474259730265265</v>
      </c>
      <c r="AQ5" s="14">
        <f t="shared" si="9"/>
        <v>-5.1099239275476105E-3</v>
      </c>
      <c r="AR5" s="82">
        <f t="shared" si="10"/>
        <v>254.35352519208459</v>
      </c>
      <c r="AS5" s="82">
        <f t="shared" si="11"/>
        <v>45.565147957531401</v>
      </c>
      <c r="AT5" s="82">
        <f t="shared" si="12"/>
        <v>130.53997970363397</v>
      </c>
      <c r="AU5" s="14">
        <f t="shared" si="13"/>
        <v>0.75225653608802645</v>
      </c>
      <c r="AV5" s="14">
        <f t="shared" si="14"/>
        <v>0.16671030044178536</v>
      </c>
      <c r="AW5" s="14">
        <f t="shared" si="15"/>
        <v>-0.10276835461257861</v>
      </c>
      <c r="AX5" s="11">
        <f t="shared" si="77"/>
        <v>5.0856416053629783E-2</v>
      </c>
      <c r="AY5" s="92"/>
      <c r="AZ5" s="2"/>
      <c r="BA5" s="12">
        <v>0.21874572005565329</v>
      </c>
      <c r="BB5" s="12">
        <v>0.50583364660407459</v>
      </c>
      <c r="BC5" s="12">
        <f t="shared" si="78"/>
        <v>0.22862378849011855</v>
      </c>
      <c r="BD5" s="12">
        <f t="shared" si="79"/>
        <v>0.46500793877458718</v>
      </c>
      <c r="BE5" s="12">
        <v>0.70042995436291211</v>
      </c>
      <c r="BF5" s="14">
        <f t="shared" si="16"/>
        <v>0.34363242120054627</v>
      </c>
      <c r="BG5" s="14">
        <f t="shared" si="17"/>
        <v>1.0153688722996586</v>
      </c>
      <c r="BH5" s="11">
        <f t="shared" si="80"/>
        <v>6.1835964323049204</v>
      </c>
      <c r="BI5" s="11">
        <f t="shared" si="18"/>
        <v>2.5481098905065989</v>
      </c>
      <c r="BJ5" s="12">
        <f t="shared" si="19"/>
        <v>-5.1099239275476105E-3</v>
      </c>
      <c r="BK5" s="11">
        <f t="shared" si="20"/>
        <v>5.1540333533702132E-2</v>
      </c>
      <c r="BL5" s="14">
        <f t="shared" ref="BL5:BL23" si="91">2*BE5/BC5</f>
        <v>6.1273584782117778</v>
      </c>
      <c r="BM5" s="14">
        <f t="shared" ref="BM5:BM23" si="92">2*BE5/BD5</f>
        <v>3.0125505220780577</v>
      </c>
      <c r="BN5" s="14">
        <f t="shared" si="90"/>
        <v>6.4040563096247887</v>
      </c>
      <c r="BO5" s="14">
        <f t="shared" si="81"/>
        <v>232.16017180028271</v>
      </c>
      <c r="BP5" s="14">
        <f t="shared" si="82"/>
        <v>56.118986084946535</v>
      </c>
      <c r="BQ5" s="14">
        <f t="shared" si="83"/>
        <v>253.60126865599656</v>
      </c>
      <c r="BR5" s="14">
        <f t="shared" si="84"/>
        <v>45.398437657089616</v>
      </c>
      <c r="BS5" s="14">
        <f t="shared" si="21"/>
        <v>130.64274805824655</v>
      </c>
      <c r="BT5" s="18">
        <f t="shared" si="22"/>
        <v>254.51111942749955</v>
      </c>
      <c r="BU5" s="18">
        <f t="shared" si="23"/>
        <v>45.585200861877034</v>
      </c>
      <c r="BV5" s="18">
        <f t="shared" si="24"/>
        <v>130.63876959115518</v>
      </c>
      <c r="BW5" s="11">
        <f t="shared" si="85"/>
        <v>0.90985077150298821</v>
      </c>
      <c r="BX5" s="11">
        <f t="shared" si="25"/>
        <v>0.18676320478741815</v>
      </c>
      <c r="BY5" s="11">
        <f t="shared" si="25"/>
        <v>-3.9784670913718401E-3</v>
      </c>
      <c r="BZ5" s="11">
        <f t="shared" si="26"/>
        <v>171.92955286993663</v>
      </c>
      <c r="CA5" s="11">
        <f t="shared" si="27"/>
        <v>6.4155340099978595</v>
      </c>
      <c r="CB5" s="11">
        <f t="shared" si="28"/>
        <v>2.7151346203563542</v>
      </c>
      <c r="CC5" s="11">
        <f t="shared" si="29"/>
        <v>6.1346076397809757</v>
      </c>
      <c r="CD5" s="11">
        <f t="shared" si="30"/>
        <v>3.0223816899325677</v>
      </c>
      <c r="CE5" s="11">
        <f t="shared" si="31"/>
        <v>52.12559048439509</v>
      </c>
      <c r="CF5" s="11">
        <f t="shared" si="32"/>
        <v>50.96728856162143</v>
      </c>
      <c r="CG5" s="11">
        <f t="shared" si="33"/>
        <v>51.54643952300826</v>
      </c>
      <c r="CH5" s="14">
        <f t="shared" si="34"/>
        <v>1.1477700373070832E-2</v>
      </c>
      <c r="CI5" s="14" t="e">
        <f>CB5-#REF!</f>
        <v>#REF!</v>
      </c>
      <c r="CJ5" s="14">
        <f t="shared" si="35"/>
        <v>7.2491615691978595E-3</v>
      </c>
      <c r="CK5" s="14">
        <f t="shared" si="36"/>
        <v>9.8311678545099923E-3</v>
      </c>
      <c r="CL5" s="19"/>
      <c r="CM5" s="12"/>
      <c r="CP5" s="17"/>
      <c r="CQ5" s="20"/>
      <c r="CR5" s="20"/>
      <c r="CS5" s="21"/>
      <c r="CZ5" s="14"/>
      <c r="DA5" s="14"/>
      <c r="DB5" s="14"/>
      <c r="DC5" s="14"/>
      <c r="DH5" s="12"/>
      <c r="ET5" s="1">
        <f t="shared" si="37"/>
        <v>3.100345414761417E-5</v>
      </c>
      <c r="EU5" s="1">
        <f t="shared" si="38"/>
        <v>0.21505210472739716</v>
      </c>
      <c r="EV5" s="1">
        <f t="shared" si="39"/>
        <v>0.16498808486517677</v>
      </c>
      <c r="EW5" s="1">
        <f t="shared" si="40"/>
        <v>2.330337799518432E-3</v>
      </c>
      <c r="EX5" s="1">
        <f t="shared" si="41"/>
        <v>2.20899596078922</v>
      </c>
      <c r="EY5" s="1">
        <f t="shared" si="42"/>
        <v>0.63348370858255132</v>
      </c>
      <c r="EZ5" s="1">
        <f t="shared" si="43"/>
        <v>0.16123906665140308</v>
      </c>
      <c r="FA5" s="1">
        <f t="shared" si="44"/>
        <v>1.1347066584005201</v>
      </c>
      <c r="FB5" s="1">
        <f t="shared" si="45"/>
        <v>0.24941985851796253</v>
      </c>
      <c r="FC5" s="1">
        <f t="shared" si="46"/>
        <v>0.16670408214953228</v>
      </c>
      <c r="FD5" s="1">
        <f t="shared" si="47"/>
        <v>0.13603340987194307</v>
      </c>
      <c r="FE5" s="1">
        <f t="shared" si="48"/>
        <v>0.74841466988817063</v>
      </c>
      <c r="FF5" s="1">
        <f t="shared" si="49"/>
        <v>0.16801670493597154</v>
      </c>
      <c r="FG5" s="1">
        <f t="shared" si="50"/>
        <v>-0.16801670493597154</v>
      </c>
      <c r="FH5" s="1">
        <f t="shared" si="51"/>
        <v>0.67420733494408536</v>
      </c>
      <c r="FI5" s="1">
        <f t="shared" si="52"/>
        <v>1.4862691414374518</v>
      </c>
      <c r="FJ5" s="1">
        <f t="shared" si="53"/>
        <v>0.79591689803807486</v>
      </c>
      <c r="FK5" s="1">
        <f t="shared" si="54"/>
        <v>0.40154584626341622</v>
      </c>
      <c r="FL5" s="1">
        <f t="shared" si="55"/>
        <v>1.0155325602702536</v>
      </c>
      <c r="FM5" s="1">
        <f t="shared" si="56"/>
        <v>0.3175224471210778</v>
      </c>
      <c r="FN5" s="1">
        <f t="shared" si="57"/>
        <v>0.34316335058691849</v>
      </c>
      <c r="FO5" s="1">
        <f t="shared" si="58"/>
        <v>0.32895185367613589</v>
      </c>
    </row>
    <row r="6" spans="1:171" s="27" customFormat="1" x14ac:dyDescent="0.25">
      <c r="A6" s="22">
        <v>3.4435442165143506</v>
      </c>
      <c r="B6" s="23">
        <v>120</v>
      </c>
      <c r="C6" s="24">
        <v>0.19552144194493176</v>
      </c>
      <c r="D6" s="24">
        <v>0.39786989204462686</v>
      </c>
      <c r="E6" s="22">
        <v>3.4435442165143506</v>
      </c>
      <c r="F6" s="12">
        <v>0.21654572005565328</v>
      </c>
      <c r="G6" s="12">
        <v>0.50523364660407455</v>
      </c>
      <c r="H6" s="12">
        <f t="shared" si="86"/>
        <v>0.22676621932328164</v>
      </c>
      <c r="I6" s="12">
        <f t="shared" si="87"/>
        <v>0.46145041845044033</v>
      </c>
      <c r="J6" s="12">
        <f t="shared" si="59"/>
        <v>6.9263602307079564E-2</v>
      </c>
      <c r="K6" s="13">
        <f t="shared" si="60"/>
        <v>6.6272585238144083E-2</v>
      </c>
      <c r="L6" s="13">
        <f>SUM(K$3:$K6)</f>
        <v>0.24780035177799412</v>
      </c>
      <c r="M6" s="72">
        <f t="shared" si="88"/>
        <v>0.69913559945886694</v>
      </c>
      <c r="N6" s="12">
        <f t="shared" si="61"/>
        <v>1.5276458095088427E-4</v>
      </c>
      <c r="O6" s="21">
        <f t="shared" si="62"/>
        <v>1.0265500870415706E-8</v>
      </c>
      <c r="P6" s="11">
        <f>SUM(O$2:$O6)</f>
        <v>4.7688429583695914E-8</v>
      </c>
      <c r="Q6" s="12">
        <f t="shared" si="63"/>
        <v>1.0069391573161827E-3</v>
      </c>
      <c r="R6" s="3">
        <f t="shared" si="0"/>
        <v>0.34173089965408499</v>
      </c>
      <c r="S6" s="1">
        <f t="shared" si="64"/>
        <v>1.4765471436138631E-3</v>
      </c>
      <c r="T6" s="1">
        <f t="shared" si="65"/>
        <v>0.97941392072878242</v>
      </c>
      <c r="U6" s="1">
        <f t="shared" si="66"/>
        <v>4.2338586763224721E-3</v>
      </c>
      <c r="V6" s="11">
        <f t="shared" si="67"/>
        <v>6.2180043300471235</v>
      </c>
      <c r="W6" s="24">
        <f t="shared" si="68"/>
        <v>4.2905837948874162E-2</v>
      </c>
      <c r="X6" s="25">
        <f t="shared" si="1"/>
        <v>-6.9819405212937502E-3</v>
      </c>
      <c r="Y6" s="24">
        <f t="shared" si="69"/>
        <v>1.1047942591074972E-2</v>
      </c>
      <c r="Z6" s="24" t="e">
        <f>SQRT((Q6/M6)^2 + (0.0002/G6)^2)*#REF!</f>
        <v>#REF!</v>
      </c>
      <c r="AA6" s="24">
        <f t="shared" si="70"/>
        <v>1.0413689641293444E-2</v>
      </c>
      <c r="AB6" s="24">
        <f t="shared" si="2"/>
        <v>4.5575615511246285E-3</v>
      </c>
      <c r="AC6" s="28">
        <f t="shared" si="71"/>
        <v>6.1661353401334242</v>
      </c>
      <c r="AD6" s="27">
        <f t="shared" si="72"/>
        <v>3.0301656321239374</v>
      </c>
      <c r="AE6" s="27">
        <f t="shared" si="73"/>
        <v>6.4571638661727953</v>
      </c>
      <c r="AF6" s="14">
        <f t="shared" si="3"/>
        <v>236.41614188790973</v>
      </c>
      <c r="AG6" s="14">
        <f t="shared" si="4"/>
        <v>57.093117325973232</v>
      </c>
      <c r="AH6" s="14">
        <f t="shared" si="5"/>
        <v>259.25947412123412</v>
      </c>
      <c r="AI6" s="14">
        <f t="shared" si="74"/>
        <v>45.671451209311044</v>
      </c>
      <c r="AJ6" s="14">
        <f t="shared" si="6"/>
        <v>133.65157335262546</v>
      </c>
      <c r="AK6" s="7"/>
      <c r="AL6" s="12">
        <f t="shared" si="75"/>
        <v>0.69913559945886694</v>
      </c>
      <c r="AM6" s="28">
        <f t="shared" si="7"/>
        <v>0.34173089965408499</v>
      </c>
      <c r="AN6" s="14">
        <f t="shared" si="76"/>
        <v>1.0210187734067528</v>
      </c>
      <c r="AO6" s="11">
        <f t="shared" si="89"/>
        <v>6.2180043300471235</v>
      </c>
      <c r="AP6" s="14">
        <f t="shared" si="8"/>
        <v>3.5106524015009266</v>
      </c>
      <c r="AQ6" s="28">
        <f t="shared" si="9"/>
        <v>-6.9819404896567239E-3</v>
      </c>
      <c r="AR6" s="82">
        <f t="shared" si="10"/>
        <v>259.36763887236629</v>
      </c>
      <c r="AS6" s="82">
        <f t="shared" si="11"/>
        <v>45.887860741155741</v>
      </c>
      <c r="AT6" s="82">
        <f t="shared" si="12"/>
        <v>133.37368167153761</v>
      </c>
      <c r="AU6" s="28">
        <f t="shared" si="13"/>
        <v>0.10816475113216484</v>
      </c>
      <c r="AV6" s="28">
        <f t="shared" si="14"/>
        <v>0.2164095318446968</v>
      </c>
      <c r="AW6" s="28">
        <f t="shared" si="15"/>
        <v>-0.27789168108785134</v>
      </c>
      <c r="AX6" s="11">
        <f t="shared" si="77"/>
        <v>6.7108184986576003E-2</v>
      </c>
      <c r="AY6" s="92"/>
      <c r="AZ6" s="2"/>
      <c r="BA6" s="55">
        <v>0.21654572005565328</v>
      </c>
      <c r="BB6" s="55">
        <v>0.50523364660407455</v>
      </c>
      <c r="BC6" s="12">
        <f t="shared" si="78"/>
        <v>0.22676621932328164</v>
      </c>
      <c r="BD6" s="12">
        <f t="shared" si="79"/>
        <v>0.46145041845044033</v>
      </c>
      <c r="BE6" s="24">
        <v>0.69919525485124046</v>
      </c>
      <c r="BF6" s="28">
        <f t="shared" si="16"/>
        <v>0.34181838410114301</v>
      </c>
      <c r="BG6" s="28">
        <f t="shared" si="17"/>
        <v>1.020757455505253</v>
      </c>
      <c r="BH6" s="11">
        <f t="shared" si="80"/>
        <v>6.2164129040269911</v>
      </c>
      <c r="BI6" s="22">
        <f t="shared" si="18"/>
        <v>3.4672356038523238</v>
      </c>
      <c r="BJ6" s="12">
        <f t="shared" si="19"/>
        <v>-6.8954327046781838E-3</v>
      </c>
      <c r="BK6" s="22">
        <f t="shared" si="20"/>
        <v>2.3691387337973158E-2</v>
      </c>
      <c r="BL6" s="14">
        <f t="shared" si="91"/>
        <v>6.1666614801603785</v>
      </c>
      <c r="BM6" s="14">
        <f t="shared" si="92"/>
        <v>3.0304241881463754</v>
      </c>
      <c r="BN6" s="14">
        <f t="shared" si="90"/>
        <v>6.4577148388944741</v>
      </c>
      <c r="BO6" s="14">
        <f t="shared" si="81"/>
        <v>236.39597084468559</v>
      </c>
      <c r="BP6" s="14">
        <f t="shared" si="82"/>
        <v>57.088246136856483</v>
      </c>
      <c r="BQ6" s="14">
        <f t="shared" si="83"/>
        <v>259.23735408316475</v>
      </c>
      <c r="BR6" s="14">
        <f t="shared" si="84"/>
        <v>45.667554517616907</v>
      </c>
      <c r="BS6" s="14">
        <f t="shared" si="21"/>
        <v>133.64017019021219</v>
      </c>
      <c r="BT6" s="32">
        <f t="shared" si="22"/>
        <v>259.3679284757423</v>
      </c>
      <c r="BU6" s="32">
        <f t="shared" si="23"/>
        <v>45.893052306059218</v>
      </c>
      <c r="BV6" s="32">
        <f t="shared" si="24"/>
        <v>133.38366767113135</v>
      </c>
      <c r="BW6" s="11">
        <f t="shared" si="85"/>
        <v>0.13057439257755732</v>
      </c>
      <c r="BX6" s="11">
        <f t="shared" si="25"/>
        <v>0.22549778844231128</v>
      </c>
      <c r="BY6" s="11">
        <f t="shared" si="25"/>
        <v>-0.25650251908083987</v>
      </c>
      <c r="BZ6" s="22">
        <f t="shared" si="26"/>
        <v>175.37842127266833</v>
      </c>
      <c r="CA6" s="22">
        <f t="shared" si="27"/>
        <v>6.4593409665093811</v>
      </c>
      <c r="CB6" s="22">
        <f t="shared" si="28"/>
        <v>2.7170870024214686</v>
      </c>
      <c r="CC6" s="22">
        <f t="shared" si="29"/>
        <v>6.1689200174354406</v>
      </c>
      <c r="CD6" s="22">
        <f t="shared" si="30"/>
        <v>3.035839220479625</v>
      </c>
      <c r="CE6" s="22">
        <f t="shared" si="31"/>
        <v>52.732683544557723</v>
      </c>
      <c r="CF6" s="22">
        <f t="shared" si="32"/>
        <v>51.483035990790505</v>
      </c>
      <c r="CG6" s="22">
        <f t="shared" si="33"/>
        <v>52.107859767674114</v>
      </c>
      <c r="CH6" s="28">
        <f t="shared" si="34"/>
        <v>2.1771003365858022E-3</v>
      </c>
      <c r="CI6" s="28" t="e">
        <f>CB6-#REF!</f>
        <v>#REF!</v>
      </c>
      <c r="CJ6" s="28">
        <f t="shared" si="35"/>
        <v>2.7846773020163695E-3</v>
      </c>
      <c r="CK6" s="28">
        <f t="shared" si="36"/>
        <v>5.6735883556875422E-3</v>
      </c>
      <c r="CL6" s="19"/>
      <c r="CM6" s="24"/>
      <c r="CP6" s="31"/>
      <c r="CQ6" s="33"/>
      <c r="CR6" s="33"/>
      <c r="CS6" s="26"/>
      <c r="CZ6" s="28"/>
      <c r="DA6" s="28"/>
      <c r="DB6" s="28"/>
      <c r="DC6" s="28"/>
      <c r="DH6" s="24"/>
      <c r="DK6" s="1"/>
      <c r="ET6" s="27">
        <f t="shared" si="37"/>
        <v>3.1018708179320734E-5</v>
      </c>
      <c r="EU6" s="27">
        <f t="shared" si="38"/>
        <v>0.22934540600390277</v>
      </c>
      <c r="EV6" s="27">
        <f t="shared" si="39"/>
        <v>0.17390718091674381</v>
      </c>
      <c r="EW6" s="27">
        <f t="shared" si="40"/>
        <v>2.4492741970754336E-3</v>
      </c>
      <c r="EX6" s="27">
        <f t="shared" si="41"/>
        <v>2.3142826077320495</v>
      </c>
      <c r="EY6" s="27">
        <f t="shared" si="42"/>
        <v>0.66468945776738209</v>
      </c>
      <c r="EZ6" s="27">
        <f t="shared" si="43"/>
        <v>0.16796376909404845</v>
      </c>
      <c r="FA6" s="27">
        <f t="shared" si="44"/>
        <v>1.1894844848930279</v>
      </c>
      <c r="FB6" s="27">
        <f t="shared" si="45"/>
        <v>0.2526122651017681</v>
      </c>
      <c r="FC6" s="27">
        <f t="shared" si="46"/>
        <v>0.170581991861743</v>
      </c>
      <c r="FD6" s="27">
        <f t="shared" si="47"/>
        <v>0.13326149400200393</v>
      </c>
      <c r="FE6" s="27">
        <f t="shared" si="48"/>
        <v>0.75597987312321424</v>
      </c>
      <c r="FF6" s="27">
        <f t="shared" si="49"/>
        <v>0.16663074700100197</v>
      </c>
      <c r="FG6" s="27">
        <f t="shared" si="50"/>
        <v>-0.16663074700100197</v>
      </c>
      <c r="FH6" s="27">
        <f t="shared" si="51"/>
        <v>0.67798993656160711</v>
      </c>
      <c r="FI6" s="27">
        <f t="shared" si="52"/>
        <v>1.5212766374765798</v>
      </c>
      <c r="FJ6" s="27">
        <f t="shared" si="53"/>
        <v>0.81528489362147638</v>
      </c>
      <c r="FK6" s="27">
        <f t="shared" si="54"/>
        <v>0.4098338310755329</v>
      </c>
      <c r="FL6" s="27">
        <f t="shared" si="55"/>
        <v>1.0398172050025423</v>
      </c>
      <c r="FM6" s="27">
        <f t="shared" si="56"/>
        <v>0.32272952495859203</v>
      </c>
      <c r="FN6" s="27">
        <f t="shared" si="57"/>
        <v>0.35096354887205755</v>
      </c>
      <c r="FO6" s="27">
        <f t="shared" si="58"/>
        <v>0.33526423290177249</v>
      </c>
    </row>
    <row r="7" spans="1:171" x14ac:dyDescent="0.25">
      <c r="A7" s="11">
        <v>4.4335631787622765</v>
      </c>
      <c r="B7" s="3">
        <v>150</v>
      </c>
      <c r="C7" s="12">
        <v>0.19396667455229902</v>
      </c>
      <c r="D7" s="12">
        <v>0.39485534054200722</v>
      </c>
      <c r="E7" s="11">
        <v>4.4335631787622765</v>
      </c>
      <c r="F7" s="12">
        <v>0.21474572005565329</v>
      </c>
      <c r="G7" s="12">
        <v>0.50523364660407455</v>
      </c>
      <c r="H7" s="12">
        <f t="shared" si="86"/>
        <v>0.22496299651535173</v>
      </c>
      <c r="I7" s="12">
        <f t="shared" si="87"/>
        <v>0.45795413466486506</v>
      </c>
      <c r="J7" s="12">
        <f t="shared" si="59"/>
        <v>6.8095350581769187E-2</v>
      </c>
      <c r="K7" s="13">
        <f t="shared" si="60"/>
        <v>6.7993983997239882E-2</v>
      </c>
      <c r="L7" s="13">
        <f>SUM(K$3:$K7)</f>
        <v>0.31579433577523397</v>
      </c>
      <c r="M7" s="72">
        <f t="shared" si="88"/>
        <v>0.69781258668369384</v>
      </c>
      <c r="N7" s="12">
        <f t="shared" si="61"/>
        <v>1.4984065271274547E-4</v>
      </c>
      <c r="O7" s="21">
        <f t="shared" si="62"/>
        <v>1.0840844214984978E-8</v>
      </c>
      <c r="P7" s="11">
        <f>SUM(O$2:$O7)</f>
        <v>5.8529273798680891E-8</v>
      </c>
      <c r="Q7" s="12">
        <f t="shared" si="63"/>
        <v>1.0088355284522499E-3</v>
      </c>
      <c r="R7" s="3">
        <f t="shared" si="0"/>
        <v>0.33979453999047932</v>
      </c>
      <c r="S7" s="1">
        <f t="shared" si="64"/>
        <v>1.47373439885458E-3</v>
      </c>
      <c r="T7" s="1">
        <f t="shared" si="65"/>
        <v>0.97386423935085376</v>
      </c>
      <c r="U7" s="1">
        <f t="shared" si="66"/>
        <v>4.2257972415049375E-3</v>
      </c>
      <c r="V7" s="11">
        <f t="shared" si="67"/>
        <v>6.2534383684315129</v>
      </c>
      <c r="W7" s="12">
        <f t="shared" si="68"/>
        <v>4.3214417652333567E-2</v>
      </c>
      <c r="X7" s="13">
        <f t="shared" si="1"/>
        <v>-8.9061804848989956E-3</v>
      </c>
      <c r="Y7" s="12">
        <f t="shared" si="69"/>
        <v>1.1176453774362237E-2</v>
      </c>
      <c r="Z7" s="12" t="e">
        <f>SQRT((Q7/M7)^2 + (0.0002/G7)^2)*#REF!</f>
        <v>#REF!</v>
      </c>
      <c r="AA7" s="12">
        <f t="shared" si="70"/>
        <v>1.0529044736157738E-2</v>
      </c>
      <c r="AB7" s="12">
        <f t="shared" si="2"/>
        <v>4.6024740098782966E-3</v>
      </c>
      <c r="AC7" s="14">
        <f t="shared" si="71"/>
        <v>6.2037988246309146</v>
      </c>
      <c r="AD7" s="1">
        <f t="shared" si="72"/>
        <v>3.0475217226474407</v>
      </c>
      <c r="AE7" s="1">
        <f t="shared" si="73"/>
        <v>6.4989661866401756</v>
      </c>
      <c r="AF7" s="14">
        <f t="shared" si="3"/>
        <v>240.67683200100888</v>
      </c>
      <c r="AG7" s="14">
        <f t="shared" si="4"/>
        <v>58.078112526495531</v>
      </c>
      <c r="AH7" s="14">
        <f t="shared" si="5"/>
        <v>264.12373420402753</v>
      </c>
      <c r="AI7" s="14">
        <f t="shared" si="74"/>
        <v>46.354661424986205</v>
      </c>
      <c r="AJ7" s="14">
        <f t="shared" si="6"/>
        <v>136.24405804952715</v>
      </c>
      <c r="AK7" s="7"/>
      <c r="AL7" s="12">
        <f t="shared" si="75"/>
        <v>0.69781258668369384</v>
      </c>
      <c r="AM7" s="14">
        <f t="shared" si="7"/>
        <v>0.33979453999047932</v>
      </c>
      <c r="AN7" s="14">
        <f t="shared" si="76"/>
        <v>1.0268371705142059</v>
      </c>
      <c r="AO7" s="11">
        <f t="shared" si="89"/>
        <v>6.2534383684315129</v>
      </c>
      <c r="AP7" s="14">
        <f t="shared" si="8"/>
        <v>4.5176855584363151</v>
      </c>
      <c r="AQ7" s="14">
        <f t="shared" si="9"/>
        <v>-8.9061804444663384E-3</v>
      </c>
      <c r="AR7" s="82">
        <f t="shared" si="10"/>
        <v>264.57399454194535</v>
      </c>
      <c r="AS7" s="82">
        <f t="shared" si="11"/>
        <v>46.209420261911077</v>
      </c>
      <c r="AT7" s="82">
        <f t="shared" si="12"/>
        <v>136.32497478099208</v>
      </c>
      <c r="AU7" s="14">
        <f t="shared" si="13"/>
        <v>0.45026033791782538</v>
      </c>
      <c r="AV7" s="14">
        <f t="shared" si="14"/>
        <v>-0.14524116307512713</v>
      </c>
      <c r="AW7" s="14">
        <f t="shared" si="15"/>
        <v>8.0916731464924396E-2</v>
      </c>
      <c r="AX7" s="11">
        <f t="shared" si="77"/>
        <v>8.4122379674038683E-2</v>
      </c>
      <c r="AY7" s="92"/>
      <c r="AZ7" s="2"/>
      <c r="BA7" s="12">
        <v>0.21474572005565329</v>
      </c>
      <c r="BB7" s="12">
        <v>0.50523364660407455</v>
      </c>
      <c r="BC7" s="12">
        <f t="shared" si="78"/>
        <v>0.22496299651535173</v>
      </c>
      <c r="BD7" s="12">
        <f t="shared" si="79"/>
        <v>0.45795413466486506</v>
      </c>
      <c r="BE7" s="12">
        <v>0.69799967010673447</v>
      </c>
      <c r="BF7" s="14">
        <f t="shared" si="16"/>
        <v>0.34006790982427226</v>
      </c>
      <c r="BG7" s="14">
        <f t="shared" si="17"/>
        <v>1.0260117285994397</v>
      </c>
      <c r="BH7" s="11">
        <f t="shared" si="80"/>
        <v>6.248411427170586</v>
      </c>
      <c r="BI7" s="11">
        <f t="shared" si="18"/>
        <v>4.3763616406457819</v>
      </c>
      <c r="BJ7" s="12">
        <f t="shared" si="19"/>
        <v>-8.6334148396159938E-3</v>
      </c>
      <c r="BK7" s="11">
        <f t="shared" si="20"/>
        <v>-5.7201538116494532E-2</v>
      </c>
      <c r="BL7" s="14">
        <f t="shared" si="91"/>
        <v>6.2054620619271681</v>
      </c>
      <c r="BM7" s="14">
        <f t="shared" si="92"/>
        <v>3.0483387626472109</v>
      </c>
      <c r="BN7" s="14">
        <f t="shared" si="90"/>
        <v>6.5007085582505821</v>
      </c>
      <c r="BO7" s="14">
        <f t="shared" si="81"/>
        <v>240.61232388230096</v>
      </c>
      <c r="BP7" s="14">
        <f t="shared" si="82"/>
        <v>58.062545968858721</v>
      </c>
      <c r="BQ7" s="14">
        <f t="shared" si="83"/>
        <v>264.05294166010896</v>
      </c>
      <c r="BR7" s="14">
        <f t="shared" si="84"/>
        <v>46.342237079954714</v>
      </c>
      <c r="BS7" s="14">
        <f t="shared" si="21"/>
        <v>136.20754083348751</v>
      </c>
      <c r="BT7" s="18">
        <f t="shared" si="22"/>
        <v>264.14188500588114</v>
      </c>
      <c r="BU7" s="18">
        <f t="shared" si="23"/>
        <v>46.184460509737875</v>
      </c>
      <c r="BV7" s="18">
        <f t="shared" si="24"/>
        <v>136.0890544020366</v>
      </c>
      <c r="BW7" s="11">
        <f t="shared" si="85"/>
        <v>8.8943345772179327E-2</v>
      </c>
      <c r="BX7" s="11">
        <f t="shared" si="25"/>
        <v>-0.15777657021683922</v>
      </c>
      <c r="BY7" s="11">
        <f t="shared" si="25"/>
        <v>-0.11848643145091842</v>
      </c>
      <c r="BZ7" s="11">
        <f t="shared" si="26"/>
        <v>178.77333126998477</v>
      </c>
      <c r="CA7" s="11">
        <f t="shared" si="27"/>
        <v>6.5018033123631058</v>
      </c>
      <c r="CB7" s="11">
        <f t="shared" si="28"/>
        <v>2.7187115264350887</v>
      </c>
      <c r="CC7" s="11">
        <f t="shared" si="29"/>
        <v>6.2021121964701491</v>
      </c>
      <c r="CD7" s="11">
        <f t="shared" si="30"/>
        <v>3.0487735099811215</v>
      </c>
      <c r="CE7" s="11">
        <f t="shared" si="31"/>
        <v>53.32124242661164</v>
      </c>
      <c r="CF7" s="11">
        <f t="shared" si="32"/>
        <v>51.978282740504675</v>
      </c>
      <c r="CG7" s="11">
        <f t="shared" si="33"/>
        <v>52.649762583558157</v>
      </c>
      <c r="CH7" s="14">
        <f t="shared" si="34"/>
        <v>2.8371257229302671E-3</v>
      </c>
      <c r="CI7" s="14" t="e">
        <f>CB7-#REF!</f>
        <v>#REF!</v>
      </c>
      <c r="CJ7" s="14">
        <f t="shared" si="35"/>
        <v>-1.6866281607654798E-3</v>
      </c>
      <c r="CK7" s="14">
        <f t="shared" si="36"/>
        <v>1.2517873336808094E-3</v>
      </c>
      <c r="CL7" s="19"/>
      <c r="CM7" s="12"/>
      <c r="CP7" s="17"/>
      <c r="CQ7" s="20"/>
      <c r="CR7" s="20"/>
      <c r="CS7" s="21"/>
      <c r="CZ7" s="14"/>
      <c r="DA7" s="14"/>
      <c r="DB7" s="14"/>
      <c r="DC7" s="14"/>
      <c r="DH7" s="12"/>
      <c r="ET7" s="1">
        <f t="shared" si="37"/>
        <v>3.1034431689276016E-5</v>
      </c>
      <c r="EU7" s="1">
        <f t="shared" si="38"/>
        <v>0.24203925426546924</v>
      </c>
      <c r="EV7" s="1">
        <f t="shared" si="39"/>
        <v>0.18313290258109019</v>
      </c>
      <c r="EW7" s="1">
        <f t="shared" si="40"/>
        <v>2.5733626985929943E-3</v>
      </c>
      <c r="EX7" s="1">
        <f t="shared" si="41"/>
        <v>2.4070430113540859</v>
      </c>
      <c r="EY7" s="1">
        <f t="shared" si="42"/>
        <v>0.69266137025566432</v>
      </c>
      <c r="EZ7" s="1">
        <f t="shared" si="43"/>
        <v>0.17555178087276219</v>
      </c>
      <c r="FA7" s="1">
        <f t="shared" si="44"/>
        <v>1.2378026320647009</v>
      </c>
      <c r="FB7" s="1">
        <f t="shared" si="45"/>
        <v>0.25894628712373424</v>
      </c>
      <c r="FC7" s="1">
        <f t="shared" si="46"/>
        <v>0.17612610428351161</v>
      </c>
      <c r="FD7" s="1">
        <f t="shared" si="47"/>
        <v>0.13271018461532835</v>
      </c>
      <c r="FE7" s="1">
        <f t="shared" si="48"/>
        <v>0.75749844495044538</v>
      </c>
      <c r="FF7" s="1">
        <f t="shared" si="49"/>
        <v>0.16635509230766418</v>
      </c>
      <c r="FG7" s="1">
        <f t="shared" si="50"/>
        <v>-0.16635509230766418</v>
      </c>
      <c r="FH7" s="1">
        <f t="shared" si="51"/>
        <v>0.67874922247522274</v>
      </c>
      <c r="FI7" s="1">
        <f t="shared" si="52"/>
        <v>1.551464795396301</v>
      </c>
      <c r="FJ7" s="1">
        <f t="shared" si="53"/>
        <v>0.83226280119663187</v>
      </c>
      <c r="FK7" s="1">
        <f t="shared" si="54"/>
        <v>0.41898899851041699</v>
      </c>
      <c r="FL7" s="1">
        <f t="shared" si="55"/>
        <v>1.0608643761174472</v>
      </c>
      <c r="FM7" s="1">
        <f t="shared" si="56"/>
        <v>0.32869354982272125</v>
      </c>
      <c r="FN7" s="1">
        <f t="shared" si="57"/>
        <v>0.35829510114908819</v>
      </c>
      <c r="FO7" s="1">
        <f t="shared" si="58"/>
        <v>0.34183495873583547</v>
      </c>
    </row>
    <row r="8" spans="1:171" x14ac:dyDescent="0.25">
      <c r="A8" s="11">
        <v>5.1222720220651237</v>
      </c>
      <c r="B8" s="3">
        <v>180</v>
      </c>
      <c r="C8" s="12">
        <v>0.19293671275490115</v>
      </c>
      <c r="D8" s="12">
        <v>0.39282249973818556</v>
      </c>
      <c r="E8" s="11">
        <v>5.1222720220651237</v>
      </c>
      <c r="F8" s="12">
        <v>0.21334572005565328</v>
      </c>
      <c r="G8" s="12">
        <v>0.50523364660407455</v>
      </c>
      <c r="H8" s="12">
        <f t="shared" si="86"/>
        <v>0.22376844444720004</v>
      </c>
      <c r="I8" s="12">
        <f t="shared" si="87"/>
        <v>0.45559644121199777</v>
      </c>
      <c r="J8" s="12">
        <f t="shared" si="59"/>
        <v>6.7203484581880968E-2</v>
      </c>
      <c r="K8" s="13">
        <f t="shared" si="60"/>
        <v>4.6590752132890045E-2</v>
      </c>
      <c r="L8" s="13">
        <f>SUM(K$3:$K8)</f>
        <v>0.36238508790812402</v>
      </c>
      <c r="M8" s="72">
        <f t="shared" si="88"/>
        <v>0.69690892081840861</v>
      </c>
      <c r="N8" s="12">
        <f t="shared" si="61"/>
        <v>1.4761406785215972E-4</v>
      </c>
      <c r="O8" s="21">
        <f t="shared" si="62"/>
        <v>5.0935317558639293E-9</v>
      </c>
      <c r="P8" s="11">
        <f>SUM(O$2:$O8)</f>
        <v>6.3622805554544815E-8</v>
      </c>
      <c r="Q8" s="12">
        <f t="shared" si="63"/>
        <v>1.0101327332552247E-3</v>
      </c>
      <c r="R8" s="13">
        <f t="shared" si="0"/>
        <v>0.33847614908657286</v>
      </c>
      <c r="S8" s="1">
        <f t="shared" si="64"/>
        <v>1.4718099915424047E-3</v>
      </c>
      <c r="T8" s="1">
        <f t="shared" si="65"/>
        <v>0.97008568024029262</v>
      </c>
      <c r="U8" s="1">
        <f t="shared" si="66"/>
        <v>4.2202818160265712E-3</v>
      </c>
      <c r="V8" s="11">
        <f t="shared" si="67"/>
        <v>6.2777959968355495</v>
      </c>
      <c r="W8" s="12">
        <f t="shared" si="68"/>
        <v>4.3426935524604637E-2</v>
      </c>
      <c r="X8" s="13">
        <f t="shared" si="1"/>
        <v>-1.0226810171726108E-2</v>
      </c>
      <c r="Y8" s="12">
        <f t="shared" si="69"/>
        <v>1.1277386649238769E-2</v>
      </c>
      <c r="Z8" s="12" t="e">
        <f>SQRT((Q8/M8)^2 + (0.0002/G8)^2)*#REF!</f>
        <v>#REF!</v>
      </c>
      <c r="AA8" s="12">
        <f t="shared" si="70"/>
        <v>1.0606860463951758E-2</v>
      </c>
      <c r="AB8" s="12">
        <f t="shared" si="2"/>
        <v>4.6332424848281482E-3</v>
      </c>
      <c r="AC8" s="14">
        <f t="shared" si="71"/>
        <v>6.228840018440132</v>
      </c>
      <c r="AD8" s="1">
        <f t="shared" si="72"/>
        <v>3.0593255687619538</v>
      </c>
      <c r="AE8" s="1">
        <f t="shared" si="73"/>
        <v>6.5331418004224622</v>
      </c>
      <c r="AF8" s="14">
        <f t="shared" si="3"/>
        <v>243.56874138290416</v>
      </c>
      <c r="AG8" s="14">
        <f t="shared" si="4"/>
        <v>58.756861728106664</v>
      </c>
      <c r="AH8" s="14">
        <f t="shared" si="5"/>
        <v>267.94852327144537</v>
      </c>
      <c r="AI8" s="14">
        <f t="shared" si="74"/>
        <v>46.566970783836069</v>
      </c>
      <c r="AJ8" s="14">
        <f t="shared" si="6"/>
        <v>138.24490887096147</v>
      </c>
      <c r="AK8" s="7"/>
      <c r="AL8" s="12">
        <f t="shared" si="75"/>
        <v>0.69690892081840861</v>
      </c>
      <c r="AM8" s="14">
        <f t="shared" si="7"/>
        <v>0.33847614908657286</v>
      </c>
      <c r="AN8" s="14">
        <f t="shared" si="76"/>
        <v>1.0308367810895811</v>
      </c>
      <c r="AO8" s="11">
        <f t="shared" si="89"/>
        <v>6.2777959968355495</v>
      </c>
      <c r="AP8" s="14">
        <f t="shared" si="8"/>
        <v>5.2188207355338925</v>
      </c>
      <c r="AQ8" s="14">
        <f t="shared" si="9"/>
        <v>-1.0226810125237851E-2</v>
      </c>
      <c r="AR8" s="82">
        <f t="shared" si="10"/>
        <v>268.17795517718139</v>
      </c>
      <c r="AS8" s="82">
        <f t="shared" si="11"/>
        <v>46.423989007958099</v>
      </c>
      <c r="AT8" s="82">
        <f t="shared" si="12"/>
        <v>138.37324149610893</v>
      </c>
      <c r="AU8" s="14">
        <f t="shared" si="13"/>
        <v>0.22943190573602124</v>
      </c>
      <c r="AV8" s="14">
        <f t="shared" si="14"/>
        <v>-0.14298177587797056</v>
      </c>
      <c r="AW8" s="14">
        <f t="shared" si="15"/>
        <v>0.1283326251474648</v>
      </c>
      <c r="AX8" s="11">
        <f t="shared" si="77"/>
        <v>9.654871346876881E-2</v>
      </c>
      <c r="AY8" s="92"/>
      <c r="AZ8" s="2"/>
      <c r="BA8" s="12">
        <v>0.21334572005565328</v>
      </c>
      <c r="BB8" s="12">
        <v>0.50523364660407455</v>
      </c>
      <c r="BC8" s="12">
        <f t="shared" si="78"/>
        <v>0.22376844444720004</v>
      </c>
      <c r="BD8" s="12">
        <f t="shared" si="79"/>
        <v>0.45559644121199777</v>
      </c>
      <c r="BE8" s="12">
        <v>0.69707190225312432</v>
      </c>
      <c r="BF8" s="14">
        <f t="shared" si="16"/>
        <v>0.33871367609576797</v>
      </c>
      <c r="BG8" s="14">
        <f t="shared" si="17"/>
        <v>1.0301138944898938</v>
      </c>
      <c r="BH8" s="11">
        <f t="shared" si="80"/>
        <v>6.2733936174434524</v>
      </c>
      <c r="BI8" s="11">
        <f t="shared" si="18"/>
        <v>5.0950240741858428</v>
      </c>
      <c r="BJ8" s="12">
        <f t="shared" si="19"/>
        <v>-9.988247142433182E-3</v>
      </c>
      <c r="BK8" s="11">
        <f t="shared" si="20"/>
        <v>-2.7247947879280865E-2</v>
      </c>
      <c r="BL8" s="14">
        <f t="shared" si="91"/>
        <v>6.2302967156533464</v>
      </c>
      <c r="BM8" s="14">
        <f t="shared" si="92"/>
        <v>3.060041032799742</v>
      </c>
      <c r="BN8" s="14">
        <f t="shared" si="90"/>
        <v>6.5346696626610221</v>
      </c>
      <c r="BO8" s="14">
        <f t="shared" si="81"/>
        <v>243.51179290629199</v>
      </c>
      <c r="BP8" s="14">
        <f t="shared" si="82"/>
        <v>58.743123866068487</v>
      </c>
      <c r="BQ8" s="14">
        <f t="shared" si="83"/>
        <v>267.88587459114194</v>
      </c>
      <c r="BR8" s="14">
        <f t="shared" si="84"/>
        <v>46.556083023643509</v>
      </c>
      <c r="BS8" s="14">
        <f t="shared" si="21"/>
        <v>138.21258601657999</v>
      </c>
      <c r="BT8" s="18">
        <f t="shared" si="22"/>
        <v>267.89523770572913</v>
      </c>
      <c r="BU8" s="18">
        <f t="shared" si="23"/>
        <v>46.405833062871316</v>
      </c>
      <c r="BV8" s="18">
        <f t="shared" si="24"/>
        <v>138.22113045000685</v>
      </c>
      <c r="BW8" s="11">
        <f t="shared" si="85"/>
        <v>9.3631145871881927E-3</v>
      </c>
      <c r="BX8" s="11">
        <f t="shared" si="25"/>
        <v>-0.15024996077219299</v>
      </c>
      <c r="BY8" s="11">
        <f t="shared" si="25"/>
        <v>8.5444334268629518E-3</v>
      </c>
      <c r="BZ8" s="11">
        <f t="shared" si="26"/>
        <v>181.44583286858096</v>
      </c>
      <c r="CA8" s="11">
        <f t="shared" si="27"/>
        <v>6.5347838611537803</v>
      </c>
      <c r="CB8" s="11">
        <f t="shared" si="28"/>
        <v>2.7197877779026682</v>
      </c>
      <c r="CC8" s="11">
        <f t="shared" si="29"/>
        <v>6.2278463095124357</v>
      </c>
      <c r="CD8" s="11">
        <f t="shared" si="30"/>
        <v>3.0587437036168588</v>
      </c>
      <c r="CE8" s="11">
        <f t="shared" si="31"/>
        <v>53.778321288867247</v>
      </c>
      <c r="CF8" s="11">
        <f t="shared" si="32"/>
        <v>52.359527404435873</v>
      </c>
      <c r="CG8" s="11">
        <f t="shared" si="33"/>
        <v>53.068924346651556</v>
      </c>
      <c r="CH8" s="14">
        <f t="shared" si="34"/>
        <v>1.6420607313181179E-3</v>
      </c>
      <c r="CI8" s="14" t="e">
        <f>CB8-#REF!</f>
        <v>#REF!</v>
      </c>
      <c r="CJ8" s="14">
        <f t="shared" si="35"/>
        <v>-9.9370892769634622E-4</v>
      </c>
      <c r="CK8" s="14">
        <f t="shared" si="36"/>
        <v>-5.8186514509506182E-4</v>
      </c>
      <c r="CL8" s="19"/>
      <c r="CM8" s="12"/>
      <c r="CP8" s="17"/>
      <c r="CQ8" s="20"/>
      <c r="CR8" s="20"/>
      <c r="CS8" s="21"/>
      <c r="CZ8" s="14"/>
      <c r="DA8" s="14"/>
      <c r="DB8" s="14"/>
      <c r="DC8" s="14"/>
      <c r="DH8" s="12"/>
      <c r="ET8" s="1">
        <f t="shared" si="37"/>
        <v>3.1045247972587517E-5</v>
      </c>
      <c r="EU8" s="1">
        <f t="shared" si="38"/>
        <v>0.25237994925139096</v>
      </c>
      <c r="EV8" s="1">
        <f t="shared" si="39"/>
        <v>0.18956816269834564</v>
      </c>
      <c r="EW8" s="1">
        <f t="shared" si="40"/>
        <v>2.6611939027690054E-3</v>
      </c>
      <c r="EX8" s="1">
        <f t="shared" si="41"/>
        <v>2.4813173361175798</v>
      </c>
      <c r="EY8" s="1">
        <f t="shared" si="42"/>
        <v>0.71445786692325675</v>
      </c>
      <c r="EZ8" s="1">
        <f t="shared" si="43"/>
        <v>0.18046930714650725</v>
      </c>
      <c r="FA8" s="1">
        <f t="shared" si="44"/>
        <v>1.2761841681530641</v>
      </c>
      <c r="FB8" s="1">
        <f t="shared" si="45"/>
        <v>0.26117869195974525</v>
      </c>
      <c r="FC8" s="1">
        <f t="shared" si="46"/>
        <v>0.1788330016192044</v>
      </c>
      <c r="FD8" s="1">
        <f t="shared" si="47"/>
        <v>0.1310021338904114</v>
      </c>
      <c r="FE8" s="1">
        <f t="shared" si="48"/>
        <v>0.76223311932777016</v>
      </c>
      <c r="FF8" s="1">
        <f t="shared" si="49"/>
        <v>0.16550106694520572</v>
      </c>
      <c r="FG8" s="1">
        <f t="shared" si="50"/>
        <v>-0.16550106694520572</v>
      </c>
      <c r="FH8" s="1">
        <f t="shared" si="51"/>
        <v>0.68111655966388507</v>
      </c>
      <c r="FI8" s="1">
        <f t="shared" si="52"/>
        <v>1.5752197739101614</v>
      </c>
      <c r="FJ8" s="1">
        <f t="shared" si="53"/>
        <v>0.84525609546649039</v>
      </c>
      <c r="FK8" s="1">
        <f t="shared" si="54"/>
        <v>0.42481679244882403</v>
      </c>
      <c r="FL8" s="1">
        <f t="shared" si="55"/>
        <v>1.0772333635765929</v>
      </c>
      <c r="FM8" s="1">
        <f t="shared" si="56"/>
        <v>0.3323675539577543</v>
      </c>
      <c r="FN8" s="1">
        <f t="shared" si="57"/>
        <v>0.36378500724635759</v>
      </c>
      <c r="FO8" s="1">
        <f t="shared" si="58"/>
        <v>0.34628240255717196</v>
      </c>
    </row>
    <row r="9" spans="1:171" x14ac:dyDescent="0.25">
      <c r="A9" s="11">
        <v>5.7679365626615837</v>
      </c>
      <c r="B9" s="3">
        <v>210</v>
      </c>
      <c r="C9" s="12">
        <v>0.19199930220895281</v>
      </c>
      <c r="D9" s="12">
        <v>0.39099582353382406</v>
      </c>
      <c r="E9" s="11">
        <v>5.7679365626615837</v>
      </c>
      <c r="F9" s="12">
        <v>0.21174572005565329</v>
      </c>
      <c r="G9" s="12">
        <v>0.50423364660407455</v>
      </c>
      <c r="H9" s="12">
        <f t="shared" si="86"/>
        <v>0.22268123353394198</v>
      </c>
      <c r="I9" s="12">
        <f t="shared" si="87"/>
        <v>0.4534778579370875</v>
      </c>
      <c r="J9" s="12">
        <f t="shared" si="59"/>
        <v>6.6192867751278722E-2</v>
      </c>
      <c r="K9" s="13">
        <f t="shared" si="60"/>
        <v>4.3064647273216537E-2</v>
      </c>
      <c r="L9" s="13">
        <f>SUM(K$3:$K9)</f>
        <v>0.40544973518134053</v>
      </c>
      <c r="M9" s="72">
        <f t="shared" si="88"/>
        <v>0.69607572565403264</v>
      </c>
      <c r="N9" s="12">
        <f t="shared" si="61"/>
        <v>1.4548020576010275E-4</v>
      </c>
      <c r="O9" s="21">
        <f t="shared" si="62"/>
        <v>4.3650510903554069E-9</v>
      </c>
      <c r="P9" s="11">
        <f>SUM(O$2:$O9)</f>
        <v>6.7987856644900228E-8</v>
      </c>
      <c r="Q9" s="12">
        <f t="shared" si="63"/>
        <v>1.0113300587378379E-3</v>
      </c>
      <c r="R9" s="3">
        <f t="shared" si="0"/>
        <v>0.33726359612908019</v>
      </c>
      <c r="S9" s="1">
        <f t="shared" si="64"/>
        <v>1.47003321583815E-3</v>
      </c>
      <c r="T9" s="1">
        <f t="shared" si="65"/>
        <v>0.9666104567606737</v>
      </c>
      <c r="U9" s="1">
        <f t="shared" si="66"/>
        <v>4.2151895084227772E-3</v>
      </c>
      <c r="V9" s="11">
        <f t="shared" si="67"/>
        <v>6.300366354828129</v>
      </c>
      <c r="W9" s="12">
        <f t="shared" si="68"/>
        <v>4.3624146914790697E-2</v>
      </c>
      <c r="X9" s="13">
        <f t="shared" si="1"/>
        <v>-1.1449013241211392E-2</v>
      </c>
      <c r="Y9" s="12">
        <f t="shared" si="69"/>
        <v>1.1393414182273737E-2</v>
      </c>
      <c r="Z9" s="12" t="e">
        <f>SQRT((Q9/M9)^2 + (0.0002/G9)^2)*#REF!</f>
        <v>#REF!</v>
      </c>
      <c r="AA9" s="12">
        <f t="shared" si="70"/>
        <v>1.0678615554595263E-2</v>
      </c>
      <c r="AB9" s="12">
        <f t="shared" si="2"/>
        <v>4.6613005933041534E-3</v>
      </c>
      <c r="AC9" s="14">
        <f t="shared" si="71"/>
        <v>6.2517681854670881</v>
      </c>
      <c r="AD9" s="1">
        <f t="shared" si="72"/>
        <v>3.0699436079218736</v>
      </c>
      <c r="AE9" s="1">
        <f t="shared" si="73"/>
        <v>6.5746379711578822</v>
      </c>
      <c r="AF9" s="14">
        <f t="shared" si="3"/>
        <v>246.24733313626646</v>
      </c>
      <c r="AG9" s="14">
        <f t="shared" si="4"/>
        <v>59.378141392439744</v>
      </c>
      <c r="AH9" s="14">
        <f t="shared" si="5"/>
        <v>272.33878205042549</v>
      </c>
      <c r="AI9" s="14">
        <f t="shared" si="74"/>
        <v>46.332416935360243</v>
      </c>
      <c r="AJ9" s="14">
        <f t="shared" si="6"/>
        <v>140.5367748084665</v>
      </c>
      <c r="AK9" s="7"/>
      <c r="AL9" s="12">
        <f t="shared" si="75"/>
        <v>0.69607572565403264</v>
      </c>
      <c r="AM9" s="14">
        <f t="shared" si="7"/>
        <v>0.33726359612908019</v>
      </c>
      <c r="AN9" s="14">
        <f t="shared" si="76"/>
        <v>1.0345429154069179</v>
      </c>
      <c r="AO9" s="11">
        <f t="shared" si="89"/>
        <v>6.300366354828129</v>
      </c>
      <c r="AP9" s="14">
        <f t="shared" si="8"/>
        <v>5.8749882139119176</v>
      </c>
      <c r="AQ9" s="14">
        <f t="shared" si="9"/>
        <v>-1.1449013189105517E-2</v>
      </c>
      <c r="AR9" s="82">
        <f t="shared" si="10"/>
        <v>271.53566597250654</v>
      </c>
      <c r="AS9" s="82">
        <f t="shared" si="11"/>
        <v>46.618021711544927</v>
      </c>
      <c r="AT9" s="82">
        <f t="shared" si="12"/>
        <v>140.28545030667252</v>
      </c>
      <c r="AU9" s="14">
        <f t="shared" si="13"/>
        <v>-0.80311607791895767</v>
      </c>
      <c r="AV9" s="14">
        <f t="shared" si="14"/>
        <v>0.28560477618468383</v>
      </c>
      <c r="AW9" s="14">
        <f t="shared" si="15"/>
        <v>-0.25132450179398802</v>
      </c>
      <c r="AX9" s="11">
        <f t="shared" si="77"/>
        <v>0.10705165125033389</v>
      </c>
      <c r="AY9" s="92"/>
      <c r="AZ9" s="2"/>
      <c r="BA9" s="12">
        <v>0.21174572005565329</v>
      </c>
      <c r="BB9" s="12">
        <v>0.50423364660407455</v>
      </c>
      <c r="BC9" s="12">
        <f t="shared" si="78"/>
        <v>0.22268123353394198</v>
      </c>
      <c r="BD9" s="12">
        <f t="shared" si="79"/>
        <v>0.4534778579370875</v>
      </c>
      <c r="BE9" s="12">
        <v>0.69601228527747261</v>
      </c>
      <c r="BF9" s="14">
        <f t="shared" si="16"/>
        <v>0.33717138987005613</v>
      </c>
      <c r="BG9" s="14">
        <f t="shared" si="17"/>
        <v>1.0348258318550374</v>
      </c>
      <c r="BH9" s="11">
        <f t="shared" si="80"/>
        <v>6.3020893159971774</v>
      </c>
      <c r="BI9" s="11">
        <f t="shared" si="18"/>
        <v>5.9301435981184198</v>
      </c>
      <c r="BJ9" s="12">
        <f t="shared" si="19"/>
        <v>-1.1542252913213757E-2</v>
      </c>
      <c r="BK9" s="11">
        <f t="shared" si="20"/>
        <v>0.16220703545683612</v>
      </c>
      <c r="BL9" s="14">
        <f t="shared" si="91"/>
        <v>6.2511983990009972</v>
      </c>
      <c r="BM9" s="14">
        <f t="shared" si="92"/>
        <v>3.0696638131074208</v>
      </c>
      <c r="BN9" s="14">
        <f t="shared" si="90"/>
        <v>6.5740387583233248</v>
      </c>
      <c r="BO9" s="14">
        <f t="shared" si="81"/>
        <v>246.26977817620545</v>
      </c>
      <c r="BP9" s="14">
        <f t="shared" si="82"/>
        <v>59.383553612495419</v>
      </c>
      <c r="BQ9" s="14">
        <f t="shared" si="83"/>
        <v>272.36360528307625</v>
      </c>
      <c r="BR9" s="14">
        <f t="shared" si="84"/>
        <v>46.336640059060016</v>
      </c>
      <c r="BS9" s="14">
        <f t="shared" si="21"/>
        <v>140.54958450465</v>
      </c>
      <c r="BT9" s="18">
        <f t="shared" si="22"/>
        <v>272.23480615484431</v>
      </c>
      <c r="BU9" s="18">
        <f t="shared" si="23"/>
        <v>46.653346518643502</v>
      </c>
      <c r="BV9" s="18">
        <f t="shared" si="24"/>
        <v>140.69172898658633</v>
      </c>
      <c r="BW9" s="11">
        <f t="shared" si="85"/>
        <v>-0.12879912823194672</v>
      </c>
      <c r="BX9" s="11">
        <f t="shared" si="25"/>
        <v>0.31670645958348587</v>
      </c>
      <c r="BY9" s="11">
        <f t="shared" si="25"/>
        <v>0.14214448193632734</v>
      </c>
      <c r="BZ9" s="11">
        <f t="shared" si="26"/>
        <v>184.53942137600566</v>
      </c>
      <c r="CA9" s="11">
        <f t="shared" si="27"/>
        <v>6.5724841626069104</v>
      </c>
      <c r="CB9" s="11">
        <f t="shared" si="28"/>
        <v>2.7208156938304437</v>
      </c>
      <c r="CC9" s="11">
        <f t="shared" si="29"/>
        <v>6.2572128024589171</v>
      </c>
      <c r="CD9" s="11">
        <f t="shared" si="30"/>
        <v>3.0700583581756038</v>
      </c>
      <c r="CE9" s="11">
        <f t="shared" si="31"/>
        <v>54.300623344837696</v>
      </c>
      <c r="CF9" s="11">
        <f t="shared" si="32"/>
        <v>52.791421135096158</v>
      </c>
      <c r="CG9" s="11">
        <f t="shared" si="33"/>
        <v>53.546022239966931</v>
      </c>
      <c r="CH9" s="14">
        <f t="shared" si="34"/>
        <v>-2.153808550971803E-3</v>
      </c>
      <c r="CI9" s="14" t="e">
        <f>CB9-#REF!</f>
        <v>#REF!</v>
      </c>
      <c r="CJ9" s="14">
        <f t="shared" si="35"/>
        <v>5.4446169918289655E-3</v>
      </c>
      <c r="CK9" s="14">
        <f t="shared" si="36"/>
        <v>1.1475025373020031E-4</v>
      </c>
      <c r="CL9" s="19"/>
      <c r="CM9" s="12"/>
      <c r="CP9" s="17"/>
      <c r="CQ9" s="20"/>
      <c r="CR9" s="20"/>
      <c r="CS9" s="21"/>
      <c r="CZ9" s="14"/>
      <c r="DA9" s="14"/>
      <c r="DB9" s="14"/>
      <c r="DC9" s="14"/>
      <c r="DH9" s="12"/>
      <c r="ET9" s="1">
        <f t="shared" si="37"/>
        <v>3.1055275825312155E-5</v>
      </c>
      <c r="EU9" s="1">
        <f t="shared" si="38"/>
        <v>0.26467302603319687</v>
      </c>
      <c r="EV9" s="1">
        <f t="shared" si="39"/>
        <v>0.1956571924560582</v>
      </c>
      <c r="EW9" s="1">
        <f t="shared" si="40"/>
        <v>2.7432223386451545E-3</v>
      </c>
      <c r="EX9" s="1">
        <f t="shared" si="41"/>
        <v>2.5679935247001096</v>
      </c>
      <c r="EY9" s="1">
        <f t="shared" si="42"/>
        <v>0.73941531114776804</v>
      </c>
      <c r="EZ9" s="1">
        <f t="shared" si="43"/>
        <v>0.1844919158116696</v>
      </c>
      <c r="FA9" s="1">
        <f t="shared" si="44"/>
        <v>1.3209341552464187</v>
      </c>
      <c r="FB9" s="1">
        <f t="shared" si="45"/>
        <v>0.25952249757498735</v>
      </c>
      <c r="FC9" s="1">
        <f t="shared" si="46"/>
        <v>0.17947318220465447</v>
      </c>
      <c r="FD9" s="1">
        <f t="shared" si="47"/>
        <v>0.12730424157966302</v>
      </c>
      <c r="FE9" s="1">
        <f t="shared" si="48"/>
        <v>0.77264193238546319</v>
      </c>
      <c r="FF9" s="1">
        <f t="shared" si="49"/>
        <v>0.16365212078983152</v>
      </c>
      <c r="FG9" s="1">
        <f t="shared" si="50"/>
        <v>-0.16365212078983152</v>
      </c>
      <c r="FH9" s="1">
        <f t="shared" si="51"/>
        <v>0.68632096619273164</v>
      </c>
      <c r="FI9" s="1">
        <f t="shared" si="52"/>
        <v>1.6024960295426973</v>
      </c>
      <c r="FJ9" s="1">
        <f t="shared" si="53"/>
        <v>0.85989261605607947</v>
      </c>
      <c r="FK9" s="1">
        <f t="shared" si="54"/>
        <v>0.42952522139179394</v>
      </c>
      <c r="FL9" s="1">
        <f t="shared" si="55"/>
        <v>1.0959212963568778</v>
      </c>
      <c r="FM9" s="1">
        <f t="shared" si="56"/>
        <v>0.33503812677855421</v>
      </c>
      <c r="FN9" s="1">
        <f t="shared" si="57"/>
        <v>0.36968981122880495</v>
      </c>
      <c r="FO9" s="1">
        <f t="shared" si="58"/>
        <v>0.35029826862434676</v>
      </c>
    </row>
    <row r="10" spans="1:171" x14ac:dyDescent="0.25">
      <c r="A10" s="11">
        <v>6.5857783140837629</v>
      </c>
      <c r="B10" s="3">
        <v>240</v>
      </c>
      <c r="C10" s="12">
        <v>0.19084422288837991</v>
      </c>
      <c r="D10" s="12">
        <v>0.38885470698427366</v>
      </c>
      <c r="E10" s="11">
        <v>6.5857783140837629</v>
      </c>
      <c r="F10" s="12">
        <v>0.21074572005565329</v>
      </c>
      <c r="G10" s="12">
        <v>0.50423364660407455</v>
      </c>
      <c r="H10" s="12">
        <f t="shared" si="86"/>
        <v>0.22134156987383763</v>
      </c>
      <c r="I10" s="12">
        <f t="shared" si="87"/>
        <v>0.45099458602459414</v>
      </c>
      <c r="J10" s="12">
        <f t="shared" si="59"/>
        <v>6.5535824271566109E-2</v>
      </c>
      <c r="K10" s="13">
        <f t="shared" si="60"/>
        <v>5.3866612098258132E-2</v>
      </c>
      <c r="L10" s="13">
        <f>SUM(K$3:$K10)</f>
        <v>0.45931634727959869</v>
      </c>
      <c r="M10" s="72">
        <f t="shared" si="88"/>
        <v>0.69503633933473152</v>
      </c>
      <c r="N10" s="12">
        <f t="shared" si="61"/>
        <v>1.4393847616358112E-4</v>
      </c>
      <c r="O10" s="21">
        <f t="shared" si="62"/>
        <v>6.8066340632979484E-9</v>
      </c>
      <c r="P10" s="11">
        <f>SUM(O$2:$O10)</f>
        <v>7.4794490708198178E-8</v>
      </c>
      <c r="Q10" s="12">
        <f t="shared" si="63"/>
        <v>1.0128252934068428E-3</v>
      </c>
      <c r="R10" s="3">
        <f t="shared" si="0"/>
        <v>0.33575503617486507</v>
      </c>
      <c r="S10" s="1">
        <f t="shared" si="64"/>
        <v>1.4678132945629698E-3</v>
      </c>
      <c r="T10" s="1">
        <f t="shared" si="65"/>
        <v>0.96228686582725842</v>
      </c>
      <c r="U10" s="1">
        <f t="shared" si="66"/>
        <v>4.2088271285442413E-3</v>
      </c>
      <c r="V10" s="11">
        <f t="shared" si="67"/>
        <v>6.3286741368589201</v>
      </c>
      <c r="W10" s="12">
        <f t="shared" si="68"/>
        <v>4.3871877884831163E-2</v>
      </c>
      <c r="X10" s="13">
        <f t="shared" si="1"/>
        <v>-1.2979841381231094E-2</v>
      </c>
      <c r="Y10" s="12">
        <f t="shared" si="69"/>
        <v>1.1470411873743869E-2</v>
      </c>
      <c r="Z10" s="12" t="e">
        <f>SQRT((Q10/M10)^2 + (0.0002/G10)^2)*#REF!</f>
        <v>#REF!</v>
      </c>
      <c r="AA10" s="12">
        <f t="shared" si="70"/>
        <v>1.0768265482051892E-2</v>
      </c>
      <c r="AB10" s="12">
        <f t="shared" si="2"/>
        <v>4.6948964719212352E-3</v>
      </c>
      <c r="AC10" s="14">
        <f t="shared" si="71"/>
        <v>6.2802151419717038</v>
      </c>
      <c r="AD10" s="1">
        <f t="shared" si="72"/>
        <v>3.0822380617084795</v>
      </c>
      <c r="AE10" s="1">
        <f t="shared" si="73"/>
        <v>6.5959710987363138</v>
      </c>
      <c r="AF10" s="14">
        <f t="shared" si="3"/>
        <v>249.60988360873316</v>
      </c>
      <c r="AG10" s="14">
        <f t="shared" si="4"/>
        <v>60.12361604534933</v>
      </c>
      <c r="AH10" s="14">
        <f t="shared" si="5"/>
        <v>275.34057976629811</v>
      </c>
      <c r="AI10" s="14">
        <f t="shared" si="74"/>
        <v>47.258267966566848</v>
      </c>
      <c r="AJ10" s="14">
        <f t="shared" si="6"/>
        <v>142.22799959681697</v>
      </c>
      <c r="AK10" s="7"/>
      <c r="AL10" s="12">
        <f t="shared" si="75"/>
        <v>0.69503633933473152</v>
      </c>
      <c r="AM10" s="14">
        <f t="shared" si="7"/>
        <v>0.33575503617486507</v>
      </c>
      <c r="AN10" s="14">
        <f t="shared" si="76"/>
        <v>1.0391911554776552</v>
      </c>
      <c r="AO10" s="11">
        <f t="shared" si="89"/>
        <v>6.3286741368589201</v>
      </c>
      <c r="AP10" s="14">
        <f t="shared" si="8"/>
        <v>6.7067785508768054</v>
      </c>
      <c r="AQ10" s="14">
        <f t="shared" si="9"/>
        <v>-1.2979841322070085E-2</v>
      </c>
      <c r="AR10" s="82">
        <f t="shared" si="10"/>
        <v>275.77160502100048</v>
      </c>
      <c r="AS10" s="82">
        <f t="shared" si="11"/>
        <v>46.85475796114082</v>
      </c>
      <c r="AT10" s="82">
        <f t="shared" si="12"/>
        <v>142.70314840928987</v>
      </c>
      <c r="AU10" s="14">
        <f t="shared" si="13"/>
        <v>0.43102525470237651</v>
      </c>
      <c r="AV10" s="14">
        <f t="shared" si="14"/>
        <v>-0.40351000542602833</v>
      </c>
      <c r="AW10" s="14">
        <f t="shared" si="15"/>
        <v>0.47514881247289509</v>
      </c>
      <c r="AX10" s="11">
        <f t="shared" si="77"/>
        <v>0.1210002367930425</v>
      </c>
      <c r="AY10" s="92"/>
      <c r="AZ10" s="2"/>
      <c r="BA10" s="12">
        <v>0.21074572005565329</v>
      </c>
      <c r="BB10" s="12">
        <v>0.50423364660407455</v>
      </c>
      <c r="BC10" s="12">
        <f t="shared" si="78"/>
        <v>0.22134156987383763</v>
      </c>
      <c r="BD10" s="12">
        <f t="shared" si="79"/>
        <v>0.45099458602459414</v>
      </c>
      <c r="BE10" s="12">
        <v>0.69530490283902091</v>
      </c>
      <c r="BF10" s="14">
        <f t="shared" si="16"/>
        <v>0.33614439594337026</v>
      </c>
      <c r="BG10" s="14">
        <f t="shared" si="17"/>
        <v>1.0379874488783116</v>
      </c>
      <c r="BH10" s="11">
        <f t="shared" si="80"/>
        <v>6.3213435636689166</v>
      </c>
      <c r="BI10" s="11">
        <f t="shared" si="18"/>
        <v>6.496275313610627</v>
      </c>
      <c r="BJ10" s="12">
        <f t="shared" si="19"/>
        <v>-1.2583637996752217E-2</v>
      </c>
      <c r="BK10" s="11">
        <f t="shared" si="20"/>
        <v>-8.9503000473135863E-2</v>
      </c>
      <c r="BL10" s="14">
        <f t="shared" si="91"/>
        <v>6.282641830319875</v>
      </c>
      <c r="BM10" s="14">
        <f t="shared" si="92"/>
        <v>3.0834290449823882</v>
      </c>
      <c r="BN10" s="14">
        <f t="shared" si="90"/>
        <v>6.5985197958507174</v>
      </c>
      <c r="BO10" s="14">
        <f t="shared" si="81"/>
        <v>249.51347107838345</v>
      </c>
      <c r="BP10" s="14">
        <f t="shared" si="82"/>
        <v>60.100393126958025</v>
      </c>
      <c r="BQ10" s="14">
        <f t="shared" si="83"/>
        <v>275.23422868107889</v>
      </c>
      <c r="BR10" s="14">
        <f t="shared" si="84"/>
        <v>47.240014325610304</v>
      </c>
      <c r="BS10" s="14">
        <f t="shared" si="21"/>
        <v>142.17306362581513</v>
      </c>
      <c r="BT10" s="18">
        <f t="shared" si="22"/>
        <v>275.16350973784114</v>
      </c>
      <c r="BU10" s="18">
        <f t="shared" si="23"/>
        <v>46.815305246940767</v>
      </c>
      <c r="BV10" s="18">
        <f t="shared" si="24"/>
        <v>142.36242919490761</v>
      </c>
      <c r="BW10" s="11">
        <f t="shared" si="85"/>
        <v>-7.0718943237750409E-2</v>
      </c>
      <c r="BX10" s="11">
        <f t="shared" si="25"/>
        <v>-0.42470907866953667</v>
      </c>
      <c r="BY10" s="11">
        <f t="shared" si="25"/>
        <v>0.18936556909247315</v>
      </c>
      <c r="BZ10" s="11">
        <f t="shared" si="26"/>
        <v>186.62945604255211</v>
      </c>
      <c r="CA10" s="11">
        <f t="shared" si="27"/>
        <v>6.5976720264294926</v>
      </c>
      <c r="CB10" s="11">
        <f t="shared" si="28"/>
        <v>2.7213802731164805</v>
      </c>
      <c r="CC10" s="11">
        <f t="shared" si="29"/>
        <v>6.2768024538651268</v>
      </c>
      <c r="CD10" s="11">
        <f t="shared" si="30"/>
        <v>3.0775682674664426</v>
      </c>
      <c r="CE10" s="11">
        <f t="shared" si="31"/>
        <v>54.649399256751167</v>
      </c>
      <c r="CF10" s="11">
        <f t="shared" si="32"/>
        <v>53.077517243959612</v>
      </c>
      <c r="CG10" s="11">
        <f t="shared" si="33"/>
        <v>53.863458250355393</v>
      </c>
      <c r="CH10" s="14">
        <f t="shared" si="34"/>
        <v>1.7009276931787554E-3</v>
      </c>
      <c r="CI10" s="14" t="e">
        <f>CB10-#REF!</f>
        <v>#REF!</v>
      </c>
      <c r="CJ10" s="14">
        <f t="shared" si="35"/>
        <v>-3.412688106577022E-3</v>
      </c>
      <c r="CK10" s="14">
        <f t="shared" si="36"/>
        <v>-4.6697942420368399E-3</v>
      </c>
      <c r="CL10" s="19"/>
      <c r="CM10" s="12"/>
      <c r="CP10" s="17"/>
      <c r="CQ10" s="20"/>
      <c r="CR10" s="20"/>
      <c r="CS10" s="21"/>
      <c r="CZ10" s="14"/>
      <c r="DA10" s="14"/>
      <c r="DB10" s="14"/>
      <c r="DC10" s="14"/>
      <c r="DH10" s="12"/>
      <c r="ET10" s="1">
        <f t="shared" si="37"/>
        <v>3.1067859323994916E-5</v>
      </c>
      <c r="EU10" s="1">
        <f t="shared" si="38"/>
        <v>0.27311333204595445</v>
      </c>
      <c r="EV10" s="1">
        <f t="shared" si="39"/>
        <v>0.20347804975162062</v>
      </c>
      <c r="EW10" s="1">
        <f t="shared" si="40"/>
        <v>2.8435934894942027E-3</v>
      </c>
      <c r="EX10" s="1">
        <f t="shared" si="41"/>
        <v>2.6284433934736491</v>
      </c>
      <c r="EY10" s="1">
        <f t="shared" si="42"/>
        <v>0.75898785231184507</v>
      </c>
      <c r="EZ10" s="1">
        <f t="shared" si="43"/>
        <v>0.19137665277278795</v>
      </c>
      <c r="FA10" s="1">
        <f t="shared" si="44"/>
        <v>1.3532094504089298</v>
      </c>
      <c r="FB10" s="1">
        <f t="shared" si="45"/>
        <v>0.26770201348999667</v>
      </c>
      <c r="FC10" s="1">
        <f t="shared" si="46"/>
        <v>0.18572502186337145</v>
      </c>
      <c r="FD10" s="1">
        <f t="shared" si="47"/>
        <v>0.12902781893768511</v>
      </c>
      <c r="FE10" s="1">
        <f t="shared" si="48"/>
        <v>0.76776307576648017</v>
      </c>
      <c r="FF10" s="1">
        <f t="shared" si="49"/>
        <v>0.16451390946884256</v>
      </c>
      <c r="FG10" s="1">
        <f t="shared" si="50"/>
        <v>-0.16451390946884256</v>
      </c>
      <c r="FH10" s="1">
        <f t="shared" si="51"/>
        <v>0.68388153788324013</v>
      </c>
      <c r="FI10" s="1">
        <f t="shared" si="52"/>
        <v>1.6212474806375643</v>
      </c>
      <c r="FJ10" s="1">
        <f t="shared" si="53"/>
        <v>0.87119908879190466</v>
      </c>
      <c r="FK10" s="1">
        <f t="shared" si="54"/>
        <v>0.43746617328976184</v>
      </c>
      <c r="FL10" s="1">
        <f t="shared" si="55"/>
        <v>1.1094158925787505</v>
      </c>
      <c r="FM10" s="1">
        <f t="shared" si="56"/>
        <v>0.34030951615742261</v>
      </c>
      <c r="FN10" s="1">
        <f t="shared" si="57"/>
        <v>0.3746842180651479</v>
      </c>
      <c r="FO10" s="1">
        <f t="shared" si="58"/>
        <v>0.35550432344716798</v>
      </c>
    </row>
    <row r="11" spans="1:171" x14ac:dyDescent="0.25">
      <c r="A11" s="11">
        <v>7.274487157386611</v>
      </c>
      <c r="B11" s="3">
        <v>270</v>
      </c>
      <c r="C11" s="12">
        <v>0.18989875578343543</v>
      </c>
      <c r="D11" s="12">
        <v>0.3872428491668079</v>
      </c>
      <c r="E11" s="11">
        <v>7.274487157386611</v>
      </c>
      <c r="F11" s="12">
        <v>0.20914572005565329</v>
      </c>
      <c r="G11" s="12">
        <v>0.5046336466040745</v>
      </c>
      <c r="H11" s="12">
        <f t="shared" si="86"/>
        <v>0.22024501494487403</v>
      </c>
      <c r="I11" s="12">
        <f t="shared" si="87"/>
        <v>0.44912514961026817</v>
      </c>
      <c r="J11" s="12">
        <f t="shared" si="59"/>
        <v>6.4505288502682029E-2</v>
      </c>
      <c r="K11" s="13">
        <f t="shared" si="60"/>
        <v>4.4780232180283826E-2</v>
      </c>
      <c r="L11" s="13">
        <f>SUM(K$3:$K11)</f>
        <v>0.50409657945988251</v>
      </c>
      <c r="M11" s="72">
        <f t="shared" si="88"/>
        <v>0.69417463965772075</v>
      </c>
      <c r="N11" s="12">
        <f t="shared" si="61"/>
        <v>1.4137639436247103E-4</v>
      </c>
      <c r="O11" s="21">
        <f t="shared" si="62"/>
        <v>4.6994311607138134E-9</v>
      </c>
      <c r="P11" s="11">
        <f>SUM(O$2:$O11)</f>
        <v>7.9493921868911995E-8</v>
      </c>
      <c r="Q11" s="12">
        <f t="shared" si="63"/>
        <v>1.0140661693873523E-3</v>
      </c>
      <c r="R11" s="3">
        <f t="shared" si="0"/>
        <v>0.33450778574282325</v>
      </c>
      <c r="S11" s="1">
        <f t="shared" si="64"/>
        <v>1.4659698419077669E-3</v>
      </c>
      <c r="T11" s="1">
        <f t="shared" si="65"/>
        <v>0.95871219804915209</v>
      </c>
      <c r="U11" s="1">
        <f t="shared" si="66"/>
        <v>4.203543722230859E-3</v>
      </c>
      <c r="V11" s="11">
        <f t="shared" si="67"/>
        <v>6.3522713202067465</v>
      </c>
      <c r="W11" s="12">
        <f t="shared" si="68"/>
        <v>4.407871276008464E-2</v>
      </c>
      <c r="X11" s="13">
        <f t="shared" si="1"/>
        <v>-1.4254186181280604E-2</v>
      </c>
      <c r="Y11" s="12">
        <f t="shared" si="69"/>
        <v>1.1590171051725551E-2</v>
      </c>
      <c r="Z11" s="12" t="e">
        <f>SQRT((Q11/M11)^2 + (0.0002/G11)^2)*#REF!</f>
        <v>#REF!</v>
      </c>
      <c r="AA11" s="12">
        <f t="shared" si="70"/>
        <v>1.0842680261065187E-2</v>
      </c>
      <c r="AB11" s="12">
        <f t="shared" si="2"/>
        <v>4.7208912039534128E-3</v>
      </c>
      <c r="AC11" s="14">
        <f t="shared" si="71"/>
        <v>6.3036581312087216</v>
      </c>
      <c r="AD11" s="1">
        <f t="shared" si="72"/>
        <v>3.0912303185875749</v>
      </c>
      <c r="AE11" s="1">
        <f t="shared" si="73"/>
        <v>6.6381912044195994</v>
      </c>
      <c r="AF11" s="14">
        <f t="shared" si="3"/>
        <v>252.41452547334765</v>
      </c>
      <c r="AG11" s="14">
        <f t="shared" si="4"/>
        <v>60.700430069813955</v>
      </c>
      <c r="AH11" s="14">
        <f t="shared" si="5"/>
        <v>279.91653570973227</v>
      </c>
      <c r="AI11" s="14">
        <f t="shared" si="74"/>
        <v>46.949424951621637</v>
      </c>
      <c r="AJ11" s="14">
        <f t="shared" si="6"/>
        <v>144.76467045191208</v>
      </c>
      <c r="AK11" s="7"/>
      <c r="AL11" s="12">
        <f t="shared" si="75"/>
        <v>0.69417463965772075</v>
      </c>
      <c r="AM11" s="14">
        <f t="shared" si="7"/>
        <v>0.33450778574282325</v>
      </c>
      <c r="AN11" s="14">
        <f t="shared" si="76"/>
        <v>1.043065898227709</v>
      </c>
      <c r="AO11" s="11">
        <f t="shared" si="89"/>
        <v>6.3522713202067465</v>
      </c>
      <c r="AP11" s="14">
        <f t="shared" si="8"/>
        <v>7.4076693520010171</v>
      </c>
      <c r="AQ11" s="14">
        <f t="shared" si="9"/>
        <v>-1.4254186116231082E-2</v>
      </c>
      <c r="AR11" s="82">
        <f t="shared" si="10"/>
        <v>279.32361358497411</v>
      </c>
      <c r="AS11" s="82">
        <f t="shared" si="11"/>
        <v>47.046382262005579</v>
      </c>
      <c r="AT11" s="82">
        <f t="shared" si="12"/>
        <v>144.73506349183882</v>
      </c>
      <c r="AU11" s="14">
        <f t="shared" si="13"/>
        <v>-0.59292212475816086</v>
      </c>
      <c r="AV11" s="14">
        <f t="shared" si="14"/>
        <v>9.6957310383942286E-2</v>
      </c>
      <c r="AW11" s="14">
        <f t="shared" si="15"/>
        <v>-2.9606960073266464E-2</v>
      </c>
      <c r="AX11" s="11">
        <f t="shared" si="77"/>
        <v>0.13318219461440606</v>
      </c>
      <c r="AY11" s="92"/>
      <c r="AZ11" s="2"/>
      <c r="BA11" s="12">
        <v>0.20914572005565329</v>
      </c>
      <c r="BB11" s="12">
        <v>0.5046336466040745</v>
      </c>
      <c r="BC11" s="12">
        <f t="shared" si="78"/>
        <v>0.22024501494487403</v>
      </c>
      <c r="BD11" s="12">
        <f t="shared" si="79"/>
        <v>0.44912514961026817</v>
      </c>
      <c r="BE11" s="12">
        <v>0.69421045339022003</v>
      </c>
      <c r="BF11" s="14">
        <f t="shared" si="16"/>
        <v>0.33455956200956766</v>
      </c>
      <c r="BG11" s="14">
        <f t="shared" si="17"/>
        <v>1.0429044738826558</v>
      </c>
      <c r="BH11" s="11">
        <f t="shared" si="80"/>
        <v>6.3512882459453737</v>
      </c>
      <c r="BI11" s="11">
        <f t="shared" si="18"/>
        <v>7.3859833874956395</v>
      </c>
      <c r="BJ11" s="12">
        <f t="shared" si="19"/>
        <v>-1.420112760433645E-2</v>
      </c>
      <c r="BK11" s="11">
        <f t="shared" si="20"/>
        <v>0.11149623010902854</v>
      </c>
      <c r="BL11" s="14">
        <f t="shared" si="91"/>
        <v>6.3039833483992966</v>
      </c>
      <c r="BM11" s="14">
        <f t="shared" si="92"/>
        <v>3.0913898007832628</v>
      </c>
      <c r="BN11" s="14">
        <f t="shared" si="90"/>
        <v>6.6385336807800028</v>
      </c>
      <c r="BO11" s="14">
        <f t="shared" si="81"/>
        <v>252.40150362060822</v>
      </c>
      <c r="BP11" s="14">
        <f t="shared" si="82"/>
        <v>60.697298585759675</v>
      </c>
      <c r="BQ11" s="14">
        <f t="shared" si="83"/>
        <v>279.90209505145202</v>
      </c>
      <c r="BR11" s="14">
        <f t="shared" si="84"/>
        <v>46.947002870337769</v>
      </c>
      <c r="BS11" s="14">
        <f t="shared" si="21"/>
        <v>144.75720216451077</v>
      </c>
      <c r="BT11" s="18">
        <f t="shared" si="22"/>
        <v>279.74529697968052</v>
      </c>
      <c r="BU11" s="18">
        <f t="shared" si="23"/>
        <v>47.060508901470058</v>
      </c>
      <c r="BV11" s="18">
        <f t="shared" si="24"/>
        <v>144.98150669030019</v>
      </c>
      <c r="BW11" s="11">
        <f t="shared" si="85"/>
        <v>-0.15679807177150451</v>
      </c>
      <c r="BX11" s="11">
        <f t="shared" si="25"/>
        <v>0.11350603113228885</v>
      </c>
      <c r="BY11" s="11">
        <f t="shared" si="25"/>
        <v>0.22430452578942095</v>
      </c>
      <c r="BZ11" s="11">
        <f t="shared" si="26"/>
        <v>189.90277012009361</v>
      </c>
      <c r="CA11" s="11">
        <f t="shared" si="27"/>
        <v>6.6366740035638143</v>
      </c>
      <c r="CB11" s="11">
        <f t="shared" si="28"/>
        <v>2.7220581465727176</v>
      </c>
      <c r="CC11" s="11">
        <f t="shared" si="29"/>
        <v>6.3070873119335751</v>
      </c>
      <c r="CD11" s="11">
        <f t="shared" si="30"/>
        <v>3.0891177695676895</v>
      </c>
      <c r="CE11" s="11">
        <f t="shared" si="31"/>
        <v>55.189063398758094</v>
      </c>
      <c r="CF11" s="11">
        <f t="shared" si="32"/>
        <v>53.516413447882833</v>
      </c>
      <c r="CG11" s="11">
        <f t="shared" si="33"/>
        <v>54.35273842332046</v>
      </c>
      <c r="CH11" s="14">
        <f t="shared" si="34"/>
        <v>-1.5172008557851058E-3</v>
      </c>
      <c r="CI11" s="14" t="e">
        <f>CB11-#REF!</f>
        <v>#REF!</v>
      </c>
      <c r="CJ11" s="14">
        <f t="shared" si="35"/>
        <v>3.4291807248534312E-3</v>
      </c>
      <c r="CK11" s="14">
        <f t="shared" si="36"/>
        <v>-2.1125490198854457E-3</v>
      </c>
      <c r="CL11" s="19"/>
      <c r="CM11" s="12"/>
      <c r="CP11" s="17"/>
      <c r="CQ11" s="20"/>
      <c r="CR11" s="20"/>
      <c r="CS11" s="21"/>
      <c r="CZ11" s="14"/>
      <c r="DA11" s="14"/>
      <c r="DB11" s="14"/>
      <c r="DC11" s="14"/>
      <c r="DH11" s="12"/>
      <c r="ET11" s="1">
        <f t="shared" si="37"/>
        <v>3.1078353955190695E-5</v>
      </c>
      <c r="EU11" s="1">
        <f t="shared" si="38"/>
        <v>0.28660194185830962</v>
      </c>
      <c r="EV11" s="1">
        <f t="shared" si="39"/>
        <v>0.21015343572116962</v>
      </c>
      <c r="EW11" s="1">
        <f t="shared" si="40"/>
        <v>2.9225958893622636E-3</v>
      </c>
      <c r="EX11" s="1">
        <f t="shared" si="41"/>
        <v>2.7216925061029036</v>
      </c>
      <c r="EY11" s="1">
        <f t="shared" si="42"/>
        <v>0.78718238103176563</v>
      </c>
      <c r="EZ11" s="1">
        <f t="shared" si="43"/>
        <v>0.19561585547461435</v>
      </c>
      <c r="FA11" s="1">
        <f t="shared" si="44"/>
        <v>1.4026588082917184</v>
      </c>
      <c r="FB11" s="1">
        <f t="shared" si="45"/>
        <v>0.26512828247857301</v>
      </c>
      <c r="FC11" s="1">
        <f t="shared" si="46"/>
        <v>0.18627038255351877</v>
      </c>
      <c r="FD11" s="1">
        <f t="shared" si="47"/>
        <v>0.12525937239086041</v>
      </c>
      <c r="FE11" s="1">
        <f t="shared" si="48"/>
        <v>0.77849356649199342</v>
      </c>
      <c r="FF11" s="1">
        <f t="shared" si="49"/>
        <v>0.16262968619543022</v>
      </c>
      <c r="FG11" s="1">
        <f t="shared" si="50"/>
        <v>-0.16262968619543022</v>
      </c>
      <c r="FH11" s="1">
        <f t="shared" si="51"/>
        <v>0.68924678324599675</v>
      </c>
      <c r="FI11" s="1">
        <f t="shared" si="52"/>
        <v>1.6497552867328245</v>
      </c>
      <c r="FJ11" s="1">
        <f t="shared" si="53"/>
        <v>0.88723299140178824</v>
      </c>
      <c r="FK11" s="1">
        <f t="shared" si="54"/>
        <v>0.44228481262034575</v>
      </c>
      <c r="FL11" s="1">
        <f t="shared" si="55"/>
        <v>1.1294569621133492</v>
      </c>
      <c r="FM11" s="1">
        <f t="shared" si="56"/>
        <v>0.34276798971742317</v>
      </c>
      <c r="FN11" s="1">
        <f t="shared" si="57"/>
        <v>0.38075138138045272</v>
      </c>
      <c r="FO11" s="1">
        <f t="shared" si="58"/>
        <v>0.35946646728653003</v>
      </c>
    </row>
    <row r="12" spans="1:171" x14ac:dyDescent="0.25">
      <c r="A12" s="11">
        <v>7.834063092570239</v>
      </c>
      <c r="B12" s="3">
        <v>300</v>
      </c>
      <c r="C12" s="12">
        <v>0.1891508537216991</v>
      </c>
      <c r="D12" s="12">
        <v>0.38607009792214575</v>
      </c>
      <c r="E12" s="11">
        <v>7.834063092570239</v>
      </c>
      <c r="F12" s="12">
        <v>0.20814572005565329</v>
      </c>
      <c r="G12" s="12">
        <v>0.50383364660407459</v>
      </c>
      <c r="H12" s="12">
        <f t="shared" si="86"/>
        <v>0.21937759640869217</v>
      </c>
      <c r="I12" s="12">
        <f t="shared" si="87"/>
        <v>0.44776499001184611</v>
      </c>
      <c r="J12" s="12">
        <f t="shared" si="59"/>
        <v>6.3842156886695783E-2</v>
      </c>
      <c r="K12" s="13">
        <f t="shared" si="60"/>
        <v>3.5910070891095359E-2</v>
      </c>
      <c r="L12" s="13">
        <f>SUM(K$3:$K12)</f>
        <v>0.54000665035097783</v>
      </c>
      <c r="M12" s="72">
        <f t="shared" si="88"/>
        <v>0.69348516942975935</v>
      </c>
      <c r="N12" s="12">
        <f t="shared" si="61"/>
        <v>1.4015569129308025E-4</v>
      </c>
      <c r="O12" s="21">
        <f t="shared" si="62"/>
        <v>3.0482080873313215E-9</v>
      </c>
      <c r="P12" s="11">
        <f>SUM(O$2:$O12)</f>
        <v>8.2542129956243318E-8</v>
      </c>
      <c r="Q12" s="12">
        <f t="shared" si="63"/>
        <v>1.0150597912336166E-3</v>
      </c>
      <c r="R12" s="3">
        <f t="shared" si="0"/>
        <v>0.33351205288913305</v>
      </c>
      <c r="S12" s="1">
        <f t="shared" si="64"/>
        <v>1.4644927809685222E-3</v>
      </c>
      <c r="T12" s="1">
        <f t="shared" si="65"/>
        <v>0.9558583893382091</v>
      </c>
      <c r="U12" s="1">
        <f t="shared" si="66"/>
        <v>4.1993104086875841E-3</v>
      </c>
      <c r="V12" s="11">
        <f t="shared" si="67"/>
        <v>6.3712366475293765</v>
      </c>
      <c r="W12" s="12">
        <f t="shared" si="68"/>
        <v>4.4245163152270971E-2</v>
      </c>
      <c r="X12" s="13">
        <f t="shared" si="1"/>
        <v>-1.5277248312935976E-2</v>
      </c>
      <c r="Y12" s="12">
        <f t="shared" si="69"/>
        <v>1.166714901320411E-2</v>
      </c>
      <c r="Z12" s="12" t="e">
        <f>SQRT((Q12/M12)^2 + (0.0002/G12)^2)*#REF!</f>
        <v>#REF!</v>
      </c>
      <c r="AA12" s="12">
        <f t="shared" si="70"/>
        <v>1.0902220726807634E-2</v>
      </c>
      <c r="AB12" s="12">
        <f t="shared" si="2"/>
        <v>4.7402990598772636E-3</v>
      </c>
      <c r="AC12" s="14">
        <f t="shared" si="71"/>
        <v>6.3222970876007105</v>
      </c>
      <c r="AD12" s="1">
        <f t="shared" si="72"/>
        <v>3.0975408301189979</v>
      </c>
      <c r="AE12" s="1">
        <f t="shared" si="73"/>
        <v>6.6634583621929639</v>
      </c>
      <c r="AF12" s="14">
        <f t="shared" si="3"/>
        <v>254.66750633803909</v>
      </c>
      <c r="AG12" s="14">
        <f t="shared" si="4"/>
        <v>61.130481402652372</v>
      </c>
      <c r="AH12" s="14">
        <f t="shared" si="5"/>
        <v>282.89359391019582</v>
      </c>
      <c r="AI12" s="14">
        <f t="shared" si="74"/>
        <v>47.017437616574</v>
      </c>
      <c r="AJ12" s="14">
        <f t="shared" si="6"/>
        <v>146.51958731881271</v>
      </c>
      <c r="AK12" s="7"/>
      <c r="AL12" s="12">
        <f t="shared" si="75"/>
        <v>0.69348516942975935</v>
      </c>
      <c r="AM12" s="14">
        <f t="shared" si="7"/>
        <v>0.33351205288913305</v>
      </c>
      <c r="AN12" s="14">
        <f t="shared" si="76"/>
        <v>1.0461800734859401</v>
      </c>
      <c r="AO12" s="11">
        <f t="shared" si="89"/>
        <v>6.3712366475293765</v>
      </c>
      <c r="AP12" s="14">
        <f t="shared" si="8"/>
        <v>7.9759439185879462</v>
      </c>
      <c r="AQ12" s="14">
        <f t="shared" si="9"/>
        <v>-1.5277248243148578E-2</v>
      </c>
      <c r="AR12" s="82">
        <f t="shared" si="10"/>
        <v>282.19218929159922</v>
      </c>
      <c r="AS12" s="82">
        <f t="shared" si="11"/>
        <v>47.196569624644845</v>
      </c>
      <c r="AT12" s="82">
        <f t="shared" si="12"/>
        <v>146.37905952035953</v>
      </c>
      <c r="AU12" s="14">
        <f t="shared" si="13"/>
        <v>-0.70140461859659808</v>
      </c>
      <c r="AV12" s="14">
        <f t="shared" si="14"/>
        <v>0.17913200807084451</v>
      </c>
      <c r="AW12" s="14">
        <f t="shared" si="15"/>
        <v>-0.14052779845317787</v>
      </c>
      <c r="AX12" s="11">
        <f t="shared" si="77"/>
        <v>0.14188082601770713</v>
      </c>
      <c r="AY12" s="92"/>
      <c r="AZ12" s="2"/>
      <c r="BA12" s="12">
        <v>0.20814572005565329</v>
      </c>
      <c r="BB12" s="12">
        <v>0.50383364660407459</v>
      </c>
      <c r="BC12" s="12">
        <f t="shared" si="78"/>
        <v>0.21937759640869217</v>
      </c>
      <c r="BD12" s="12">
        <f t="shared" si="79"/>
        <v>0.44776499001184611</v>
      </c>
      <c r="BE12" s="12">
        <v>0.69350184457342745</v>
      </c>
      <c r="BF12" s="14">
        <f t="shared" si="16"/>
        <v>0.33353611178196224</v>
      </c>
      <c r="BG12" s="14">
        <f t="shared" si="17"/>
        <v>1.0461046095904909</v>
      </c>
      <c r="BH12" s="11">
        <f t="shared" si="80"/>
        <v>6.3707770724060895</v>
      </c>
      <c r="BI12" s="11">
        <f t="shared" si="18"/>
        <v>7.9710865045469097</v>
      </c>
      <c r="BJ12" s="12">
        <f t="shared" si="19"/>
        <v>-1.5252469018942172E-2</v>
      </c>
      <c r="BK12" s="11">
        <f t="shared" si="20"/>
        <v>0.13702341197667067</v>
      </c>
      <c r="BL12" s="14">
        <f t="shared" si="91"/>
        <v>6.3224491099032711</v>
      </c>
      <c r="BM12" s="14">
        <f t="shared" si="92"/>
        <v>3.0976153117959493</v>
      </c>
      <c r="BN12" s="14">
        <f t="shared" si="90"/>
        <v>6.6636185878624001</v>
      </c>
      <c r="BO12" s="14">
        <f t="shared" si="81"/>
        <v>254.66138289757669</v>
      </c>
      <c r="BP12" s="14">
        <f t="shared" si="82"/>
        <v>61.129011529763247</v>
      </c>
      <c r="BQ12" s="14">
        <f t="shared" si="83"/>
        <v>282.88679177786099</v>
      </c>
      <c r="BR12" s="14">
        <f t="shared" si="84"/>
        <v>47.016307089621108</v>
      </c>
      <c r="BS12" s="14">
        <f t="shared" si="21"/>
        <v>146.51606427819235</v>
      </c>
      <c r="BT12" s="18">
        <f t="shared" si="22"/>
        <v>282.7448832285736</v>
      </c>
      <c r="BU12" s="18">
        <f t="shared" si="23"/>
        <v>47.215664819342308</v>
      </c>
      <c r="BV12" s="18">
        <f t="shared" si="24"/>
        <v>146.69968392208929</v>
      </c>
      <c r="BW12" s="11">
        <f t="shared" si="85"/>
        <v>-0.14190854928739327</v>
      </c>
      <c r="BX12" s="11">
        <f t="shared" si="25"/>
        <v>0.19935772972119992</v>
      </c>
      <c r="BY12" s="11">
        <f t="shared" si="25"/>
        <v>0.18361964389694663</v>
      </c>
      <c r="BZ12" s="11">
        <f t="shared" si="26"/>
        <v>192.04808369091742</v>
      </c>
      <c r="CA12" s="11">
        <f t="shared" si="27"/>
        <v>6.6619469950276837</v>
      </c>
      <c r="CB12" s="11">
        <f t="shared" si="28"/>
        <v>2.7223681200045049</v>
      </c>
      <c r="CC12" s="11">
        <f t="shared" si="29"/>
        <v>6.3266797555887671</v>
      </c>
      <c r="CD12" s="11">
        <f t="shared" si="30"/>
        <v>3.0965498568891578</v>
      </c>
      <c r="CE12" s="11">
        <f t="shared" si="31"/>
        <v>55.538438752902245</v>
      </c>
      <c r="CF12" s="11">
        <f t="shared" si="32"/>
        <v>53.798017442267472</v>
      </c>
      <c r="CG12" s="11">
        <f t="shared" si="33"/>
        <v>54.668228097584858</v>
      </c>
      <c r="CH12" s="14">
        <f t="shared" si="34"/>
        <v>-1.5113671652802196E-3</v>
      </c>
      <c r="CI12" s="14" t="e">
        <f>CB12-#REF!</f>
        <v>#REF!</v>
      </c>
      <c r="CJ12" s="14">
        <f t="shared" si="35"/>
        <v>4.3826679880565322E-3</v>
      </c>
      <c r="CK12" s="14">
        <f t="shared" si="36"/>
        <v>-9.909732298400975E-4</v>
      </c>
      <c r="CL12" s="19"/>
      <c r="CM12" s="12"/>
      <c r="CP12" s="17"/>
      <c r="CQ12" s="20"/>
      <c r="CR12" s="20"/>
      <c r="CS12" s="21"/>
      <c r="CZ12" s="14"/>
      <c r="DA12" s="14"/>
      <c r="DB12" s="14"/>
      <c r="DC12" s="14"/>
      <c r="DH12" s="12"/>
      <c r="ET12" s="1">
        <f t="shared" si="37"/>
        <v>3.1086791694731657E-5</v>
      </c>
      <c r="EU12" s="1">
        <f t="shared" si="38"/>
        <v>0.29555018682860462</v>
      </c>
      <c r="EV12" s="1">
        <f t="shared" si="39"/>
        <v>0.21561675540138495</v>
      </c>
      <c r="EW12" s="1">
        <f t="shared" si="40"/>
        <v>2.9821902553346332E-3</v>
      </c>
      <c r="EX12" s="1">
        <f t="shared" si="41"/>
        <v>2.7833883704855631</v>
      </c>
      <c r="EY12" s="1">
        <f t="shared" si="42"/>
        <v>0.80709141327758216</v>
      </c>
      <c r="EZ12" s="1">
        <f t="shared" si="43"/>
        <v>0.19949561359715398</v>
      </c>
      <c r="FA12" s="1">
        <f t="shared" si="44"/>
        <v>1.436305593334769</v>
      </c>
      <c r="FB12" s="1">
        <f t="shared" si="45"/>
        <v>0.26570820602497147</v>
      </c>
      <c r="FC12" s="1">
        <f t="shared" si="46"/>
        <v>0.18820840974344974</v>
      </c>
      <c r="FD12" s="1">
        <f t="shared" si="47"/>
        <v>0.12397105049363553</v>
      </c>
      <c r="FE12" s="1">
        <f t="shared" si="48"/>
        <v>0.78221624430986003</v>
      </c>
      <c r="FF12" s="1">
        <f t="shared" si="49"/>
        <v>0.16198552524681778</v>
      </c>
      <c r="FG12" s="1">
        <f t="shared" si="50"/>
        <v>-0.16198552524681778</v>
      </c>
      <c r="FH12" s="1">
        <f t="shared" si="51"/>
        <v>0.69110812215493</v>
      </c>
      <c r="FI12" s="1">
        <f t="shared" si="52"/>
        <v>1.6683489954100021</v>
      </c>
      <c r="FJ12" s="1">
        <f t="shared" si="53"/>
        <v>0.89838266528110511</v>
      </c>
      <c r="FK12" s="1">
        <f t="shared" si="54"/>
        <v>0.44664931836638233</v>
      </c>
      <c r="FL12" s="1">
        <f t="shared" si="55"/>
        <v>1.1429482537589144</v>
      </c>
      <c r="FM12" s="1">
        <f t="shared" si="56"/>
        <v>0.34515665412430474</v>
      </c>
      <c r="FN12" s="1">
        <f t="shared" si="57"/>
        <v>0.38487306552462852</v>
      </c>
      <c r="FO12" s="1">
        <f t="shared" si="58"/>
        <v>0.36259299871325179</v>
      </c>
    </row>
    <row r="13" spans="1:171" x14ac:dyDescent="0.25">
      <c r="A13" s="11">
        <v>8.5227719358730862</v>
      </c>
      <c r="B13" s="3">
        <v>330</v>
      </c>
      <c r="C13" s="12">
        <v>0.18825875165145373</v>
      </c>
      <c r="D13" s="12">
        <v>0.38477686045836157</v>
      </c>
      <c r="E13" s="11">
        <v>8.5227719358730862</v>
      </c>
      <c r="F13" s="12">
        <v>0.20734572005565327</v>
      </c>
      <c r="G13" s="12">
        <v>0.50403364660407457</v>
      </c>
      <c r="H13" s="12">
        <f t="shared" si="86"/>
        <v>0.21834293437005509</v>
      </c>
      <c r="I13" s="12">
        <f t="shared" si="87"/>
        <v>0.44626509021859395</v>
      </c>
      <c r="J13" s="12">
        <f t="shared" si="59"/>
        <v>6.3276640631831735E-2</v>
      </c>
      <c r="K13" s="13">
        <f t="shared" si="60"/>
        <v>4.3773920000516962E-2</v>
      </c>
      <c r="L13" s="13">
        <f>SUM(K$3:$K13)</f>
        <v>0.58378057035149478</v>
      </c>
      <c r="M13" s="72">
        <f t="shared" si="88"/>
        <v>0.6926465640662175</v>
      </c>
      <c r="N13" s="12">
        <f t="shared" si="61"/>
        <v>1.3890838379065608E-4</v>
      </c>
      <c r="O13" s="21">
        <f t="shared" si="62"/>
        <v>4.5241558546774555E-9</v>
      </c>
      <c r="P13" s="11">
        <f>SUM(O$2:$O13)</f>
        <v>8.7066285810920778E-8</v>
      </c>
      <c r="Q13" s="12">
        <f t="shared" si="63"/>
        <v>1.0162691861868754E-3</v>
      </c>
      <c r="R13" s="3">
        <f t="shared" si="0"/>
        <v>0.33230360489691885</v>
      </c>
      <c r="S13" s="1">
        <f t="shared" si="64"/>
        <v>1.4626936664480649E-3</v>
      </c>
      <c r="T13" s="1">
        <f t="shared" si="65"/>
        <v>0.95239493084718774</v>
      </c>
      <c r="U13" s="1">
        <f t="shared" si="66"/>
        <v>4.1941540771761382E-3</v>
      </c>
      <c r="V13" s="11">
        <f t="shared" si="67"/>
        <v>6.3944061468100601</v>
      </c>
      <c r="W13" s="12">
        <f t="shared" si="68"/>
        <v>4.4448770085576232E-2</v>
      </c>
      <c r="X13" s="13">
        <f t="shared" si="1"/>
        <v>-1.6525723003432025E-2</v>
      </c>
      <c r="Y13" s="12">
        <f t="shared" si="69"/>
        <v>1.1731246070128905E-2</v>
      </c>
      <c r="Z13" s="12" t="e">
        <f>SQRT((Q13/M13)^2 + (0.0002/G13)^2)*#REF!</f>
        <v>#REF!</v>
      </c>
      <c r="AA13" s="12">
        <f t="shared" si="70"/>
        <v>1.0974080797447187E-2</v>
      </c>
      <c r="AB13" s="12">
        <f t="shared" si="2"/>
        <v>4.7622856671822381E-3</v>
      </c>
      <c r="AC13" s="14">
        <f t="shared" si="71"/>
        <v>6.3445750242808074</v>
      </c>
      <c r="AD13" s="1">
        <f t="shared" si="72"/>
        <v>3.1041933561369928</v>
      </c>
      <c r="AE13" s="1">
        <f t="shared" si="73"/>
        <v>6.6810789620379483</v>
      </c>
      <c r="AF13" s="14">
        <f t="shared" si="3"/>
        <v>257.39807341875269</v>
      </c>
      <c r="AG13" s="14">
        <f t="shared" si="4"/>
        <v>61.616602449590005</v>
      </c>
      <c r="AH13" s="14">
        <f t="shared" si="5"/>
        <v>285.42593122459795</v>
      </c>
      <c r="AI13" s="14">
        <f t="shared" si="74"/>
        <v>47.602673546667376</v>
      </c>
      <c r="AJ13" s="14">
        <f t="shared" si="6"/>
        <v>148.17879742249534</v>
      </c>
      <c r="AK13" s="7"/>
      <c r="AL13" s="12">
        <f t="shared" si="75"/>
        <v>0.6926465640662175</v>
      </c>
      <c r="AM13" s="14">
        <f t="shared" si="7"/>
        <v>0.33230360489691885</v>
      </c>
      <c r="AN13" s="14">
        <f t="shared" si="76"/>
        <v>1.0499845889671693</v>
      </c>
      <c r="AO13" s="11">
        <f t="shared" si="89"/>
        <v>6.3944061468100601</v>
      </c>
      <c r="AP13" s="14">
        <f t="shared" si="8"/>
        <v>8.6761991986728653</v>
      </c>
      <c r="AQ13" s="14">
        <f t="shared" si="9"/>
        <v>-1.6525722927850706E-2</v>
      </c>
      <c r="AR13" s="82">
        <f t="shared" si="10"/>
        <v>285.71330413669676</v>
      </c>
      <c r="AS13" s="82">
        <f t="shared" si="11"/>
        <v>47.375364154789565</v>
      </c>
      <c r="AT13" s="82">
        <f t="shared" si="12"/>
        <v>148.40072713435816</v>
      </c>
      <c r="AU13" s="14">
        <f t="shared" si="13"/>
        <v>0.28737291209881732</v>
      </c>
      <c r="AV13" s="14">
        <f t="shared" si="14"/>
        <v>-0.22730939187781019</v>
      </c>
      <c r="AW13" s="14">
        <f t="shared" si="15"/>
        <v>0.22192971186282762</v>
      </c>
      <c r="AX13" s="11">
        <f t="shared" si="77"/>
        <v>0.15342726279977903</v>
      </c>
      <c r="AY13" s="92"/>
      <c r="AZ13" s="2"/>
      <c r="BA13" s="12">
        <v>0.20734572005565327</v>
      </c>
      <c r="BB13" s="12">
        <v>0.50403364660407457</v>
      </c>
      <c r="BC13" s="12">
        <f t="shared" si="78"/>
        <v>0.21834293437005509</v>
      </c>
      <c r="BD13" s="12">
        <f t="shared" si="79"/>
        <v>0.44626509021859395</v>
      </c>
      <c r="BE13" s="12">
        <v>0.69289957607701835</v>
      </c>
      <c r="BF13" s="14">
        <f t="shared" si="16"/>
        <v>0.33266789249986395</v>
      </c>
      <c r="BG13" s="14">
        <f t="shared" si="17"/>
        <v>1.0488348045194733</v>
      </c>
      <c r="BH13" s="11">
        <f t="shared" si="80"/>
        <v>6.3874039595235921</v>
      </c>
      <c r="BI13" s="11">
        <f t="shared" si="18"/>
        <v>8.474048249421303</v>
      </c>
      <c r="BJ13" s="12">
        <f t="shared" si="19"/>
        <v>-1.6148573464428773E-2</v>
      </c>
      <c r="BK13" s="11">
        <f t="shared" si="20"/>
        <v>-4.8723686451783266E-2</v>
      </c>
      <c r="BL13" s="14">
        <f t="shared" si="91"/>
        <v>6.3468925896422039</v>
      </c>
      <c r="BM13" s="14">
        <f t="shared" si="92"/>
        <v>3.1053272651805028</v>
      </c>
      <c r="BN13" s="14">
        <f t="shared" si="90"/>
        <v>6.6835194465652679</v>
      </c>
      <c r="BO13" s="14">
        <f t="shared" si="81"/>
        <v>257.30408461232184</v>
      </c>
      <c r="BP13" s="14">
        <f t="shared" si="82"/>
        <v>61.594103171162459</v>
      </c>
      <c r="BQ13" s="14">
        <f t="shared" si="83"/>
        <v>285.32170805678675</v>
      </c>
      <c r="BR13" s="14">
        <f t="shared" si="84"/>
        <v>47.585291448930008</v>
      </c>
      <c r="BS13" s="14">
        <f t="shared" si="21"/>
        <v>148.12468999222935</v>
      </c>
      <c r="BT13" s="18">
        <f t="shared" si="22"/>
        <v>285.31495756600702</v>
      </c>
      <c r="BU13" s="18">
        <f t="shared" si="23"/>
        <v>47.345237921716112</v>
      </c>
      <c r="BV13" s="18">
        <f t="shared" si="24"/>
        <v>148.17404794412201</v>
      </c>
      <c r="BW13" s="11">
        <f t="shared" si="85"/>
        <v>-6.7504907797228952E-3</v>
      </c>
      <c r="BX13" s="11">
        <f t="shared" si="25"/>
        <v>-0.24005352721389528</v>
      </c>
      <c r="BY13" s="11">
        <f t="shared" si="25"/>
        <v>4.9357951892659457E-2</v>
      </c>
      <c r="BZ13" s="11">
        <f t="shared" si="26"/>
        <v>193.88768448475034</v>
      </c>
      <c r="CA13" s="11">
        <f t="shared" si="27"/>
        <v>6.6834403826490156</v>
      </c>
      <c r="CB13" s="11">
        <f t="shared" si="28"/>
        <v>2.722550599934495</v>
      </c>
      <c r="CC13" s="11">
        <f t="shared" si="29"/>
        <v>6.3433221490025016</v>
      </c>
      <c r="CD13" s="11">
        <f t="shared" si="30"/>
        <v>3.1028380280479291</v>
      </c>
      <c r="CE13" s="11">
        <f t="shared" si="31"/>
        <v>55.835324677406675</v>
      </c>
      <c r="CF13" s="11">
        <f t="shared" si="32"/>
        <v>54.035695893853024</v>
      </c>
      <c r="CG13" s="11">
        <f t="shared" si="33"/>
        <v>54.935510285629846</v>
      </c>
      <c r="CH13" s="14">
        <f t="shared" si="34"/>
        <v>2.3614206110673663E-3</v>
      </c>
      <c r="CI13" s="14" t="e">
        <f>CB13-#REF!</f>
        <v>#REF!</v>
      </c>
      <c r="CJ13" s="14">
        <f t="shared" si="35"/>
        <v>-1.252875278305865E-3</v>
      </c>
      <c r="CK13" s="14">
        <f t="shared" si="36"/>
        <v>-1.3553280890636898E-3</v>
      </c>
      <c r="CL13" s="19"/>
      <c r="CM13" s="12"/>
      <c r="CP13" s="17"/>
      <c r="CQ13" s="20"/>
      <c r="CR13" s="20"/>
      <c r="CS13" s="21"/>
      <c r="CZ13" s="14"/>
      <c r="DA13" s="14"/>
      <c r="DB13" s="14"/>
      <c r="DC13" s="14"/>
      <c r="DH13" s="12"/>
      <c r="ET13" s="1">
        <f t="shared" si="37"/>
        <v>3.109710330401989E-5</v>
      </c>
      <c r="EU13" s="1">
        <f t="shared" si="38"/>
        <v>0.30319126527286694</v>
      </c>
      <c r="EV13" s="1">
        <f t="shared" si="39"/>
        <v>0.22235775538424105</v>
      </c>
      <c r="EW13" s="1">
        <f t="shared" si="40"/>
        <v>3.0502093511338021E-3</v>
      </c>
      <c r="EX13" s="1">
        <f t="shared" si="41"/>
        <v>2.8366089022540488</v>
      </c>
      <c r="EY13" s="1">
        <f t="shared" si="42"/>
        <v>0.82638582171605734</v>
      </c>
      <c r="EZ13" s="1">
        <f t="shared" si="43"/>
        <v>0.20490395240562165</v>
      </c>
      <c r="FA13" s="1">
        <f t="shared" si="44"/>
        <v>1.46681873519825</v>
      </c>
      <c r="FB13" s="1">
        <f t="shared" si="45"/>
        <v>0.27092187379043753</v>
      </c>
      <c r="FC13" s="1">
        <f t="shared" si="46"/>
        <v>0.19304105660058415</v>
      </c>
      <c r="FD13" s="1">
        <f t="shared" si="47"/>
        <v>0.12499144287767144</v>
      </c>
      <c r="FE13" s="1">
        <f t="shared" si="48"/>
        <v>0.77926545106063883</v>
      </c>
      <c r="FF13" s="1">
        <f t="shared" si="49"/>
        <v>0.16249572143883573</v>
      </c>
      <c r="FG13" s="1">
        <f t="shared" si="50"/>
        <v>-0.16249572143883573</v>
      </c>
      <c r="FH13" s="1">
        <f t="shared" si="51"/>
        <v>0.6896327255303194</v>
      </c>
      <c r="FI13" s="1">
        <f t="shared" si="52"/>
        <v>1.6842235309643576</v>
      </c>
      <c r="FJ13" s="1">
        <f t="shared" si="53"/>
        <v>0.90905765588110932</v>
      </c>
      <c r="FK13" s="1">
        <f t="shared" si="54"/>
        <v>0.45266317765599362</v>
      </c>
      <c r="FL13" s="1">
        <f t="shared" si="55"/>
        <v>1.1551540123344437</v>
      </c>
      <c r="FM13" s="1">
        <f t="shared" si="56"/>
        <v>0.34875651841153144</v>
      </c>
      <c r="FN13" s="1">
        <f t="shared" si="57"/>
        <v>0.38858067659877854</v>
      </c>
      <c r="FO13" s="1">
        <f t="shared" si="58"/>
        <v>0.36628477908052703</v>
      </c>
    </row>
    <row r="14" spans="1:171" x14ac:dyDescent="0.25">
      <c r="A14" s="11">
        <v>9.1253921737631298</v>
      </c>
      <c r="B14" s="3">
        <v>360</v>
      </c>
      <c r="C14" s="12">
        <v>0.18750571978017941</v>
      </c>
      <c r="D14" s="12">
        <v>0.38374368110821533</v>
      </c>
      <c r="E14" s="11">
        <v>9.1253921737631298</v>
      </c>
      <c r="F14" s="12">
        <v>0.20634572005565327</v>
      </c>
      <c r="G14" s="12">
        <v>0.50443364660407453</v>
      </c>
      <c r="H14" s="12">
        <f t="shared" si="86"/>
        <v>0.21746956626893954</v>
      </c>
      <c r="I14" s="12">
        <f t="shared" si="87"/>
        <v>0.44506680642534358</v>
      </c>
      <c r="J14" s="12">
        <f t="shared" si="59"/>
        <v>6.2599941035834814E-2</v>
      </c>
      <c r="K14" s="13">
        <f t="shared" si="60"/>
        <v>3.7927887794677359E-2</v>
      </c>
      <c r="L14" s="13">
        <f>SUM(K$3:$K14)</f>
        <v>0.62170845814617215</v>
      </c>
      <c r="M14" s="72">
        <f t="shared" si="88"/>
        <v>0.69192159319121305</v>
      </c>
      <c r="N14" s="12">
        <f t="shared" si="61"/>
        <v>1.3732168282651387E-4</v>
      </c>
      <c r="O14" s="21">
        <f t="shared" si="62"/>
        <v>3.400095117608118E-9</v>
      </c>
      <c r="P14" s="11">
        <f>SUM(O$2:$O14)</f>
        <v>9.0466380928528898E-8</v>
      </c>
      <c r="Q14" s="12">
        <f t="shared" si="63"/>
        <v>1.0173154007825742E-3</v>
      </c>
      <c r="R14" s="3">
        <f t="shared" si="0"/>
        <v>0.33126126216774415</v>
      </c>
      <c r="S14" s="1">
        <f t="shared" si="64"/>
        <v>1.4611360029898239E-3</v>
      </c>
      <c r="T14" s="1">
        <f t="shared" si="65"/>
        <v>0.94940753643785125</v>
      </c>
      <c r="U14" s="1">
        <f t="shared" si="66"/>
        <v>4.1896897537088843E-3</v>
      </c>
      <c r="V14" s="11">
        <f t="shared" si="67"/>
        <v>6.4145267087825077</v>
      </c>
      <c r="W14" s="12">
        <f t="shared" si="68"/>
        <v>4.4625813127748562E-2</v>
      </c>
      <c r="X14" s="13">
        <f t="shared" si="1"/>
        <v>-1.7608684677338671E-2</v>
      </c>
      <c r="Y14" s="12">
        <f t="shared" si="69"/>
        <v>1.1810079372472792E-2</v>
      </c>
      <c r="Z14" s="12" t="e">
        <f>SQRT((Q14/M14)^2 + (0.0002/G14)^2)*#REF!</f>
        <v>#REF!</v>
      </c>
      <c r="AA14" s="12">
        <f t="shared" si="70"/>
        <v>1.1035481555648404E-2</v>
      </c>
      <c r="AB14" s="12">
        <f t="shared" si="2"/>
        <v>4.7802733405781254E-3</v>
      </c>
      <c r="AC14" s="14">
        <f t="shared" si="71"/>
        <v>6.3633878069681691</v>
      </c>
      <c r="AD14" s="1">
        <f t="shared" si="72"/>
        <v>3.1092931811677462</v>
      </c>
      <c r="AE14" s="1">
        <f t="shared" si="73"/>
        <v>6.7064302860713143</v>
      </c>
      <c r="AF14" s="14">
        <f t="shared" si="3"/>
        <v>259.74153376834704</v>
      </c>
      <c r="AG14" s="14">
        <f t="shared" si="4"/>
        <v>62.01374607517937</v>
      </c>
      <c r="AH14" s="14">
        <f t="shared" si="5"/>
        <v>288.50108222825492</v>
      </c>
      <c r="AI14" s="14">
        <f t="shared" si="74"/>
        <v>47.633971845225432</v>
      </c>
      <c r="AJ14" s="14">
        <f t="shared" si="6"/>
        <v>150.09381584794221</v>
      </c>
      <c r="AK14" s="7"/>
      <c r="AL14" s="12">
        <f t="shared" si="75"/>
        <v>0.69192159319121305</v>
      </c>
      <c r="AM14" s="14">
        <f t="shared" si="7"/>
        <v>0.33126126216774415</v>
      </c>
      <c r="AN14" s="14">
        <f t="shared" si="76"/>
        <v>1.0532884579281623</v>
      </c>
      <c r="AO14" s="11">
        <f t="shared" si="89"/>
        <v>6.4145267087825077</v>
      </c>
      <c r="AP14" s="14">
        <f t="shared" si="8"/>
        <v>9.2896727658099856</v>
      </c>
      <c r="AQ14" s="14">
        <f t="shared" si="9"/>
        <v>-1.7608684596720381E-2</v>
      </c>
      <c r="AR14" s="82">
        <f t="shared" si="10"/>
        <v>288.785889447447</v>
      </c>
      <c r="AS14" s="82">
        <f t="shared" si="11"/>
        <v>47.526397346770267</v>
      </c>
      <c r="AT14" s="82">
        <f t="shared" si="12"/>
        <v>150.16818938310178</v>
      </c>
      <c r="AU14" s="14">
        <f t="shared" si="13"/>
        <v>0.28480721919208918</v>
      </c>
      <c r="AV14" s="14">
        <f t="shared" si="14"/>
        <v>-0.10757449845516476</v>
      </c>
      <c r="AW14" s="14">
        <f t="shared" si="15"/>
        <v>7.4373535159566018E-2</v>
      </c>
      <c r="AX14" s="11">
        <f t="shared" si="77"/>
        <v>0.16428059204685574</v>
      </c>
      <c r="AY14" s="92"/>
      <c r="AZ14" s="2"/>
      <c r="BA14" s="12">
        <v>0.20634572005565327</v>
      </c>
      <c r="BB14" s="12">
        <v>0.50443364660407453</v>
      </c>
      <c r="BC14" s="12">
        <f t="shared" si="78"/>
        <v>0.21746956626893954</v>
      </c>
      <c r="BD14" s="12">
        <f t="shared" si="79"/>
        <v>0.44506680642534358</v>
      </c>
      <c r="BE14" s="12">
        <v>0.69217085347193885</v>
      </c>
      <c r="BF14" s="14">
        <f t="shared" si="16"/>
        <v>0.33161939533627377</v>
      </c>
      <c r="BG14" s="14">
        <f t="shared" si="17"/>
        <v>1.0521509565090099</v>
      </c>
      <c r="BH14" s="11">
        <f t="shared" si="80"/>
        <v>6.4075993251398708</v>
      </c>
      <c r="BI14" s="11">
        <f t="shared" si="18"/>
        <v>9.0896450955599111</v>
      </c>
      <c r="BJ14" s="12">
        <f t="shared" si="19"/>
        <v>-1.7235955653763568E-2</v>
      </c>
      <c r="BK14" s="11">
        <f t="shared" si="20"/>
        <v>-3.5747078203218763E-2</v>
      </c>
      <c r="BL14" s="14">
        <f t="shared" si="91"/>
        <v>6.3656801762868032</v>
      </c>
      <c r="BM14" s="14">
        <f t="shared" si="92"/>
        <v>3.1104132839349141</v>
      </c>
      <c r="BN14" s="14">
        <f t="shared" si="90"/>
        <v>6.7088462342253017</v>
      </c>
      <c r="BO14" s="14">
        <f t="shared" si="81"/>
        <v>259.64799725594054</v>
      </c>
      <c r="BP14" s="14">
        <f t="shared" si="82"/>
        <v>61.991414069030867</v>
      </c>
      <c r="BQ14" s="14">
        <f t="shared" si="83"/>
        <v>288.39718900538207</v>
      </c>
      <c r="BR14" s="14">
        <f t="shared" si="84"/>
        <v>47.616818194310099</v>
      </c>
      <c r="BS14" s="14">
        <f t="shared" si="21"/>
        <v>150.03976499259957</v>
      </c>
      <c r="BT14" s="18">
        <f t="shared" si="22"/>
        <v>288.45020571807896</v>
      </c>
      <c r="BU14" s="18">
        <f t="shared" si="23"/>
        <v>47.499115573968432</v>
      </c>
      <c r="BV14" s="18">
        <f t="shared" si="24"/>
        <v>149.97538947717996</v>
      </c>
      <c r="BW14" s="11">
        <f t="shared" si="85"/>
        <v>5.301671269688768E-2</v>
      </c>
      <c r="BX14" s="11">
        <f t="shared" si="25"/>
        <v>-0.11770262034166734</v>
      </c>
      <c r="BY14" s="11">
        <f t="shared" si="25"/>
        <v>-6.4375515419612839E-2</v>
      </c>
      <c r="BZ14" s="11">
        <f t="shared" si="26"/>
        <v>196.13366155747963</v>
      </c>
      <c r="CA14" s="11">
        <f t="shared" si="27"/>
        <v>6.7094628571363035</v>
      </c>
      <c r="CB14" s="11">
        <f t="shared" si="28"/>
        <v>2.7226705144235708</v>
      </c>
      <c r="CC14" s="11">
        <f t="shared" si="29"/>
        <v>6.3634466134166381</v>
      </c>
      <c r="CD14" s="11">
        <f t="shared" si="30"/>
        <v>3.1104109993248392</v>
      </c>
      <c r="CE14" s="11">
        <f t="shared" si="31"/>
        <v>56.194432592560858</v>
      </c>
      <c r="CF14" s="11">
        <f t="shared" si="32"/>
        <v>54.321144025604582</v>
      </c>
      <c r="CG14" s="11">
        <f t="shared" si="33"/>
        <v>55.25778830908272</v>
      </c>
      <c r="CH14" s="14">
        <f t="shared" si="34"/>
        <v>3.0325710649892201E-3</v>
      </c>
      <c r="CI14" s="14" t="e">
        <f>CB14-#REF!</f>
        <v>#REF!</v>
      </c>
      <c r="CJ14" s="14">
        <f t="shared" si="35"/>
        <v>5.8806448469006511E-5</v>
      </c>
      <c r="CK14" s="14">
        <f t="shared" si="36"/>
        <v>1.1178181570929979E-3</v>
      </c>
      <c r="CL14" s="19"/>
      <c r="CM14" s="12"/>
      <c r="CP14" s="17"/>
      <c r="CQ14" s="20"/>
      <c r="CR14" s="20"/>
      <c r="CS14" s="21"/>
      <c r="CZ14" s="14"/>
      <c r="DA14" s="14"/>
      <c r="DB14" s="14"/>
      <c r="DC14" s="14"/>
      <c r="DH14" s="12"/>
      <c r="ET14" s="1">
        <f t="shared" si="37"/>
        <v>3.1106060773909007E-5</v>
      </c>
      <c r="EU14" s="1">
        <f t="shared" si="38"/>
        <v>0.31276917548702526</v>
      </c>
      <c r="EV14" s="1">
        <f t="shared" si="39"/>
        <v>0.22824738336608685</v>
      </c>
      <c r="EW14" s="1">
        <f t="shared" si="40"/>
        <v>3.1063150818968158E-3</v>
      </c>
      <c r="EX14" s="1">
        <f t="shared" si="41"/>
        <v>2.9018160264186355</v>
      </c>
      <c r="EY14" s="1">
        <f t="shared" si="42"/>
        <v>0.84844151367140963</v>
      </c>
      <c r="EZ14" s="1">
        <f t="shared" si="43"/>
        <v>0.20893995967620843</v>
      </c>
      <c r="FA14" s="1">
        <f t="shared" si="44"/>
        <v>1.5033463331347245</v>
      </c>
      <c r="FB14" s="1">
        <f t="shared" si="45"/>
        <v>0.27108897266993826</v>
      </c>
      <c r="FC14" s="1">
        <f t="shared" si="46"/>
        <v>0.19505171270591712</v>
      </c>
      <c r="FD14" s="1">
        <f t="shared" si="47"/>
        <v>0.12367038694347039</v>
      </c>
      <c r="FE14" s="1">
        <f t="shared" si="48"/>
        <v>0.78308909123704762</v>
      </c>
      <c r="FF14" s="1">
        <f t="shared" si="49"/>
        <v>0.16183519347173519</v>
      </c>
      <c r="FG14" s="1">
        <f t="shared" si="50"/>
        <v>-0.16183519347173519</v>
      </c>
      <c r="FH14" s="1">
        <f t="shared" si="51"/>
        <v>0.69154454561852385</v>
      </c>
      <c r="FI14" s="1">
        <f t="shared" si="52"/>
        <v>1.7034717568596891</v>
      </c>
      <c r="FJ14" s="1">
        <f t="shared" si="53"/>
        <v>0.92110885006681464</v>
      </c>
      <c r="FK14" s="1">
        <f t="shared" si="54"/>
        <v>0.45709950741190747</v>
      </c>
      <c r="FL14" s="1">
        <f t="shared" si="55"/>
        <v>1.1694712676933761</v>
      </c>
      <c r="FM14" s="1">
        <f t="shared" si="56"/>
        <v>0.35101271035052839</v>
      </c>
      <c r="FN14" s="1">
        <f t="shared" si="57"/>
        <v>0.39271865490936997</v>
      </c>
      <c r="FO14" s="1">
        <f t="shared" si="58"/>
        <v>0.36934564405789677</v>
      </c>
    </row>
    <row r="15" spans="1:171" x14ac:dyDescent="0.25">
      <c r="A15" s="11">
        <v>9.5558352008274561</v>
      </c>
      <c r="B15" s="3">
        <v>390</v>
      </c>
      <c r="C15" s="12">
        <v>0.18698292219101309</v>
      </c>
      <c r="D15" s="12">
        <v>0.38303388868104921</v>
      </c>
      <c r="E15" s="11">
        <v>9.5558352008274561</v>
      </c>
      <c r="F15" s="12">
        <v>0.20554572005565327</v>
      </c>
      <c r="G15" s="12">
        <v>0.50383364660407459</v>
      </c>
      <c r="H15" s="12">
        <f t="shared" si="86"/>
        <v>0.216863224419231</v>
      </c>
      <c r="I15" s="12">
        <f t="shared" si="87"/>
        <v>0.44424358753123327</v>
      </c>
      <c r="J15" s="12">
        <f t="shared" si="59"/>
        <v>6.206912031733286E-2</v>
      </c>
      <c r="K15" s="13">
        <f t="shared" si="60"/>
        <v>2.6831464075062851E-2</v>
      </c>
      <c r="L15" s="13">
        <f>SUM(K$3:$K15)</f>
        <v>0.64853992222123502</v>
      </c>
      <c r="M15" s="72">
        <f t="shared" si="88"/>
        <v>0.69140964027722673</v>
      </c>
      <c r="N15" s="12">
        <f t="shared" si="61"/>
        <v>1.3635898908012113E-4</v>
      </c>
      <c r="O15" s="21">
        <f t="shared" si="62"/>
        <v>1.7104900764775685E-9</v>
      </c>
      <c r="P15" s="11">
        <f>SUM(O$2:$O15)</f>
        <v>9.2176871005006468E-8</v>
      </c>
      <c r="Q15" s="12">
        <f t="shared" si="63"/>
        <v>1.0180545690322434E-3</v>
      </c>
      <c r="R15" s="3">
        <f t="shared" si="0"/>
        <v>0.3305265052764611</v>
      </c>
      <c r="S15" s="1">
        <f t="shared" si="64"/>
        <v>1.4600346854349946E-3</v>
      </c>
      <c r="T15" s="1">
        <f t="shared" si="65"/>
        <v>0.94730169488707994</v>
      </c>
      <c r="U15" s="1">
        <f t="shared" si="66"/>
        <v>4.1865333351777095E-3</v>
      </c>
      <c r="V15" s="11">
        <f t="shared" si="67"/>
        <v>6.4287861331504734</v>
      </c>
      <c r="W15" s="12">
        <f t="shared" si="68"/>
        <v>4.4751411802991005E-2</v>
      </c>
      <c r="X15" s="13">
        <f t="shared" si="1"/>
        <v>-1.837549314064113E-2</v>
      </c>
      <c r="Y15" s="12">
        <f t="shared" si="69"/>
        <v>1.187336828199278E-2</v>
      </c>
      <c r="Z15" s="12" t="e">
        <f>SQRT((Q15/M15)^2 + (0.0002/G15)^2)*#REF!</f>
        <v>#REF!</v>
      </c>
      <c r="AA15" s="12">
        <f t="shared" si="70"/>
        <v>1.1078510094086754E-2</v>
      </c>
      <c r="AB15" s="12">
        <f t="shared" si="2"/>
        <v>4.7927689323582472E-3</v>
      </c>
      <c r="AC15" s="14">
        <f t="shared" si="71"/>
        <v>6.3764581766120223</v>
      </c>
      <c r="AD15" s="1">
        <f t="shared" si="72"/>
        <v>3.1127501203542574</v>
      </c>
      <c r="AE15" s="1">
        <f t="shared" si="73"/>
        <v>6.727550834821777</v>
      </c>
      <c r="AF15" s="14">
        <f t="shared" si="3"/>
        <v>261.38942250814551</v>
      </c>
      <c r="AG15" s="14">
        <f t="shared" si="4"/>
        <v>62.289880179814659</v>
      </c>
      <c r="AH15" s="14">
        <f t="shared" si="5"/>
        <v>290.96647617070198</v>
      </c>
      <c r="AI15" s="14">
        <f t="shared" si="74"/>
        <v>47.501353348536441</v>
      </c>
      <c r="AJ15" s="14">
        <f t="shared" si="6"/>
        <v>151.59818897979443</v>
      </c>
      <c r="AK15" s="7"/>
      <c r="AL15" s="12">
        <f t="shared" si="75"/>
        <v>0.69140964027722673</v>
      </c>
      <c r="AM15" s="14">
        <f t="shared" si="7"/>
        <v>0.3305265052764611</v>
      </c>
      <c r="AN15" s="14">
        <f t="shared" si="76"/>
        <v>1.05562990692126</v>
      </c>
      <c r="AO15" s="11">
        <f t="shared" si="89"/>
        <v>6.4287861331504734</v>
      </c>
      <c r="AP15" s="14">
        <f t="shared" si="8"/>
        <v>9.7274650650355987</v>
      </c>
      <c r="AQ15" s="14">
        <f t="shared" si="9"/>
        <v>-1.8375493056450254E-2</v>
      </c>
      <c r="AR15" s="82">
        <f t="shared" si="10"/>
        <v>290.97175783740613</v>
      </c>
      <c r="AS15" s="82">
        <f t="shared" si="11"/>
        <v>47.631024474768751</v>
      </c>
      <c r="AT15" s="82">
        <f t="shared" si="12"/>
        <v>151.42745884241043</v>
      </c>
      <c r="AU15" s="14">
        <f t="shared" si="13"/>
        <v>5.2816667041497567E-3</v>
      </c>
      <c r="AV15" s="14">
        <f t="shared" si="14"/>
        <v>0.12967112623231003</v>
      </c>
      <c r="AW15" s="14">
        <f t="shared" si="15"/>
        <v>-0.17073013738399823</v>
      </c>
      <c r="AX15" s="11">
        <f t="shared" si="77"/>
        <v>0.17162986420814264</v>
      </c>
      <c r="AY15" s="92"/>
      <c r="AZ15" s="2"/>
      <c r="BA15" s="12">
        <v>0.20554572005565327</v>
      </c>
      <c r="BB15" s="12">
        <v>0.50383364660407459</v>
      </c>
      <c r="BC15" s="12">
        <f t="shared" si="78"/>
        <v>0.216863224419231</v>
      </c>
      <c r="BD15" s="12">
        <f t="shared" si="79"/>
        <v>0.44424358753123327</v>
      </c>
      <c r="BE15" s="12">
        <v>0.69159135070996081</v>
      </c>
      <c r="BF15" s="14">
        <f t="shared" si="16"/>
        <v>0.3307871723109288</v>
      </c>
      <c r="BG15" s="14">
        <f t="shared" si="17"/>
        <v>1.0547980490368982</v>
      </c>
      <c r="BH15" s="11">
        <f t="shared" si="80"/>
        <v>6.4237201186347086</v>
      </c>
      <c r="BI15" s="11">
        <f t="shared" si="18"/>
        <v>9.5847367110581487</v>
      </c>
      <c r="BJ15" s="12">
        <f t="shared" si="19"/>
        <v>-1.8103130307267401E-2</v>
      </c>
      <c r="BK15" s="11">
        <f t="shared" si="20"/>
        <v>2.8901510230692651E-2</v>
      </c>
      <c r="BL15" s="14">
        <f t="shared" si="91"/>
        <v>6.3781339834088699</v>
      </c>
      <c r="BM15" s="14">
        <f t="shared" si="92"/>
        <v>3.1135681870088328</v>
      </c>
      <c r="BN15" s="14">
        <f t="shared" si="90"/>
        <v>6.7293189128210162</v>
      </c>
      <c r="BO15" s="14">
        <f t="shared" si="81"/>
        <v>261.32074440072364</v>
      </c>
      <c r="BP15" s="14">
        <f t="shared" si="82"/>
        <v>62.273513981667712</v>
      </c>
      <c r="BQ15" s="14">
        <f t="shared" si="83"/>
        <v>290.89002691458876</v>
      </c>
      <c r="BR15" s="14">
        <f t="shared" si="84"/>
        <v>47.48887272473516</v>
      </c>
      <c r="BS15" s="14">
        <f t="shared" si="21"/>
        <v>151.55835769432076</v>
      </c>
      <c r="BT15" s="18">
        <f t="shared" si="22"/>
        <v>290.96357606303928</v>
      </c>
      <c r="BU15" s="18">
        <f t="shared" si="23"/>
        <v>47.619158978513582</v>
      </c>
      <c r="BV15" s="18">
        <f t="shared" si="24"/>
        <v>151.4216152395166</v>
      </c>
      <c r="BW15" s="11">
        <f t="shared" si="85"/>
        <v>7.3549148450524626E-2</v>
      </c>
      <c r="BX15" s="11">
        <f t="shared" si="25"/>
        <v>0.13028625377842218</v>
      </c>
      <c r="BY15" s="11">
        <f t="shared" si="25"/>
        <v>-0.13674245480416403</v>
      </c>
      <c r="BZ15" s="11">
        <f t="shared" si="26"/>
        <v>197.93560218069084</v>
      </c>
      <c r="CA15" s="11">
        <f t="shared" si="27"/>
        <v>6.7301695854958252</v>
      </c>
      <c r="CB15" s="11">
        <f t="shared" si="28"/>
        <v>2.7226859810655863</v>
      </c>
      <c r="CC15" s="11">
        <f t="shared" si="29"/>
        <v>6.3794405551968643</v>
      </c>
      <c r="CD15" s="11">
        <f t="shared" si="30"/>
        <v>3.1164052571802872</v>
      </c>
      <c r="CE15" s="11">
        <f t="shared" si="31"/>
        <v>56.479887551812681</v>
      </c>
      <c r="CF15" s="11">
        <f t="shared" si="32"/>
        <v>54.546407345773659</v>
      </c>
      <c r="CG15" s="11">
        <f t="shared" si="33"/>
        <v>55.51314744879317</v>
      </c>
      <c r="CH15" s="14">
        <f t="shared" si="34"/>
        <v>2.6187506740482647E-3</v>
      </c>
      <c r="CI15" s="14" t="e">
        <f>CB15-#REF!</f>
        <v>#REF!</v>
      </c>
      <c r="CJ15" s="14">
        <f t="shared" si="35"/>
        <v>2.9823785848419604E-3</v>
      </c>
      <c r="CK15" s="14">
        <f t="shared" si="36"/>
        <v>3.6551368260298034E-3</v>
      </c>
      <c r="CL15" s="19"/>
      <c r="CM15" s="12"/>
      <c r="CP15" s="17"/>
      <c r="CQ15" s="20"/>
      <c r="CR15" s="20"/>
      <c r="CS15" s="21"/>
      <c r="CZ15" s="14"/>
      <c r="DA15" s="14"/>
      <c r="DB15" s="14"/>
      <c r="DC15" s="14"/>
      <c r="DH15" s="12"/>
      <c r="ET15" s="1">
        <f t="shared" si="37"/>
        <v>3.111241036538456E-5</v>
      </c>
      <c r="EU15" s="1">
        <f t="shared" si="38"/>
        <v>0.320618822778725</v>
      </c>
      <c r="EV15" s="1">
        <f t="shared" si="39"/>
        <v>0.23244712532968415</v>
      </c>
      <c r="EW15" s="1">
        <f t="shared" si="40"/>
        <v>3.1456662171417279E-3</v>
      </c>
      <c r="EX15" s="1">
        <f t="shared" si="41"/>
        <v>2.9546418497433793</v>
      </c>
      <c r="EY15" s="1">
        <f t="shared" si="42"/>
        <v>0.86587490609898721</v>
      </c>
      <c r="EZ15" s="1">
        <f t="shared" si="43"/>
        <v>0.21161352925195512</v>
      </c>
      <c r="FA15" s="1">
        <f t="shared" si="44"/>
        <v>1.5326775476575825</v>
      </c>
      <c r="FB15" s="1">
        <f t="shared" si="45"/>
        <v>0.26970458946283643</v>
      </c>
      <c r="FC15" s="1">
        <f t="shared" si="46"/>
        <v>0.19570991703090562</v>
      </c>
      <c r="FD15" s="1">
        <f t="shared" si="47"/>
        <v>0.12203299747392138</v>
      </c>
      <c r="FE15" s="1">
        <f t="shared" si="48"/>
        <v>0.78786988624543164</v>
      </c>
      <c r="FF15" s="1">
        <f t="shared" si="49"/>
        <v>0.16101649873696069</v>
      </c>
      <c r="FG15" s="1">
        <f t="shared" si="50"/>
        <v>-0.16101649873696069</v>
      </c>
      <c r="FH15" s="1">
        <f t="shared" si="51"/>
        <v>0.69393494312271575</v>
      </c>
      <c r="FI15" s="1">
        <f t="shared" si="52"/>
        <v>1.7189071672848941</v>
      </c>
      <c r="FJ15" s="1">
        <f t="shared" si="53"/>
        <v>0.93052399544503273</v>
      </c>
      <c r="FK15" s="1">
        <f t="shared" si="54"/>
        <v>0.46001470547359147</v>
      </c>
      <c r="FL15" s="1">
        <f t="shared" si="55"/>
        <v>1.1808119459257995</v>
      </c>
      <c r="FM15" s="1">
        <f t="shared" si="56"/>
        <v>0.35234366509908371</v>
      </c>
      <c r="FN15" s="1">
        <f t="shared" si="57"/>
        <v>0.39601928049622948</v>
      </c>
      <c r="FO15" s="1">
        <f t="shared" si="58"/>
        <v>0.3715046828769259</v>
      </c>
    </row>
    <row r="16" spans="1:171" s="39" customFormat="1" x14ac:dyDescent="0.25">
      <c r="A16" s="34">
        <v>10.115411136011028</v>
      </c>
      <c r="B16" s="35">
        <v>420</v>
      </c>
      <c r="C16" s="36">
        <v>0.18631788772602825</v>
      </c>
      <c r="D16" s="36">
        <v>0.38210920584357133</v>
      </c>
      <c r="E16" s="34">
        <v>10.115411136011028</v>
      </c>
      <c r="F16" s="12">
        <v>0.20474572005565328</v>
      </c>
      <c r="G16" s="12">
        <v>0.50323364660407455</v>
      </c>
      <c r="H16" s="12">
        <f t="shared" si="86"/>
        <v>0.2160919159128894</v>
      </c>
      <c r="I16" s="12">
        <f t="shared" si="87"/>
        <v>0.44317113824361481</v>
      </c>
      <c r="J16" s="12">
        <f t="shared" si="59"/>
        <v>6.1528728197981608E-2</v>
      </c>
      <c r="K16" s="13">
        <f t="shared" si="60"/>
        <v>3.4581190834817289E-2</v>
      </c>
      <c r="L16" s="13">
        <f>SUM(K$3:$K16)</f>
        <v>0.68312111305605228</v>
      </c>
      <c r="M16" s="72">
        <f t="shared" si="88"/>
        <v>0.69075093644328267</v>
      </c>
      <c r="N16" s="12">
        <f t="shared" si="61"/>
        <v>1.3540186741751415E-4</v>
      </c>
      <c r="O16" s="21">
        <f t="shared" si="62"/>
        <v>2.8387457116006314E-9</v>
      </c>
      <c r="P16" s="11">
        <f>SUM(O$2:$O16)</f>
        <v>9.5015616716607097E-8</v>
      </c>
      <c r="Q16" s="12">
        <f t="shared" si="63"/>
        <v>1.0190060307579429E-3</v>
      </c>
      <c r="R16" s="3">
        <f t="shared" si="0"/>
        <v>0.3295827302298695</v>
      </c>
      <c r="S16" s="1">
        <f t="shared" si="64"/>
        <v>1.4586160018857164E-3</v>
      </c>
      <c r="T16" s="1">
        <f t="shared" si="65"/>
        <v>0.94459679925252094</v>
      </c>
      <c r="U16" s="1">
        <f t="shared" si="66"/>
        <v>4.1824673334825797E-3</v>
      </c>
      <c r="V16" s="11">
        <f t="shared" si="67"/>
        <v>6.4471952528519498</v>
      </c>
      <c r="W16" s="36">
        <f t="shared" si="68"/>
        <v>4.4913718328221101E-2</v>
      </c>
      <c r="X16" s="37">
        <f t="shared" si="1"/>
        <v>-1.9364615892562775E-2</v>
      </c>
      <c r="Y16" s="36">
        <f t="shared" si="69"/>
        <v>1.1938211225163899E-2</v>
      </c>
      <c r="Z16" s="36" t="e">
        <f>SQRT((Q16/M16)^2 + (0.0002/G16)^2)*#REF!</f>
        <v>#REF!</v>
      </c>
      <c r="AA16" s="36">
        <f t="shared" si="70"/>
        <v>1.1133705879373106E-2</v>
      </c>
      <c r="AB16" s="36">
        <f t="shared" si="2"/>
        <v>4.8090751601237948E-3</v>
      </c>
      <c r="AC16" s="40">
        <f t="shared" si="71"/>
        <v>6.3931214967036247</v>
      </c>
      <c r="AD16" s="39">
        <f t="shared" si="72"/>
        <v>3.1173101171745135</v>
      </c>
      <c r="AE16" s="39">
        <f t="shared" si="73"/>
        <v>6.7474029372191531</v>
      </c>
      <c r="AF16" s="14">
        <f t="shared" si="3"/>
        <v>263.50978030954292</v>
      </c>
      <c r="AG16" s="14">
        <f t="shared" si="4"/>
        <v>62.651408791200183</v>
      </c>
      <c r="AH16" s="14">
        <f t="shared" si="5"/>
        <v>293.52433628645855</v>
      </c>
      <c r="AI16" s="14">
        <f t="shared" si="74"/>
        <v>47.644130802742353</v>
      </c>
      <c r="AJ16" s="14">
        <f t="shared" si="6"/>
        <v>153.2142407156004</v>
      </c>
      <c r="AK16" s="7"/>
      <c r="AL16" s="12">
        <f t="shared" si="75"/>
        <v>0.69075093644328267</v>
      </c>
      <c r="AM16" s="40">
        <f t="shared" si="7"/>
        <v>0.3295827302298695</v>
      </c>
      <c r="AN16" s="14">
        <f t="shared" si="76"/>
        <v>1.0586527508788097</v>
      </c>
      <c r="AO16" s="11">
        <f t="shared" si="89"/>
        <v>6.4471952528519498</v>
      </c>
      <c r="AP16" s="14">
        <f t="shared" si="8"/>
        <v>10.296374937422067</v>
      </c>
      <c r="AQ16" s="28">
        <f t="shared" si="9"/>
        <v>-1.9364615803755925E-2</v>
      </c>
      <c r="AR16" s="82">
        <f t="shared" si="10"/>
        <v>293.80394871190288</v>
      </c>
      <c r="AS16" s="82">
        <f t="shared" si="11"/>
        <v>47.763112376130969</v>
      </c>
      <c r="AT16" s="82">
        <f t="shared" si="12"/>
        <v>153.06138955373694</v>
      </c>
      <c r="AU16" s="28">
        <f t="shared" si="13"/>
        <v>0.27961242544432707</v>
      </c>
      <c r="AV16" s="28">
        <f t="shared" si="14"/>
        <v>0.11898157338861637</v>
      </c>
      <c r="AW16" s="28">
        <f t="shared" si="15"/>
        <v>-0.15285116186345249</v>
      </c>
      <c r="AX16" s="11">
        <f t="shared" si="77"/>
        <v>0.18096380141103907</v>
      </c>
      <c r="AY16" s="92"/>
      <c r="AZ16" s="2"/>
      <c r="BA16" s="55">
        <v>0.20474572005565328</v>
      </c>
      <c r="BB16" s="55">
        <v>0.50323364660407455</v>
      </c>
      <c r="BC16" s="12">
        <f t="shared" si="78"/>
        <v>0.2160919159128894</v>
      </c>
      <c r="BD16" s="12">
        <f t="shared" si="79"/>
        <v>0.44317113824361481</v>
      </c>
      <c r="BE16" s="36">
        <v>0.69099570961925605</v>
      </c>
      <c r="BF16" s="40">
        <f t="shared" si="16"/>
        <v>0.32993322531229441</v>
      </c>
      <c r="BG16" s="40">
        <f t="shared" si="17"/>
        <v>1.0575281215456245</v>
      </c>
      <c r="BH16" s="11">
        <f t="shared" si="80"/>
        <v>6.4403462602128529</v>
      </c>
      <c r="BI16" s="34">
        <f t="shared" si="18"/>
        <v>10.098790070035786</v>
      </c>
      <c r="BJ16" s="12">
        <f t="shared" si="19"/>
        <v>-1.8996729263751622E-2</v>
      </c>
      <c r="BK16" s="34">
        <f t="shared" si="20"/>
        <v>-1.6621065975241933E-2</v>
      </c>
      <c r="BL16" s="14">
        <f t="shared" si="91"/>
        <v>6.3953869509658938</v>
      </c>
      <c r="BM16" s="14">
        <f t="shared" si="92"/>
        <v>3.118414761204102</v>
      </c>
      <c r="BN16" s="14">
        <f t="shared" si="90"/>
        <v>6.749793933972656</v>
      </c>
      <c r="BO16" s="14">
        <f t="shared" si="81"/>
        <v>263.41643656669692</v>
      </c>
      <c r="BP16" s="14">
        <f t="shared" si="82"/>
        <v>62.629215622566072</v>
      </c>
      <c r="BQ16" s="14">
        <f t="shared" si="83"/>
        <v>293.42036041075033</v>
      </c>
      <c r="BR16" s="14">
        <f t="shared" si="84"/>
        <v>47.62725370053937</v>
      </c>
      <c r="BS16" s="14">
        <f t="shared" si="21"/>
        <v>153.1599672435915</v>
      </c>
      <c r="BT16" s="44">
        <f t="shared" si="22"/>
        <v>293.56566025323048</v>
      </c>
      <c r="BU16" s="44">
        <f t="shared" si="23"/>
        <v>47.740345251024621</v>
      </c>
      <c r="BV16" s="44">
        <f t="shared" si="24"/>
        <v>152.9209267895933</v>
      </c>
      <c r="BW16" s="11">
        <f t="shared" si="85"/>
        <v>0.14529984248014216</v>
      </c>
      <c r="BX16" s="11">
        <f t="shared" si="25"/>
        <v>0.11309155048525099</v>
      </c>
      <c r="BY16" s="11">
        <f t="shared" si="25"/>
        <v>-0.23904045399820006</v>
      </c>
      <c r="BZ16" s="34">
        <f t="shared" si="26"/>
        <v>199.8025046108057</v>
      </c>
      <c r="CA16" s="34">
        <f t="shared" si="27"/>
        <v>6.7514649540231346</v>
      </c>
      <c r="CB16" s="34">
        <f t="shared" si="28"/>
        <v>2.7226271373919442</v>
      </c>
      <c r="CC16" s="34">
        <f t="shared" si="29"/>
        <v>6.3958708902539305</v>
      </c>
      <c r="CD16" s="34">
        <f t="shared" si="30"/>
        <v>3.1225403406022534</v>
      </c>
      <c r="CE16" s="34">
        <f t="shared" si="31"/>
        <v>56.773153843342207</v>
      </c>
      <c r="CF16" s="34">
        <f t="shared" si="32"/>
        <v>54.776281124508053</v>
      </c>
      <c r="CG16" s="34">
        <f t="shared" si="33"/>
        <v>55.77471748392513</v>
      </c>
      <c r="CH16" s="40">
        <f t="shared" si="34"/>
        <v>4.0620168039815496E-3</v>
      </c>
      <c r="CI16" s="40" t="e">
        <f>CB16-#REF!</f>
        <v>#REF!</v>
      </c>
      <c r="CJ16" s="40">
        <f t="shared" si="35"/>
        <v>2.7493935503057898E-3</v>
      </c>
      <c r="CK16" s="40">
        <f t="shared" si="36"/>
        <v>5.2302234277399329E-3</v>
      </c>
      <c r="CL16" s="19"/>
      <c r="CM16" s="36"/>
      <c r="CP16" s="43"/>
      <c r="CQ16" s="45"/>
      <c r="CR16" s="45"/>
      <c r="CS16" s="38"/>
      <c r="CZ16" s="40"/>
      <c r="DA16" s="40"/>
      <c r="DB16" s="40"/>
      <c r="DC16" s="40"/>
      <c r="DH16" s="36"/>
      <c r="DK16" s="1"/>
      <c r="ET16" s="39">
        <f t="shared" si="37"/>
        <v>3.1120609399906765E-5</v>
      </c>
      <c r="EU16" s="39">
        <f t="shared" si="38"/>
        <v>0.32883538743361296</v>
      </c>
      <c r="EV16" s="39">
        <f t="shared" si="39"/>
        <v>0.23792299622868748</v>
      </c>
      <c r="EW16" s="39">
        <f t="shared" si="40"/>
        <v>3.1977074358486013E-3</v>
      </c>
      <c r="EX16" s="39">
        <f t="shared" si="41"/>
        <v>3.0100792913022887</v>
      </c>
      <c r="EY16" s="39">
        <f t="shared" si="42"/>
        <v>0.88502439380695219</v>
      </c>
      <c r="EZ16" s="39">
        <f t="shared" si="43"/>
        <v>0.21552994144919349</v>
      </c>
      <c r="FA16" s="39">
        <f t="shared" si="44"/>
        <v>1.563977110499392</v>
      </c>
      <c r="FB16" s="39">
        <f t="shared" si="45"/>
        <v>0.2707950620163479</v>
      </c>
      <c r="FC16" s="39">
        <f t="shared" si="46"/>
        <v>0.19804944600918792</v>
      </c>
      <c r="FD16" s="39">
        <f t="shared" si="47"/>
        <v>0.12140769576553323</v>
      </c>
      <c r="FE16" s="39">
        <f t="shared" si="48"/>
        <v>0.78970793944232975</v>
      </c>
      <c r="FF16" s="39">
        <f t="shared" si="49"/>
        <v>0.16070384788276662</v>
      </c>
      <c r="FG16" s="39">
        <f t="shared" si="50"/>
        <v>-0.16070384788276662</v>
      </c>
      <c r="FH16" s="39">
        <f t="shared" si="51"/>
        <v>0.69485396972116487</v>
      </c>
      <c r="FI16" s="39">
        <f t="shared" si="52"/>
        <v>1.7349580085126812</v>
      </c>
      <c r="FJ16" s="39">
        <f t="shared" si="53"/>
        <v>0.94075735118411496</v>
      </c>
      <c r="FK16" s="39">
        <f t="shared" si="54"/>
        <v>0.46425202363500095</v>
      </c>
      <c r="FL16" s="39">
        <f t="shared" si="55"/>
        <v>1.1928530368885284</v>
      </c>
      <c r="FM16" s="39">
        <f t="shared" si="56"/>
        <v>0.35459230861349256</v>
      </c>
      <c r="FN16" s="39">
        <f t="shared" si="57"/>
        <v>0.39958685749113498</v>
      </c>
      <c r="FO16" s="39">
        <f t="shared" si="58"/>
        <v>0.37432763656774465</v>
      </c>
    </row>
    <row r="17" spans="1:171" x14ac:dyDescent="0.25">
      <c r="A17" s="11">
        <v>10.631942768488157</v>
      </c>
      <c r="B17" s="3">
        <v>450</v>
      </c>
      <c r="C17" s="12">
        <v>0.18571014495393662</v>
      </c>
      <c r="D17" s="12">
        <v>0.38121999542129603</v>
      </c>
      <c r="E17" s="11">
        <v>10.631942768488157</v>
      </c>
      <c r="F17" s="12">
        <v>0.20394572005565328</v>
      </c>
      <c r="G17" s="12">
        <v>0.50443364660407453</v>
      </c>
      <c r="H17" s="12">
        <f t="shared" si="86"/>
        <v>0.21538705444410439</v>
      </c>
      <c r="I17" s="12">
        <f t="shared" si="87"/>
        <v>0.44213982994496276</v>
      </c>
      <c r="J17" s="12">
        <f t="shared" si="59"/>
        <v>6.1002881164258879E-2</v>
      </c>
      <c r="K17" s="13">
        <f t="shared" si="60"/>
        <v>3.1645726106963971E-2</v>
      </c>
      <c r="L17" s="13">
        <f>SUM(K$3:$K17)</f>
        <v>0.7147668391630162</v>
      </c>
      <c r="M17" s="72">
        <f t="shared" si="88"/>
        <v>0.69014924629715935</v>
      </c>
      <c r="N17" s="12">
        <f t="shared" si="61"/>
        <v>1.3390192775030208E-4</v>
      </c>
      <c r="O17" s="21">
        <f t="shared" si="62"/>
        <v>2.3727186493252283E-9</v>
      </c>
      <c r="P17" s="11">
        <f>SUM(O$2:$O17)</f>
        <v>9.7388335365932324E-8</v>
      </c>
      <c r="Q17" s="12">
        <f t="shared" si="63"/>
        <v>1.0198755165093957E-3</v>
      </c>
      <c r="R17" s="13">
        <f t="shared" si="0"/>
        <v>0.32872221459768353</v>
      </c>
      <c r="S17" s="1">
        <f t="shared" si="64"/>
        <v>1.4573184287297171E-3</v>
      </c>
      <c r="T17" s="1">
        <f t="shared" si="65"/>
        <v>0.94213052830651989</v>
      </c>
      <c r="U17" s="1">
        <f t="shared" si="66"/>
        <v>4.1787484388393498E-3</v>
      </c>
      <c r="V17" s="11">
        <f t="shared" si="67"/>
        <v>6.4640724581409952</v>
      </c>
      <c r="W17" s="12">
        <f t="shared" si="68"/>
        <v>4.5062673192764018E-2</v>
      </c>
      <c r="X17" s="13">
        <f t="shared" si="1"/>
        <v>-2.0270601941834943E-2</v>
      </c>
      <c r="Y17" s="12">
        <f t="shared" si="69"/>
        <v>1.2003290865300208E-2</v>
      </c>
      <c r="Z17" s="12" t="e">
        <f>SQRT((Q17/M17)^2 + (0.0002/G17)^2)*#REF!</f>
        <v>#REF!</v>
      </c>
      <c r="AA17" s="12">
        <f t="shared" si="70"/>
        <v>1.1184550586971801E-2</v>
      </c>
      <c r="AB17" s="12">
        <f t="shared" si="2"/>
        <v>4.82465563524314E-3</v>
      </c>
      <c r="AC17" s="14">
        <f t="shared" si="71"/>
        <v>6.4084561449468325</v>
      </c>
      <c r="AD17" s="1">
        <f t="shared" si="72"/>
        <v>3.1218596450949403</v>
      </c>
      <c r="AE17" s="1">
        <f t="shared" si="73"/>
        <v>6.7679698903103187</v>
      </c>
      <c r="AF17" s="14">
        <f t="shared" si="3"/>
        <v>265.46853261868102</v>
      </c>
      <c r="AG17" s="14">
        <f t="shared" si="4"/>
        <v>62.998899586293781</v>
      </c>
      <c r="AH17" s="14">
        <f t="shared" si="5"/>
        <v>296.08953081857715</v>
      </c>
      <c r="AI17" s="14">
        <f t="shared" si="74"/>
        <v>47.688400486345728</v>
      </c>
      <c r="AJ17" s="14">
        <f t="shared" si="6"/>
        <v>154.78123254604151</v>
      </c>
      <c r="AK17" s="7"/>
      <c r="AL17" s="12">
        <f t="shared" si="75"/>
        <v>0.69014924629715935</v>
      </c>
      <c r="AM17" s="14">
        <f t="shared" si="7"/>
        <v>0.32872221459768353</v>
      </c>
      <c r="AN17" s="14">
        <f t="shared" si="76"/>
        <v>1.0614240489558284</v>
      </c>
      <c r="AO17" s="11">
        <f t="shared" si="89"/>
        <v>6.4640724581409952</v>
      </c>
      <c r="AP17" s="14">
        <f t="shared" si="8"/>
        <v>10.821624207146888</v>
      </c>
      <c r="AQ17" s="14">
        <f t="shared" si="9"/>
        <v>-2.0270601848792702E-2</v>
      </c>
      <c r="AR17" s="82">
        <f t="shared" si="10"/>
        <v>296.41054905013527</v>
      </c>
      <c r="AS17" s="82">
        <f t="shared" si="11"/>
        <v>47.881221850089062</v>
      </c>
      <c r="AT17" s="82">
        <f t="shared" si="12"/>
        <v>154.56748069891114</v>
      </c>
      <c r="AU17" s="14">
        <f t="shared" si="13"/>
        <v>0.32101823155812781</v>
      </c>
      <c r="AV17" s="14">
        <f t="shared" si="14"/>
        <v>0.19282136374333447</v>
      </c>
      <c r="AW17" s="14">
        <f t="shared" si="15"/>
        <v>-0.21375184713036788</v>
      </c>
      <c r="AX17" s="11">
        <f t="shared" si="77"/>
        <v>0.18968143865873088</v>
      </c>
      <c r="AY17" s="92"/>
      <c r="AZ17" s="2"/>
      <c r="BA17" s="12">
        <v>0.20394572005565328</v>
      </c>
      <c r="BB17" s="12">
        <v>0.50443364660407453</v>
      </c>
      <c r="BC17" s="12">
        <f t="shared" si="78"/>
        <v>0.21538705444410439</v>
      </c>
      <c r="BD17" s="12">
        <f t="shared" si="79"/>
        <v>0.44213982994496276</v>
      </c>
      <c r="BE17" s="12">
        <v>0.69014924629715935</v>
      </c>
      <c r="BF17" s="14">
        <f t="shared" si="16"/>
        <v>0.32872221459768353</v>
      </c>
      <c r="BG17" s="14">
        <f t="shared" si="17"/>
        <v>1.0614240489558284</v>
      </c>
      <c r="BH17" s="11">
        <f t="shared" si="80"/>
        <v>6.4640724581409952</v>
      </c>
      <c r="BI17" s="11">
        <f t="shared" si="18"/>
        <v>10.838426169727342</v>
      </c>
      <c r="BJ17" s="12">
        <f t="shared" si="19"/>
        <v>-2.0270601848792702E-2</v>
      </c>
      <c r="BK17" s="11">
        <f t="shared" si="20"/>
        <v>0.20648340123918452</v>
      </c>
      <c r="BL17" s="14">
        <f t="shared" si="91"/>
        <v>6.4084561449468325</v>
      </c>
      <c r="BM17" s="14">
        <f t="shared" si="92"/>
        <v>3.1218596450949403</v>
      </c>
      <c r="BN17" s="14">
        <f t="shared" si="90"/>
        <v>6.7679698903103187</v>
      </c>
      <c r="BO17" s="14">
        <f t="shared" si="81"/>
        <v>265.46853261868102</v>
      </c>
      <c r="BP17" s="14">
        <f t="shared" si="82"/>
        <v>62.998899586293781</v>
      </c>
      <c r="BQ17" s="14">
        <f t="shared" si="83"/>
        <v>296.08953081857715</v>
      </c>
      <c r="BR17" s="14">
        <f t="shared" si="84"/>
        <v>47.688400486345728</v>
      </c>
      <c r="BS17" s="14">
        <f t="shared" si="21"/>
        <v>154.78123254604151</v>
      </c>
      <c r="BT17" s="18">
        <f t="shared" si="22"/>
        <v>297.29637967233646</v>
      </c>
      <c r="BU17" s="18">
        <f t="shared" si="23"/>
        <v>47.908624505532828</v>
      </c>
      <c r="BV17" s="18">
        <f t="shared" si="24"/>
        <v>155.07416078644457</v>
      </c>
      <c r="BW17" s="11">
        <f t="shared" si="85"/>
        <v>1.2068488537593112</v>
      </c>
      <c r="BX17" s="11">
        <f t="shared" si="25"/>
        <v>0.22022401918709988</v>
      </c>
      <c r="BY17" s="11">
        <f t="shared" si="25"/>
        <v>0.29292824040305732</v>
      </c>
      <c r="BZ17" s="11">
        <f t="shared" si="26"/>
        <v>202.48156708174187</v>
      </c>
      <c r="CA17" s="11">
        <f t="shared" si="27"/>
        <v>6.7817488486156856</v>
      </c>
      <c r="CB17" s="11">
        <f t="shared" si="28"/>
        <v>2.7224113271979831</v>
      </c>
      <c r="CC17" s="11">
        <f t="shared" si="29"/>
        <v>6.4192040628326366</v>
      </c>
      <c r="CD17" s="11">
        <f t="shared" si="30"/>
        <v>3.1312128848295653</v>
      </c>
      <c r="CE17" s="11">
        <f t="shared" si="31"/>
        <v>57.189618480498076</v>
      </c>
      <c r="CF17" s="11">
        <f t="shared" si="32"/>
        <v>55.099936571171504</v>
      </c>
      <c r="CG17" s="11">
        <f t="shared" si="33"/>
        <v>56.14477752583479</v>
      </c>
      <c r="CH17" s="14">
        <f t="shared" si="34"/>
        <v>1.3778958305366906E-2</v>
      </c>
      <c r="CI17" s="14" t="e">
        <f>CB17-#REF!</f>
        <v>#REF!</v>
      </c>
      <c r="CJ17" s="14">
        <f t="shared" si="35"/>
        <v>1.0747917885804092E-2</v>
      </c>
      <c r="CK17" s="14">
        <f t="shared" si="36"/>
        <v>9.3532397346249851E-3</v>
      </c>
      <c r="CL17" s="19"/>
      <c r="CM17" s="12"/>
      <c r="CP17" s="17"/>
      <c r="CQ17" s="20"/>
      <c r="CR17" s="20"/>
      <c r="CS17" s="21"/>
      <c r="CZ17" s="14"/>
      <c r="DA17" s="14"/>
      <c r="DB17" s="14"/>
      <c r="DC17" s="14"/>
      <c r="DH17" s="12"/>
      <c r="ET17" s="1">
        <f t="shared" si="37"/>
        <v>3.1128127624595886E-5</v>
      </c>
      <c r="EU17" s="1">
        <f t="shared" si="38"/>
        <v>0.33723830259462667</v>
      </c>
      <c r="EV17" s="1">
        <f t="shared" si="39"/>
        <v>0.24305630259975972</v>
      </c>
      <c r="EW17" s="1">
        <f t="shared" si="40"/>
        <v>3.2483785208043481E-3</v>
      </c>
      <c r="EX17" s="1">
        <f t="shared" si="41"/>
        <v>3.0662104427012795</v>
      </c>
      <c r="EY17" s="1">
        <f t="shared" si="42"/>
        <v>0.90381087674963434</v>
      </c>
      <c r="EZ17" s="1">
        <f t="shared" si="43"/>
        <v>0.21911310532372652</v>
      </c>
      <c r="FA17" s="1">
        <f t="shared" si="44"/>
        <v>1.595193303587519</v>
      </c>
      <c r="FB17" s="1">
        <f t="shared" si="45"/>
        <v>0.27091113528085975</v>
      </c>
      <c r="FC17" s="1">
        <f t="shared" si="46"/>
        <v>0.19972283904329502</v>
      </c>
      <c r="FD17" s="1">
        <f t="shared" si="47"/>
        <v>0.12038142133978427</v>
      </c>
      <c r="FE17" s="1">
        <f t="shared" si="48"/>
        <v>0.79273959557110529</v>
      </c>
      <c r="FF17" s="1">
        <f t="shared" si="49"/>
        <v>0.16019071066989216</v>
      </c>
      <c r="FG17" s="1">
        <f t="shared" si="50"/>
        <v>-0.16019071066989216</v>
      </c>
      <c r="FH17" s="1">
        <f t="shared" si="51"/>
        <v>0.69636979778555264</v>
      </c>
      <c r="FI17" s="1">
        <f t="shared" si="52"/>
        <v>1.7510598055752635</v>
      </c>
      <c r="FJ17" s="1">
        <f t="shared" si="53"/>
        <v>0.95068968478133509</v>
      </c>
      <c r="FK17" s="1">
        <f t="shared" si="54"/>
        <v>0.46809518831507607</v>
      </c>
      <c r="FL17" s="1">
        <f t="shared" si="55"/>
        <v>1.204723442862851</v>
      </c>
      <c r="FM17" s="1">
        <f t="shared" si="56"/>
        <v>0.35658280595759539</v>
      </c>
      <c r="FN17" s="1">
        <f t="shared" si="57"/>
        <v>0.40321701042540359</v>
      </c>
      <c r="FO17" s="1">
        <f t="shared" si="58"/>
        <v>0.37701904485162735</v>
      </c>
    </row>
    <row r="18" spans="1:171" x14ac:dyDescent="0.25">
      <c r="A18" s="11">
        <v>10.933252887433179</v>
      </c>
      <c r="B18" s="3">
        <v>480</v>
      </c>
      <c r="C18" s="12">
        <v>0.18535279504154922</v>
      </c>
      <c r="D18" s="12">
        <v>0.38067451549496861</v>
      </c>
      <c r="E18" s="11">
        <v>10.933252887433179</v>
      </c>
      <c r="F18" s="12">
        <v>0.2033457200556533</v>
      </c>
      <c r="G18" s="12">
        <v>0.50523364660407455</v>
      </c>
      <c r="H18" s="12">
        <f t="shared" si="86"/>
        <v>0.21497259919151673</v>
      </c>
      <c r="I18" s="12">
        <f t="shared" si="87"/>
        <v>0.44150718106829961</v>
      </c>
      <c r="J18" s="12">
        <f t="shared" si="59"/>
        <v>6.0622355150095758E-2</v>
      </c>
      <c r="K18" s="13">
        <f t="shared" si="60"/>
        <v>1.8323457210297291E-2</v>
      </c>
      <c r="L18" s="13">
        <f>SUM(K$3:$K18)</f>
        <v>0.73309029637331347</v>
      </c>
      <c r="M18" s="72">
        <f t="shared" si="88"/>
        <v>0.68980133558485979</v>
      </c>
      <c r="N18" s="12">
        <f t="shared" si="61"/>
        <v>1.3282548711181843E-4</v>
      </c>
      <c r="O18" s="21">
        <f t="shared" si="62"/>
        <v>7.919065595810542E-10</v>
      </c>
      <c r="P18" s="11">
        <f>SUM(O$2:$O18)</f>
        <v>9.8180241925513379E-8</v>
      </c>
      <c r="Q18" s="12">
        <f t="shared" si="63"/>
        <v>1.0203784261505094E-3</v>
      </c>
      <c r="R18" s="3">
        <f t="shared" si="0"/>
        <v>0.32822532930584264</v>
      </c>
      <c r="S18" s="1">
        <f t="shared" si="64"/>
        <v>1.4565673955496147E-3</v>
      </c>
      <c r="T18" s="1">
        <f t="shared" si="65"/>
        <v>0.94070643592176051</v>
      </c>
      <c r="U18" s="1">
        <f t="shared" si="66"/>
        <v>4.1765959488179148E-3</v>
      </c>
      <c r="V18" s="11">
        <f t="shared" si="67"/>
        <v>6.4738581213518049</v>
      </c>
      <c r="W18" s="12">
        <f t="shared" si="68"/>
        <v>4.5149107022720077E-2</v>
      </c>
      <c r="X18" s="13">
        <f t="shared" si="1"/>
        <v>-2.0795545441161467E-2</v>
      </c>
      <c r="Y18" s="12">
        <f t="shared" si="69"/>
        <v>1.2051833936373666E-2</v>
      </c>
      <c r="Z18" s="12" t="e">
        <f>SQRT((Q18/M18)^2 + (0.0002/G18)^2)*#REF!</f>
        <v>#REF!</v>
      </c>
      <c r="AA18" s="12">
        <f t="shared" si="70"/>
        <v>1.1214589861741949E-2</v>
      </c>
      <c r="AB18" s="12">
        <f t="shared" si="2"/>
        <v>4.8341316077212711E-3</v>
      </c>
      <c r="AC18" s="14">
        <f t="shared" si="71"/>
        <v>6.4175745018584749</v>
      </c>
      <c r="AD18" s="1">
        <f t="shared" si="72"/>
        <v>3.124757037544764</v>
      </c>
      <c r="AE18" s="1">
        <f t="shared" si="73"/>
        <v>6.7845178683482432</v>
      </c>
      <c r="AF18" s="14">
        <f t="shared" si="3"/>
        <v>266.6275460308496</v>
      </c>
      <c r="AG18" s="14">
        <f t="shared" si="4"/>
        <v>63.211440445582873</v>
      </c>
      <c r="AH18" s="14">
        <f t="shared" si="5"/>
        <v>297.98963520907432</v>
      </c>
      <c r="AI18" s="14">
        <f t="shared" si="74"/>
        <v>47.530395856470506</v>
      </c>
      <c r="AJ18" s="14">
        <f t="shared" si="6"/>
        <v>155.88570972879617</v>
      </c>
      <c r="AK18" s="7"/>
      <c r="AL18" s="12">
        <f t="shared" si="75"/>
        <v>0.68980133558485979</v>
      </c>
      <c r="AM18" s="14">
        <f t="shared" si="7"/>
        <v>0.32822532930584264</v>
      </c>
      <c r="AN18" s="14">
        <f t="shared" si="76"/>
        <v>1.0630308902055507</v>
      </c>
      <c r="AO18" s="11">
        <f t="shared" si="89"/>
        <v>6.4738581213518049</v>
      </c>
      <c r="AP18" s="14">
        <f t="shared" si="8"/>
        <v>11.127786062873733</v>
      </c>
      <c r="AQ18" s="14">
        <f t="shared" si="9"/>
        <v>-2.0795545345661748E-2</v>
      </c>
      <c r="AR18" s="82">
        <f t="shared" si="10"/>
        <v>297.92631106475676</v>
      </c>
      <c r="AS18" s="82">
        <f t="shared" si="11"/>
        <v>47.948383566515581</v>
      </c>
      <c r="AT18" s="82">
        <f t="shared" si="12"/>
        <v>155.44430124447695</v>
      </c>
      <c r="AU18" s="14">
        <f t="shared" si="13"/>
        <v>-6.3324144317562059E-2</v>
      </c>
      <c r="AV18" s="14">
        <f t="shared" si="14"/>
        <v>0.41798771004507529</v>
      </c>
      <c r="AW18" s="14">
        <f t="shared" si="15"/>
        <v>-0.44140848431922564</v>
      </c>
      <c r="AX18" s="11">
        <f t="shared" si="77"/>
        <v>0.19453317544055437</v>
      </c>
      <c r="AY18" s="92"/>
      <c r="AZ18" s="2"/>
      <c r="BA18" s="12">
        <v>0.2033457200556533</v>
      </c>
      <c r="BB18" s="12">
        <v>0.50523364660407455</v>
      </c>
      <c r="BC18" s="12">
        <f t="shared" si="78"/>
        <v>0.21497259919151673</v>
      </c>
      <c r="BD18" s="12">
        <f t="shared" si="79"/>
        <v>0.44150718106829961</v>
      </c>
      <c r="BE18" s="12">
        <v>0.68980133558485979</v>
      </c>
      <c r="BF18" s="14">
        <f t="shared" si="16"/>
        <v>0.32822532930584264</v>
      </c>
      <c r="BG18" s="14">
        <f t="shared" si="17"/>
        <v>1.0630308902055507</v>
      </c>
      <c r="BH18" s="11">
        <f t="shared" si="80"/>
        <v>6.4738581213518049</v>
      </c>
      <c r="BI18" s="11">
        <f t="shared" si="18"/>
        <v>11.1455609716132</v>
      </c>
      <c r="BJ18" s="12">
        <f t="shared" si="19"/>
        <v>-2.0795545345661748E-2</v>
      </c>
      <c r="BK18" s="11">
        <f t="shared" si="20"/>
        <v>0.21230808418002134</v>
      </c>
      <c r="BL18" s="14">
        <f t="shared" si="91"/>
        <v>6.4175745018584749</v>
      </c>
      <c r="BM18" s="14">
        <f t="shared" si="92"/>
        <v>3.124757037544764</v>
      </c>
      <c r="BN18" s="14">
        <f t="shared" si="90"/>
        <v>6.7845178683482432</v>
      </c>
      <c r="BO18" s="14">
        <f t="shared" si="81"/>
        <v>266.6275460308496</v>
      </c>
      <c r="BP18" s="14">
        <f t="shared" si="82"/>
        <v>63.211440445582873</v>
      </c>
      <c r="BQ18" s="14">
        <f t="shared" si="83"/>
        <v>297.98963520907432</v>
      </c>
      <c r="BR18" s="14">
        <f t="shared" si="84"/>
        <v>47.530395856470506</v>
      </c>
      <c r="BS18" s="14">
        <f t="shared" si="21"/>
        <v>155.88570972879617</v>
      </c>
      <c r="BT18" s="18">
        <f t="shared" si="22"/>
        <v>298.84104948596723</v>
      </c>
      <c r="BU18" s="18">
        <f t="shared" si="23"/>
        <v>47.976418577373217</v>
      </c>
      <c r="BV18" s="18">
        <f t="shared" si="24"/>
        <v>155.96692788652666</v>
      </c>
      <c r="BW18" s="11">
        <f t="shared" si="85"/>
        <v>0.85141427689291049</v>
      </c>
      <c r="BX18" s="11">
        <f t="shared" si="85"/>
        <v>0.446022720902711</v>
      </c>
      <c r="BY18" s="11">
        <f t="shared" si="85"/>
        <v>8.1218157730489793E-2</v>
      </c>
      <c r="BZ18" s="11">
        <f t="shared" si="26"/>
        <v>203.59163508634018</v>
      </c>
      <c r="CA18" s="11">
        <f t="shared" si="27"/>
        <v>6.7942032977683278</v>
      </c>
      <c r="CB18" s="11">
        <f t="shared" si="28"/>
        <v>2.7222770619474312</v>
      </c>
      <c r="CC18" s="11">
        <f t="shared" si="29"/>
        <v>6.4287889132090088</v>
      </c>
      <c r="CD18" s="11">
        <f t="shared" si="30"/>
        <v>3.1347616434184582</v>
      </c>
      <c r="CE18" s="11">
        <f t="shared" si="31"/>
        <v>57.360675466312046</v>
      </c>
      <c r="CF18" s="11">
        <f t="shared" si="32"/>
        <v>55.231901136850311</v>
      </c>
      <c r="CG18" s="11">
        <f t="shared" si="33"/>
        <v>56.296288301581178</v>
      </c>
      <c r="CH18" s="14">
        <f t="shared" si="34"/>
        <v>9.6854294200845459E-3</v>
      </c>
      <c r="CI18" s="14" t="e">
        <f>CB18-#REF!</f>
        <v>#REF!</v>
      </c>
      <c r="CJ18" s="14">
        <f t="shared" si="35"/>
        <v>1.1214411350533915E-2</v>
      </c>
      <c r="CK18" s="14">
        <f t="shared" si="36"/>
        <v>1.0004605873694228E-2</v>
      </c>
      <c r="CL18" s="19"/>
      <c r="CM18" s="12"/>
      <c r="CP18" s="17"/>
      <c r="CQ18" s="20"/>
      <c r="CR18" s="20"/>
      <c r="CS18" s="21"/>
      <c r="CZ18" s="14"/>
      <c r="DA18" s="14"/>
      <c r="DB18" s="14"/>
      <c r="DC18" s="14"/>
      <c r="DH18" s="12"/>
      <c r="ET18" s="1">
        <f t="shared" si="37"/>
        <v>3.1132487399708321E-5</v>
      </c>
      <c r="EU18" s="1">
        <f t="shared" si="38"/>
        <v>0.34359926630104587</v>
      </c>
      <c r="EV18" s="1">
        <f t="shared" si="39"/>
        <v>0.24612957334329141</v>
      </c>
      <c r="EW18" s="1">
        <f t="shared" si="40"/>
        <v>3.2797127883947117E-3</v>
      </c>
      <c r="EX18" s="1">
        <f t="shared" si="41"/>
        <v>3.1080963623824269</v>
      </c>
      <c r="EY18" s="1">
        <f t="shared" si="42"/>
        <v>0.91708154127121255</v>
      </c>
      <c r="EZ18" s="1">
        <f t="shared" si="43"/>
        <v>0.22104452452739221</v>
      </c>
      <c r="FA18" s="1">
        <f t="shared" si="44"/>
        <v>1.6179760800711811</v>
      </c>
      <c r="FB18" s="1">
        <f t="shared" si="45"/>
        <v>0.26914738579065778</v>
      </c>
      <c r="FC18" s="1">
        <f t="shared" si="46"/>
        <v>0.19974338557704427</v>
      </c>
      <c r="FD18" s="1">
        <f t="shared" si="47"/>
        <v>0.11890512971944696</v>
      </c>
      <c r="FE18" s="1">
        <f t="shared" si="48"/>
        <v>0.79713364845951995</v>
      </c>
      <c r="FF18" s="1">
        <f t="shared" si="49"/>
        <v>0.15945256485972348</v>
      </c>
      <c r="FG18" s="1">
        <f t="shared" si="50"/>
        <v>-0.15945256485972348</v>
      </c>
      <c r="FH18" s="1">
        <f t="shared" si="51"/>
        <v>0.69856682422976002</v>
      </c>
      <c r="FI18" s="1">
        <f t="shared" si="52"/>
        <v>1.7629793993074414</v>
      </c>
      <c r="FJ18" s="1">
        <f t="shared" si="53"/>
        <v>0.95764374444321021</v>
      </c>
      <c r="FK18" s="1">
        <f t="shared" si="54"/>
        <v>0.47015372435767455</v>
      </c>
      <c r="FL18" s="1">
        <f t="shared" si="55"/>
        <v>1.2132750374160381</v>
      </c>
      <c r="FM18" s="1">
        <f t="shared" si="56"/>
        <v>0.35749408193923926</v>
      </c>
      <c r="FN18" s="1">
        <f t="shared" si="57"/>
        <v>0.4059207509771206</v>
      </c>
      <c r="FO18" s="1">
        <f t="shared" si="58"/>
        <v>0.37867730324479787</v>
      </c>
    </row>
    <row r="19" spans="1:171" x14ac:dyDescent="0.25">
      <c r="A19" s="11">
        <v>11.148474400965315</v>
      </c>
      <c r="B19" s="3">
        <v>510</v>
      </c>
      <c r="C19" s="12">
        <v>0.18509361736470731</v>
      </c>
      <c r="D19" s="12">
        <v>0.3802705460036464</v>
      </c>
      <c r="E19" s="11">
        <v>11.148474400965315</v>
      </c>
      <c r="F19" s="12">
        <v>0.20234572005565329</v>
      </c>
      <c r="G19" s="12">
        <v>0.5056336466040745</v>
      </c>
      <c r="H19" s="12">
        <f t="shared" si="86"/>
        <v>0.2146720043241416</v>
      </c>
      <c r="I19" s="12">
        <f t="shared" si="87"/>
        <v>0.44103865632053879</v>
      </c>
      <c r="J19" s="12">
        <f t="shared" si="59"/>
        <v>6.0020440915143615E-2</v>
      </c>
      <c r="K19" s="13">
        <f t="shared" si="60"/>
        <v>1.2982462582954796E-2</v>
      </c>
      <c r="L19" s="13">
        <f>SUM(K$3:$K19)</f>
        <v>0.74607275895626823</v>
      </c>
      <c r="M19" s="72">
        <f t="shared" si="88"/>
        <v>0.68955504750883756</v>
      </c>
      <c r="N19" s="12">
        <f t="shared" si="61"/>
        <v>1.3133100972784838E-4</v>
      </c>
      <c r="O19" s="21">
        <f t="shared" si="62"/>
        <v>3.9732652985210963E-10</v>
      </c>
      <c r="P19" s="11">
        <f>SUM(O$2:$O19)</f>
        <v>9.8577568455365487E-8</v>
      </c>
      <c r="Q19" s="12">
        <f t="shared" si="63"/>
        <v>1.0207345033545082E-3</v>
      </c>
      <c r="R19" s="3">
        <f t="shared" si="0"/>
        <v>0.32787388409300894</v>
      </c>
      <c r="S19" s="1">
        <f t="shared" si="64"/>
        <v>1.4560353989938788E-3</v>
      </c>
      <c r="T19" s="1">
        <f t="shared" si="65"/>
        <v>0.93969918040529643</v>
      </c>
      <c r="U19" s="1">
        <f t="shared" si="66"/>
        <v>4.1750712261984643E-3</v>
      </c>
      <c r="V19" s="11">
        <f t="shared" si="67"/>
        <v>6.4807973945165696</v>
      </c>
      <c r="W19" s="12">
        <f t="shared" si="68"/>
        <v>4.5210429486965888E-2</v>
      </c>
      <c r="X19" s="13">
        <f t="shared" si="1"/>
        <v>-2.1167636517285926E-2</v>
      </c>
      <c r="Y19" s="12">
        <f t="shared" si="69"/>
        <v>1.213136554077201E-2</v>
      </c>
      <c r="Z19" s="12" t="e">
        <f>SQRT((Q19/M19)^2 + (0.0002/G19)^2)*#REF!</f>
        <v>#REF!</v>
      </c>
      <c r="AA19" s="12">
        <f t="shared" si="70"/>
        <v>1.1236420954429267E-2</v>
      </c>
      <c r="AB19" s="12">
        <f t="shared" si="2"/>
        <v>4.8411034539824404E-3</v>
      </c>
      <c r="AC19" s="14">
        <f t="shared" si="71"/>
        <v>6.4242661699627268</v>
      </c>
      <c r="AD19" s="1">
        <f t="shared" si="72"/>
        <v>3.1269596785987015</v>
      </c>
      <c r="AE19" s="1">
        <f t="shared" si="73"/>
        <v>6.8156128760141987</v>
      </c>
      <c r="AF19" s="14">
        <f t="shared" si="3"/>
        <v>267.47025835521976</v>
      </c>
      <c r="AG19" s="14">
        <f t="shared" si="4"/>
        <v>63.368438694021172</v>
      </c>
      <c r="AH19" s="14">
        <f t="shared" si="5"/>
        <v>301.04975214615064</v>
      </c>
      <c r="AI19" s="14">
        <f t="shared" si="74"/>
        <v>46.578691798555724</v>
      </c>
      <c r="AJ19" s="14">
        <f t="shared" si="6"/>
        <v>157.52312786264284</v>
      </c>
      <c r="AK19" s="7"/>
      <c r="AL19" s="12">
        <f t="shared" si="75"/>
        <v>0.68955504750883756</v>
      </c>
      <c r="AM19" s="14">
        <f t="shared" si="7"/>
        <v>0.32787388409300894</v>
      </c>
      <c r="AN19" s="14">
        <f t="shared" si="76"/>
        <v>1.064170343927187</v>
      </c>
      <c r="AO19" s="11">
        <f t="shared" si="89"/>
        <v>6.4807973945165696</v>
      </c>
      <c r="AP19" s="14">
        <f t="shared" si="8"/>
        <v>11.34561207349438</v>
      </c>
      <c r="AQ19" s="14">
        <f t="shared" si="9"/>
        <v>-2.1167636420043046E-2</v>
      </c>
      <c r="AR19" s="82">
        <f t="shared" si="10"/>
        <v>299.00314010212981</v>
      </c>
      <c r="AS19" s="82">
        <f t="shared" si="11"/>
        <v>47.995418778570929</v>
      </c>
      <c r="AT19" s="82">
        <f t="shared" si="12"/>
        <v>156.06766560599672</v>
      </c>
      <c r="AU19" s="14">
        <f t="shared" si="13"/>
        <v>-2.0466120440208329</v>
      </c>
      <c r="AV19" s="14">
        <f t="shared" si="14"/>
        <v>1.4167269800152056</v>
      </c>
      <c r="AW19" s="14">
        <f t="shared" si="15"/>
        <v>-1.4554622566461148</v>
      </c>
      <c r="AX19" s="11">
        <f t="shared" si="77"/>
        <v>0.197137672529065</v>
      </c>
      <c r="AY19" s="92"/>
      <c r="AZ19" s="2"/>
      <c r="BA19" s="12">
        <v>0.20234572005565329</v>
      </c>
      <c r="BB19" s="12">
        <v>0.5056336466040745</v>
      </c>
      <c r="BC19" s="12">
        <f t="shared" si="78"/>
        <v>0.2146720043241416</v>
      </c>
      <c r="BD19" s="12">
        <f t="shared" si="79"/>
        <v>0.44103865632053879</v>
      </c>
      <c r="BE19" s="12">
        <v>0.68955504750883756</v>
      </c>
      <c r="BF19" s="14">
        <f t="shared" si="16"/>
        <v>0.32787388409300894</v>
      </c>
      <c r="BG19" s="14">
        <f t="shared" si="17"/>
        <v>1.064170343927187</v>
      </c>
      <c r="BH19" s="11">
        <f t="shared" si="80"/>
        <v>6.4807973945165696</v>
      </c>
      <c r="BI19" s="11">
        <f t="shared" si="18"/>
        <v>11.364094648740096</v>
      </c>
      <c r="BJ19" s="12">
        <f t="shared" si="19"/>
        <v>-2.1167636420043046E-2</v>
      </c>
      <c r="BK19" s="11">
        <f t="shared" si="20"/>
        <v>0.2156202477747815</v>
      </c>
      <c r="BL19" s="14">
        <f t="shared" si="91"/>
        <v>6.4242661699627268</v>
      </c>
      <c r="BM19" s="14">
        <f t="shared" si="92"/>
        <v>3.1269596785987015</v>
      </c>
      <c r="BN19" s="14">
        <f t="shared" si="90"/>
        <v>6.8156128760141987</v>
      </c>
      <c r="BO19" s="14">
        <f t="shared" si="81"/>
        <v>267.47025835521976</v>
      </c>
      <c r="BP19" s="14">
        <f t="shared" si="82"/>
        <v>63.368438694021172</v>
      </c>
      <c r="BQ19" s="14">
        <f t="shared" si="83"/>
        <v>301.04975214615064</v>
      </c>
      <c r="BR19" s="14">
        <f t="shared" si="84"/>
        <v>46.578691798555724</v>
      </c>
      <c r="BS19" s="14">
        <f t="shared" si="21"/>
        <v>157.52312786264284</v>
      </c>
      <c r="BT19" s="18">
        <f t="shared" si="22"/>
        <v>299.93852608150553</v>
      </c>
      <c r="BU19" s="18">
        <f t="shared" si="23"/>
        <v>48.023918478261237</v>
      </c>
      <c r="BV19" s="18">
        <f t="shared" si="24"/>
        <v>156.6016728049463</v>
      </c>
      <c r="BW19" s="11">
        <f t="shared" si="85"/>
        <v>-1.1112260646451091</v>
      </c>
      <c r="BX19" s="11">
        <f t="shared" si="85"/>
        <v>1.4452266797055131</v>
      </c>
      <c r="BY19" s="11">
        <f t="shared" si="85"/>
        <v>-0.92145505769653369</v>
      </c>
      <c r="BZ19" s="11">
        <f t="shared" si="26"/>
        <v>204.38062389713272</v>
      </c>
      <c r="CA19" s="11">
        <f t="shared" si="27"/>
        <v>6.8030224511895963</v>
      </c>
      <c r="CB19" s="11">
        <f t="shared" si="28"/>
        <v>2.7221658054256559</v>
      </c>
      <c r="CC19" s="11">
        <f t="shared" si="29"/>
        <v>6.435572139818948</v>
      </c>
      <c r="CD19" s="11">
        <f t="shared" si="30"/>
        <v>3.1372682236577276</v>
      </c>
      <c r="CE19" s="11">
        <f t="shared" si="31"/>
        <v>57.48172174226859</v>
      </c>
      <c r="CF19" s="11">
        <f t="shared" si="32"/>
        <v>55.324934740412374</v>
      </c>
      <c r="CG19" s="11">
        <f t="shared" si="33"/>
        <v>56.403328241340482</v>
      </c>
      <c r="CH19" s="14">
        <f t="shared" si="34"/>
        <v>-1.2590424824602486E-2</v>
      </c>
      <c r="CI19" s="14" t="e">
        <f>CB19-#REF!</f>
        <v>#REF!</v>
      </c>
      <c r="CJ19" s="14">
        <f t="shared" si="35"/>
        <v>1.1305969856221232E-2</v>
      </c>
      <c r="CK19" s="14">
        <f t="shared" si="36"/>
        <v>1.030854505902612E-2</v>
      </c>
      <c r="CL19" s="19"/>
      <c r="CM19" s="12"/>
      <c r="CP19" s="17"/>
      <c r="CQ19" s="20"/>
      <c r="CR19" s="20"/>
      <c r="CS19" s="21"/>
      <c r="CZ19" s="14"/>
      <c r="DA19" s="14"/>
      <c r="DB19" s="14"/>
      <c r="DC19" s="14"/>
      <c r="DH19" s="12"/>
      <c r="ET19" s="1">
        <f t="shared" si="37"/>
        <v>3.1135579278325204E-5</v>
      </c>
      <c r="EU19" s="1">
        <f t="shared" si="38"/>
        <v>0.35416731993537159</v>
      </c>
      <c r="EV19" s="1">
        <f t="shared" si="39"/>
        <v>0.24838201998425977</v>
      </c>
      <c r="EW19" s="1">
        <f t="shared" si="40"/>
        <v>3.3030312587356294E-3</v>
      </c>
      <c r="EX19" s="1">
        <f t="shared" si="41"/>
        <v>3.1760145504582926</v>
      </c>
      <c r="EY19" s="1">
        <f t="shared" si="42"/>
        <v>0.93643327145343414</v>
      </c>
      <c r="EZ19" s="1">
        <f t="shared" si="43"/>
        <v>0.22149132600725829</v>
      </c>
      <c r="FA19" s="1">
        <f t="shared" si="44"/>
        <v>1.6536043975988273</v>
      </c>
      <c r="FB19" s="1">
        <f t="shared" si="45"/>
        <v>0.25951511321225684</v>
      </c>
      <c r="FC19" s="1">
        <f t="shared" si="46"/>
        <v>0.19539624559280819</v>
      </c>
      <c r="FD19" s="1">
        <f t="shared" si="47"/>
        <v>0.11402040405020757</v>
      </c>
      <c r="FE19" s="1">
        <f t="shared" si="48"/>
        <v>0.81195919864573274</v>
      </c>
      <c r="FF19" s="1">
        <f t="shared" si="49"/>
        <v>0.1570102020251038</v>
      </c>
      <c r="FG19" s="1">
        <f t="shared" si="50"/>
        <v>-0.1570102020251038</v>
      </c>
      <c r="FH19" s="1">
        <f t="shared" si="51"/>
        <v>0.70597959932286636</v>
      </c>
      <c r="FI19" s="1">
        <f t="shared" si="52"/>
        <v>1.7821376351051825</v>
      </c>
      <c r="FJ19" s="1">
        <f t="shared" si="53"/>
        <v>0.96769482351278191</v>
      </c>
      <c r="FK19" s="1">
        <f t="shared" si="54"/>
        <v>0.4706286497943557</v>
      </c>
      <c r="FL19" s="1">
        <f t="shared" si="55"/>
        <v>1.2263842621782917</v>
      </c>
      <c r="FM19" s="1">
        <f t="shared" si="56"/>
        <v>0.35684025369882749</v>
      </c>
      <c r="FN19" s="1">
        <f t="shared" si="57"/>
        <v>0.41032325359415645</v>
      </c>
      <c r="FO19" s="1">
        <f t="shared" si="58"/>
        <v>0.3800768695406595</v>
      </c>
    </row>
    <row r="20" spans="1:171" x14ac:dyDescent="0.25">
      <c r="A20" s="11">
        <v>11.535873125323196</v>
      </c>
      <c r="B20" s="3">
        <v>540</v>
      </c>
      <c r="C20" s="12">
        <v>0.18461246669301723</v>
      </c>
      <c r="D20" s="12">
        <v>0.37951268340633953</v>
      </c>
      <c r="E20" s="11">
        <v>11.535873125323196</v>
      </c>
      <c r="F20" s="12">
        <v>0.20174572005565328</v>
      </c>
      <c r="G20" s="12">
        <v>0.50523364660407455</v>
      </c>
      <c r="H20" s="12">
        <f t="shared" si="86"/>
        <v>0.21411396466537747</v>
      </c>
      <c r="I20" s="12">
        <f t="shared" si="87"/>
        <v>0.44015968553222901</v>
      </c>
      <c r="J20" s="12">
        <f t="shared" si="59"/>
        <v>5.9636221994956294E-2</v>
      </c>
      <c r="K20" s="13">
        <f t="shared" si="60"/>
        <v>2.3177419286146861E-2</v>
      </c>
      <c r="L20" s="13">
        <f>SUM(K$3:$K20)</f>
        <v>0.76925017824241504</v>
      </c>
      <c r="M20" s="72">
        <f t="shared" si="88"/>
        <v>0.68911578963619868</v>
      </c>
      <c r="N20" s="12">
        <f t="shared" si="61"/>
        <v>1.30626905590321E-4</v>
      </c>
      <c r="O20" s="21">
        <f t="shared" si="62"/>
        <v>1.2682190157043404E-9</v>
      </c>
      <c r="P20" s="11">
        <f>SUM(O$2:$O20)</f>
        <v>9.9845787471069831E-8</v>
      </c>
      <c r="Q20" s="12">
        <f t="shared" si="63"/>
        <v>1.0213696978737241E-3</v>
      </c>
      <c r="R20" s="3">
        <f t="shared" si="0"/>
        <v>0.32724770002997478</v>
      </c>
      <c r="S20" s="1">
        <f t="shared" si="64"/>
        <v>1.4550858775965959E-3</v>
      </c>
      <c r="T20" s="1">
        <f t="shared" si="65"/>
        <v>0.93790451276214515</v>
      </c>
      <c r="U20" s="1">
        <f t="shared" si="66"/>
        <v>4.1723498613014942E-3</v>
      </c>
      <c r="V20" s="11">
        <f t="shared" si="67"/>
        <v>6.4931983129762783</v>
      </c>
      <c r="W20" s="12">
        <f t="shared" si="68"/>
        <v>4.5320078324598286E-2</v>
      </c>
      <c r="X20" s="13">
        <f t="shared" si="1"/>
        <v>-2.183225617480844E-2</v>
      </c>
      <c r="Y20" s="12">
        <f t="shared" si="69"/>
        <v>1.2181446771361402E-2</v>
      </c>
      <c r="Z20" s="12" t="e">
        <f>SQRT((Q20/M20)^2 + (0.0002/G20)^2)*#REF!</f>
        <v>#REF!</v>
      </c>
      <c r="AA20" s="12">
        <f t="shared" si="70"/>
        <v>1.1277018881067384E-2</v>
      </c>
      <c r="AB20" s="12">
        <f t="shared" si="2"/>
        <v>4.8540959766216925E-3</v>
      </c>
      <c r="AC20" s="14">
        <f t="shared" si="71"/>
        <v>6.4369065391242994</v>
      </c>
      <c r="AD20" s="1">
        <f t="shared" si="72"/>
        <v>3.1312081150864093</v>
      </c>
      <c r="AE20" s="1">
        <f t="shared" si="73"/>
        <v>6.8315282172637932</v>
      </c>
      <c r="AF20" s="14">
        <f t="shared" si="3"/>
        <v>269.03765815009655</v>
      </c>
      <c r="AG20" s="14">
        <f t="shared" si="4"/>
        <v>63.662330792557725</v>
      </c>
      <c r="AH20" s="14">
        <f t="shared" si="5"/>
        <v>303.03612236931576</v>
      </c>
      <c r="AI20" s="14">
        <f t="shared" si="74"/>
        <v>46.663098682948117</v>
      </c>
      <c r="AJ20" s="14">
        <f t="shared" si="6"/>
        <v>158.71222867459068</v>
      </c>
      <c r="AK20" s="7"/>
      <c r="AL20" s="12">
        <f t="shared" si="75"/>
        <v>0.68911578963619868</v>
      </c>
      <c r="AM20" s="14">
        <f t="shared" si="7"/>
        <v>0.32724770002997478</v>
      </c>
      <c r="AN20" s="14">
        <f t="shared" si="76"/>
        <v>1.0662066195363349</v>
      </c>
      <c r="AO20" s="11">
        <f t="shared" si="89"/>
        <v>6.4931983129762783</v>
      </c>
      <c r="AP20" s="14">
        <f t="shared" si="8"/>
        <v>11.736366565519059</v>
      </c>
      <c r="AQ20" s="14">
        <f t="shared" si="9"/>
        <v>-2.1832256074448941E-2</v>
      </c>
      <c r="AR20" s="82">
        <f t="shared" si="10"/>
        <v>300.93155259972281</v>
      </c>
      <c r="AS20" s="82">
        <f t="shared" si="11"/>
        <v>48.078245681710271</v>
      </c>
      <c r="AT20" s="82">
        <f t="shared" si="12"/>
        <v>157.18494074553553</v>
      </c>
      <c r="AU20" s="14">
        <f t="shared" si="13"/>
        <v>-2.1045697695929562</v>
      </c>
      <c r="AV20" s="14">
        <f t="shared" si="14"/>
        <v>1.4151469987621539</v>
      </c>
      <c r="AW20" s="14">
        <f t="shared" si="15"/>
        <v>-1.5272879290551487</v>
      </c>
      <c r="AX20" s="11">
        <f t="shared" si="77"/>
        <v>0.20049344019586357</v>
      </c>
      <c r="AY20" s="92"/>
      <c r="AZ20" s="2"/>
      <c r="BA20" s="12">
        <v>0.20174572005565328</v>
      </c>
      <c r="BB20" s="12">
        <v>0.50523364660407455</v>
      </c>
      <c r="BC20" s="12">
        <f t="shared" si="78"/>
        <v>0.21411396466537747</v>
      </c>
      <c r="BD20" s="12">
        <f t="shared" si="79"/>
        <v>0.44015968553222901</v>
      </c>
      <c r="BE20" s="12">
        <v>0.68911578963619868</v>
      </c>
      <c r="BF20" s="14">
        <f t="shared" si="16"/>
        <v>0.32724770002997478</v>
      </c>
      <c r="BG20" s="14">
        <f t="shared" si="17"/>
        <v>1.0662066195363349</v>
      </c>
      <c r="BH20" s="11">
        <f t="shared" si="80"/>
        <v>6.4931983129762783</v>
      </c>
      <c r="BI20" s="11">
        <f t="shared" si="18"/>
        <v>11.756150606408308</v>
      </c>
      <c r="BJ20" s="12">
        <f t="shared" si="19"/>
        <v>-2.1832256074448941E-2</v>
      </c>
      <c r="BK20" s="11">
        <f t="shared" si="20"/>
        <v>0.22027748108511247</v>
      </c>
      <c r="BL20" s="14">
        <f t="shared" si="91"/>
        <v>6.4369065391242994</v>
      </c>
      <c r="BM20" s="14">
        <f t="shared" si="92"/>
        <v>3.1312081150864093</v>
      </c>
      <c r="BN20" s="14">
        <f t="shared" si="90"/>
        <v>6.8315282172637932</v>
      </c>
      <c r="BO20" s="14">
        <f t="shared" si="81"/>
        <v>269.03765815009655</v>
      </c>
      <c r="BP20" s="14">
        <f t="shared" si="82"/>
        <v>63.662330792557725</v>
      </c>
      <c r="BQ20" s="14">
        <f t="shared" si="83"/>
        <v>303.03612236931576</v>
      </c>
      <c r="BR20" s="14">
        <f t="shared" si="84"/>
        <v>46.663098682948117</v>
      </c>
      <c r="BS20" s="14">
        <f t="shared" si="21"/>
        <v>158.71222867459068</v>
      </c>
      <c r="BT20" s="18">
        <f t="shared" si="22"/>
        <v>301.90414454037079</v>
      </c>
      <c r="BU20" s="18">
        <f t="shared" si="23"/>
        <v>48.107609614376884</v>
      </c>
      <c r="BV20" s="18">
        <f t="shared" si="24"/>
        <v>157.73943587378966</v>
      </c>
      <c r="BW20" s="11">
        <f t="shared" si="85"/>
        <v>-1.1319778289449687</v>
      </c>
      <c r="BX20" s="11">
        <f t="shared" si="85"/>
        <v>1.4445109314287663</v>
      </c>
      <c r="BY20" s="11">
        <f t="shared" si="85"/>
        <v>-0.97279280080101671</v>
      </c>
      <c r="BZ20" s="11">
        <f t="shared" si="26"/>
        <v>205.79433876265003</v>
      </c>
      <c r="CA20" s="11">
        <f t="shared" si="27"/>
        <v>6.8187568459222074</v>
      </c>
      <c r="CB20" s="11">
        <f t="shared" si="28"/>
        <v>2.7219337807254109</v>
      </c>
      <c r="CC20" s="11">
        <f t="shared" si="29"/>
        <v>6.4476660784683908</v>
      </c>
      <c r="CD20" s="11">
        <f t="shared" si="30"/>
        <v>3.141727141025632</v>
      </c>
      <c r="CE20" s="11">
        <f t="shared" si="31"/>
        <v>57.697507501942354</v>
      </c>
      <c r="CF20" s="11">
        <f t="shared" si="32"/>
        <v>55.490053673323729</v>
      </c>
      <c r="CG20" s="11">
        <f t="shared" si="33"/>
        <v>56.593780587633042</v>
      </c>
      <c r="CH20" s="14">
        <f t="shared" si="34"/>
        <v>-1.2771371341585791E-2</v>
      </c>
      <c r="CI20" s="14" t="e">
        <f>CB20-#REF!</f>
        <v>#REF!</v>
      </c>
      <c r="CJ20" s="14">
        <f t="shared" si="35"/>
        <v>1.0759539344091351E-2</v>
      </c>
      <c r="CK20" s="14">
        <f t="shared" si="36"/>
        <v>1.0519025939222715E-2</v>
      </c>
      <c r="CL20" s="19"/>
      <c r="CM20" s="12"/>
      <c r="CP20" s="17"/>
      <c r="CQ20" s="20"/>
      <c r="CR20" s="20"/>
      <c r="CS20" s="21"/>
      <c r="CZ20" s="14"/>
      <c r="DA20" s="14"/>
      <c r="DB20" s="14"/>
      <c r="DC20" s="14"/>
      <c r="DH20" s="12"/>
      <c r="ET20" s="1">
        <f t="shared" si="37"/>
        <v>3.1141105139276373E-5</v>
      </c>
      <c r="EU20" s="1">
        <f t="shared" si="38"/>
        <v>0.36099411558035693</v>
      </c>
      <c r="EV20" s="1">
        <f t="shared" si="39"/>
        <v>0.25261326040830356</v>
      </c>
      <c r="EW20" s="1">
        <f t="shared" si="40"/>
        <v>3.3470679320086647E-3</v>
      </c>
      <c r="EX20" s="1">
        <f t="shared" si="41"/>
        <v>3.2207095615893411</v>
      </c>
      <c r="EY20" s="1">
        <f t="shared" si="42"/>
        <v>0.95122121118089586</v>
      </c>
      <c r="EZ20" s="1">
        <f t="shared" si="43"/>
        <v>0.22455694871746928</v>
      </c>
      <c r="FA20" s="1">
        <f t="shared" si="44"/>
        <v>1.67824527428199</v>
      </c>
      <c r="FB20" s="1">
        <f t="shared" si="45"/>
        <v>0.25985699313593036</v>
      </c>
      <c r="FC20" s="1">
        <f t="shared" si="46"/>
        <v>0.19684181167756168</v>
      </c>
      <c r="FD20" s="1">
        <f t="shared" si="47"/>
        <v>0.11342807905397902</v>
      </c>
      <c r="FE20" s="1">
        <f t="shared" si="48"/>
        <v>0.81378778167038879</v>
      </c>
      <c r="FF20" s="1">
        <f t="shared" si="49"/>
        <v>0.15671403952698951</v>
      </c>
      <c r="FG20" s="1">
        <f t="shared" si="50"/>
        <v>-0.15671403952698951</v>
      </c>
      <c r="FH20" s="1">
        <f t="shared" si="51"/>
        <v>0.70689389083519438</v>
      </c>
      <c r="FI20" s="1">
        <f t="shared" si="52"/>
        <v>1.794633545208977</v>
      </c>
      <c r="FJ20" s="1">
        <f t="shared" si="53"/>
        <v>0.97530570139874395</v>
      </c>
      <c r="FK20" s="1">
        <f t="shared" si="54"/>
        <v>0.4738744018381551</v>
      </c>
      <c r="FL20" s="1">
        <f t="shared" si="55"/>
        <v>1.2355194815425652</v>
      </c>
      <c r="FM20" s="1">
        <f t="shared" si="56"/>
        <v>0.35858298071234179</v>
      </c>
      <c r="FN20" s="1">
        <f t="shared" si="57"/>
        <v>0.41332525558746847</v>
      </c>
      <c r="FO20" s="1">
        <f t="shared" si="58"/>
        <v>0.38236001121608842</v>
      </c>
    </row>
    <row r="21" spans="1:171" x14ac:dyDescent="0.25">
      <c r="A21" s="11">
        <v>12.052404757800351</v>
      </c>
      <c r="B21" s="3">
        <v>570</v>
      </c>
      <c r="C21" s="12">
        <v>0.18392145983988545</v>
      </c>
      <c r="D21" s="12">
        <v>0.37845132044607521</v>
      </c>
      <c r="E21" s="11">
        <v>12.052404757800351</v>
      </c>
      <c r="F21" s="12">
        <v>0.20094572005565328</v>
      </c>
      <c r="G21" s="12">
        <v>0.50583364660407459</v>
      </c>
      <c r="H21" s="12">
        <f t="shared" si="86"/>
        <v>0.21331253332335973</v>
      </c>
      <c r="I21" s="12">
        <f t="shared" si="87"/>
        <v>0.43892871432296038</v>
      </c>
      <c r="J21" s="12">
        <f t="shared" si="59"/>
        <v>5.9118799447692598E-2</v>
      </c>
      <c r="K21" s="13">
        <f t="shared" si="60"/>
        <v>3.0670362545315525E-2</v>
      </c>
      <c r="L21" s="13">
        <f>SUM(K$3:$K21)</f>
        <v>0.79992054078773056</v>
      </c>
      <c r="M21" s="72">
        <f t="shared" si="88"/>
        <v>0.68853538521919677</v>
      </c>
      <c r="N21" s="12">
        <f t="shared" si="61"/>
        <v>1.2937642711028898E-4</v>
      </c>
      <c r="O21" s="21">
        <f t="shared" si="62"/>
        <v>2.2135021076904881E-9</v>
      </c>
      <c r="P21" s="11">
        <f>SUM(O$2:$O21)</f>
        <v>1.0205928957876032E-7</v>
      </c>
      <c r="Q21" s="12">
        <f t="shared" si="63"/>
        <v>1.0222092324603984E-3</v>
      </c>
      <c r="R21" s="3">
        <f t="shared" si="0"/>
        <v>0.32642152791650297</v>
      </c>
      <c r="S21" s="1">
        <f t="shared" si="64"/>
        <v>1.4538298539465218E-3</v>
      </c>
      <c r="T21" s="1">
        <f t="shared" si="65"/>
        <v>0.93553667166357524</v>
      </c>
      <c r="U21" s="1">
        <f t="shared" si="66"/>
        <v>4.1687500491425934E-3</v>
      </c>
      <c r="V21" s="11">
        <f t="shared" si="67"/>
        <v>6.5096325825162316</v>
      </c>
      <c r="W21" s="12">
        <f t="shared" si="68"/>
        <v>4.5465511630773413E-2</v>
      </c>
      <c r="X21" s="13">
        <f t="shared" si="1"/>
        <v>-2.2712389306449587E-2</v>
      </c>
      <c r="Y21" s="12">
        <f t="shared" si="69"/>
        <v>1.2248748732660323E-2</v>
      </c>
      <c r="Z21" s="12" t="e">
        <f>SQRT((Q21/M21)^2 + (0.0002/G21)^2)*#REF!</f>
        <v>#REF!</v>
      </c>
      <c r="AA21" s="12">
        <f t="shared" si="70"/>
        <v>1.133542092763052E-2</v>
      </c>
      <c r="AB21" s="12">
        <f t="shared" si="2"/>
        <v>4.8721864569340476E-3</v>
      </c>
      <c r="AC21" s="14">
        <f t="shared" si="71"/>
        <v>6.4556486624763707</v>
      </c>
      <c r="AD21" s="1">
        <f t="shared" si="72"/>
        <v>3.1373449161613869</v>
      </c>
      <c r="AE21" s="1">
        <f t="shared" si="73"/>
        <v>6.852948995664125</v>
      </c>
      <c r="AF21" s="14">
        <f t="shared" si="3"/>
        <v>271.29153947272187</v>
      </c>
      <c r="AG21" s="14">
        <f t="shared" si="4"/>
        <v>64.073878164772751</v>
      </c>
      <c r="AH21" s="14">
        <f t="shared" si="5"/>
        <v>305.7112886968028</v>
      </c>
      <c r="AI21" s="14">
        <f t="shared" si="74"/>
        <v>46.864003552732271</v>
      </c>
      <c r="AJ21" s="14">
        <f t="shared" si="6"/>
        <v>160.35365775521683</v>
      </c>
      <c r="AK21" s="7"/>
      <c r="AL21" s="12">
        <f t="shared" si="75"/>
        <v>0.68853538521919677</v>
      </c>
      <c r="AM21" s="14">
        <f t="shared" si="7"/>
        <v>0.32642152791650297</v>
      </c>
      <c r="AN21" s="14">
        <f t="shared" si="76"/>
        <v>1.0689051859632566</v>
      </c>
      <c r="AO21" s="11">
        <f t="shared" si="89"/>
        <v>6.5096325825162316</v>
      </c>
      <c r="AP21" s="14">
        <f t="shared" si="8"/>
        <v>12.257150034245527</v>
      </c>
      <c r="AQ21" s="14">
        <f t="shared" si="9"/>
        <v>-2.2712389201956951E-2</v>
      </c>
      <c r="AR21" s="82">
        <f t="shared" si="10"/>
        <v>303.49517019344881</v>
      </c>
      <c r="AS21" s="82">
        <f t="shared" si="11"/>
        <v>48.185568854751644</v>
      </c>
      <c r="AT21" s="82">
        <f t="shared" si="12"/>
        <v>158.67210039612849</v>
      </c>
      <c r="AU21" s="14">
        <f t="shared" si="13"/>
        <v>-2.2161185033539823</v>
      </c>
      <c r="AV21" s="14">
        <f t="shared" si="14"/>
        <v>1.3215653020193727</v>
      </c>
      <c r="AW21" s="14">
        <f t="shared" si="15"/>
        <v>-1.6815573590883446</v>
      </c>
      <c r="AX21" s="11">
        <f t="shared" si="77"/>
        <v>0.20474527644517515</v>
      </c>
      <c r="AY21" s="92"/>
      <c r="AZ21" s="2"/>
      <c r="BA21" s="12">
        <v>0.20094572005565328</v>
      </c>
      <c r="BB21" s="12">
        <v>0.50583364660407459</v>
      </c>
      <c r="BC21" s="12">
        <f t="shared" si="78"/>
        <v>0.21331253332335973</v>
      </c>
      <c r="BD21" s="12">
        <f t="shared" si="79"/>
        <v>0.43892871432296038</v>
      </c>
      <c r="BE21" s="12">
        <v>0.68853538521919677</v>
      </c>
      <c r="BF21" s="14">
        <f t="shared" si="16"/>
        <v>0.32642152791650297</v>
      </c>
      <c r="BG21" s="14">
        <f t="shared" si="17"/>
        <v>1.0689051859632566</v>
      </c>
      <c r="BH21" s="11">
        <f t="shared" si="80"/>
        <v>6.5096325825162316</v>
      </c>
      <c r="BI21" s="11">
        <f t="shared" si="18"/>
        <v>12.278732059956903</v>
      </c>
      <c r="BJ21" s="12">
        <f t="shared" si="19"/>
        <v>-2.2712389201956951E-2</v>
      </c>
      <c r="BK21" s="11">
        <f t="shared" si="20"/>
        <v>0.22632730215655172</v>
      </c>
      <c r="BL21" s="14">
        <f t="shared" si="91"/>
        <v>6.4556486624763707</v>
      </c>
      <c r="BM21" s="14">
        <f t="shared" si="92"/>
        <v>3.1373449161613869</v>
      </c>
      <c r="BN21" s="14">
        <f t="shared" si="90"/>
        <v>6.852948995664125</v>
      </c>
      <c r="BO21" s="14">
        <f t="shared" si="81"/>
        <v>271.29153947272187</v>
      </c>
      <c r="BP21" s="14">
        <f t="shared" si="82"/>
        <v>64.073878164772751</v>
      </c>
      <c r="BQ21" s="14">
        <f t="shared" si="83"/>
        <v>305.7112886968028</v>
      </c>
      <c r="BR21" s="14">
        <f t="shared" si="84"/>
        <v>46.864003552732271</v>
      </c>
      <c r="BS21" s="14">
        <f t="shared" si="21"/>
        <v>160.35365775521683</v>
      </c>
      <c r="BT21" s="18">
        <f t="shared" si="22"/>
        <v>304.51767931709094</v>
      </c>
      <c r="BU21" s="18">
        <f t="shared" si="23"/>
        <v>48.216145352322023</v>
      </c>
      <c r="BV21" s="18">
        <f t="shared" si="24"/>
        <v>159.25404491821629</v>
      </c>
      <c r="BW21" s="11">
        <f t="shared" si="85"/>
        <v>-1.1936093797118588</v>
      </c>
      <c r="BX21" s="11">
        <f t="shared" si="85"/>
        <v>1.3521417995897522</v>
      </c>
      <c r="BY21" s="11">
        <f t="shared" si="85"/>
        <v>-1.0996128370005351</v>
      </c>
      <c r="BZ21" s="11">
        <f t="shared" si="26"/>
        <v>207.67525638450783</v>
      </c>
      <c r="CA21" s="11">
        <f t="shared" si="27"/>
        <v>6.8395576942789695</v>
      </c>
      <c r="CB21" s="11">
        <f t="shared" si="28"/>
        <v>2.7215605776030367</v>
      </c>
      <c r="CC21" s="11">
        <f t="shared" si="29"/>
        <v>6.4636381710144173</v>
      </c>
      <c r="CD21" s="11">
        <f t="shared" si="30"/>
        <v>3.1475958922022946</v>
      </c>
      <c r="CE21" s="11">
        <f t="shared" si="31"/>
        <v>57.982414091168138</v>
      </c>
      <c r="CF21" s="11">
        <f t="shared" si="32"/>
        <v>55.706604667366939</v>
      </c>
      <c r="CG21" s="11">
        <f t="shared" si="33"/>
        <v>56.844509379267535</v>
      </c>
      <c r="CH21" s="14">
        <f t="shared" si="34"/>
        <v>-1.339130138515543E-2</v>
      </c>
      <c r="CI21" s="14" t="e">
        <f>CB21-#REF!</f>
        <v>#REF!</v>
      </c>
      <c r="CJ21" s="14">
        <f t="shared" si="35"/>
        <v>7.9895085380465858E-3</v>
      </c>
      <c r="CK21" s="14">
        <f t="shared" si="36"/>
        <v>1.0250976040907744E-2</v>
      </c>
      <c r="CL21" s="19"/>
      <c r="CM21" s="12"/>
      <c r="CP21" s="17"/>
      <c r="CQ21" s="20"/>
      <c r="CR21" s="20"/>
      <c r="CS21" s="21"/>
      <c r="CZ21" s="14"/>
      <c r="DA21" s="14"/>
      <c r="DB21" s="14"/>
      <c r="DC21" s="14"/>
      <c r="DH21" s="12"/>
      <c r="ET21" s="1">
        <f t="shared" si="37"/>
        <v>3.114842913864257E-5</v>
      </c>
      <c r="EU21" s="1">
        <f t="shared" si="38"/>
        <v>0.37032703075853524</v>
      </c>
      <c r="EV21" s="1">
        <f t="shared" si="39"/>
        <v>0.25879729682802405</v>
      </c>
      <c r="EW21" s="1">
        <f t="shared" si="40"/>
        <v>3.409526097291846E-3</v>
      </c>
      <c r="EX21" s="1">
        <f t="shared" si="41"/>
        <v>3.2814402809530523</v>
      </c>
      <c r="EY21" s="1">
        <f t="shared" si="42"/>
        <v>0.97184795081656195</v>
      </c>
      <c r="EZ21" s="1">
        <f t="shared" si="43"/>
        <v>0.22909987293656114</v>
      </c>
      <c r="FA21" s="1">
        <f t="shared" si="44"/>
        <v>1.7121194213855297</v>
      </c>
      <c r="FB21" s="1">
        <f t="shared" si="45"/>
        <v>0.26109550986342239</v>
      </c>
      <c r="FC21" s="1">
        <f t="shared" si="46"/>
        <v>0.19937317773802724</v>
      </c>
      <c r="FD21" s="1">
        <f t="shared" si="47"/>
        <v>0.11297844306537672</v>
      </c>
      <c r="FE21" s="1">
        <f t="shared" si="48"/>
        <v>0.81518043315269617</v>
      </c>
      <c r="FF21" s="1">
        <f t="shared" si="49"/>
        <v>0.15648922153268835</v>
      </c>
      <c r="FG21" s="1">
        <f t="shared" si="50"/>
        <v>-0.15648922153268835</v>
      </c>
      <c r="FH21" s="1">
        <f t="shared" si="51"/>
        <v>0.70759021657634813</v>
      </c>
      <c r="FI21" s="1">
        <f t="shared" si="52"/>
        <v>1.8114746150451715</v>
      </c>
      <c r="FJ21" s="1">
        <f t="shared" si="53"/>
        <v>0.98582348867155822</v>
      </c>
      <c r="FK21" s="1">
        <f t="shared" si="54"/>
        <v>0.47864378501821281</v>
      </c>
      <c r="FL21" s="1">
        <f t="shared" si="55"/>
        <v>1.2479899291688312</v>
      </c>
      <c r="FM21" s="1">
        <f t="shared" si="56"/>
        <v>0.36118041132818796</v>
      </c>
      <c r="FN21" s="1">
        <f t="shared" si="57"/>
        <v>0.41736354323820302</v>
      </c>
      <c r="FO21" s="1">
        <f t="shared" si="58"/>
        <v>0.38558807922886229</v>
      </c>
    </row>
    <row r="22" spans="1:171" x14ac:dyDescent="0.25">
      <c r="A22" s="11">
        <v>12.31067057403893</v>
      </c>
      <c r="B22" s="3">
        <v>600</v>
      </c>
      <c r="C22" s="12">
        <v>0.18354359518627872</v>
      </c>
      <c r="D22" s="12">
        <v>0.3779100638847388</v>
      </c>
      <c r="E22" s="11">
        <v>12.31067057403893</v>
      </c>
      <c r="F22" s="12">
        <v>0.20034572005565329</v>
      </c>
      <c r="G22" s="12">
        <v>0.50703364660407457</v>
      </c>
      <c r="H22" s="12">
        <f t="shared" si="86"/>
        <v>0.21287428502659014</v>
      </c>
      <c r="I22" s="12">
        <f t="shared" si="87"/>
        <v>0.43830096371475474</v>
      </c>
      <c r="J22" s="12">
        <f t="shared" si="59"/>
        <v>5.8738921877816944E-2</v>
      </c>
      <c r="K22" s="13">
        <f t="shared" si="60"/>
        <v>1.5219310299075832E-2</v>
      </c>
      <c r="L22" s="13">
        <f>SUM(K$3:$K22)</f>
        <v>0.81513985108680642</v>
      </c>
      <c r="M22" s="72">
        <f t="shared" si="88"/>
        <v>0.68824773854104537</v>
      </c>
      <c r="N22" s="12">
        <f t="shared" si="61"/>
        <v>1.2824611447049164E-4</v>
      </c>
      <c r="O22" s="21">
        <f t="shared" si="62"/>
        <v>5.4536668453315195E-10</v>
      </c>
      <c r="P22" s="11">
        <f>SUM(O$2:$O22)</f>
        <v>1.0260465626329348E-7</v>
      </c>
      <c r="Q22" s="12">
        <f t="shared" si="63"/>
        <v>1.0226253951591754E-3</v>
      </c>
      <c r="R22" s="3">
        <f t="shared" si="0"/>
        <v>0.3260125953478526</v>
      </c>
      <c r="S22" s="1">
        <f t="shared" si="64"/>
        <v>1.4532067763180175E-3</v>
      </c>
      <c r="T22" s="1">
        <f t="shared" si="65"/>
        <v>0.93436465517112177</v>
      </c>
      <c r="U22" s="1">
        <f t="shared" si="66"/>
        <v>4.1669642846604536E-3</v>
      </c>
      <c r="V22" s="11">
        <f t="shared" si="67"/>
        <v>6.5177979135829593</v>
      </c>
      <c r="W22" s="12">
        <f t="shared" si="68"/>
        <v>4.55378212380586E-2</v>
      </c>
      <c r="X22" s="13">
        <f t="shared" si="1"/>
        <v>-2.3149406080448576E-2</v>
      </c>
      <c r="Y22" s="12">
        <f t="shared" si="69"/>
        <v>1.2298700936871923E-2</v>
      </c>
      <c r="Z22" s="12" t="e">
        <f>SQRT((Q22/M22)^2 + (0.0002/G22)^2)*#REF!</f>
        <v>#REF!</v>
      </c>
      <c r="AA22" s="12">
        <f t="shared" si="70"/>
        <v>1.1367376668371102E-2</v>
      </c>
      <c r="AB22" s="12">
        <f t="shared" si="2"/>
        <v>4.8814059220477282E-3</v>
      </c>
      <c r="AC22" s="14">
        <f t="shared" si="71"/>
        <v>6.4662365250464733</v>
      </c>
      <c r="AD22" s="1">
        <f t="shared" si="72"/>
        <v>3.1405257825942425</v>
      </c>
      <c r="AE22" s="1">
        <f t="shared" si="73"/>
        <v>6.8706008628470787</v>
      </c>
      <c r="AF22" s="14">
        <f t="shared" si="3"/>
        <v>272.52356637167725</v>
      </c>
      <c r="AG22" s="14">
        <f t="shared" si="4"/>
        <v>64.284403323279747</v>
      </c>
      <c r="AH22" s="14">
        <f t="shared" si="5"/>
        <v>307.67366869862002</v>
      </c>
      <c r="AI22" s="14">
        <f t="shared" si="74"/>
        <v>46.709352159808361</v>
      </c>
      <c r="AJ22" s="14">
        <f t="shared" si="6"/>
        <v>161.52981088858914</v>
      </c>
      <c r="AK22" s="7"/>
      <c r="AL22" s="12">
        <f t="shared" si="75"/>
        <v>0.68824773854104537</v>
      </c>
      <c r="AM22" s="14">
        <f t="shared" si="7"/>
        <v>0.3260125953478526</v>
      </c>
      <c r="AN22" s="14">
        <f t="shared" si="76"/>
        <v>1.0702459628215042</v>
      </c>
      <c r="AO22" s="11">
        <f t="shared" si="89"/>
        <v>6.5177979135829593</v>
      </c>
      <c r="AP22" s="14">
        <f t="shared" si="8"/>
        <v>12.517146208106338</v>
      </c>
      <c r="AQ22" s="14">
        <f t="shared" si="9"/>
        <v>-2.3149405973901138E-2</v>
      </c>
      <c r="AR22" s="82">
        <f t="shared" si="10"/>
        <v>304.77228378733963</v>
      </c>
      <c r="AS22" s="82">
        <f t="shared" si="11"/>
        <v>48.237849444762986</v>
      </c>
      <c r="AT22" s="82">
        <f t="shared" si="12"/>
        <v>159.41374845544283</v>
      </c>
      <c r="AU22" s="14">
        <f t="shared" si="13"/>
        <v>-2.9013849112803882</v>
      </c>
      <c r="AV22" s="14">
        <f t="shared" si="14"/>
        <v>1.528497284954625</v>
      </c>
      <c r="AW22" s="14">
        <f t="shared" si="15"/>
        <v>-2.1160624331463112</v>
      </c>
      <c r="AX22" s="11">
        <f t="shared" si="77"/>
        <v>0.20647563406740765</v>
      </c>
      <c r="AY22" s="92"/>
      <c r="AZ22" s="2"/>
      <c r="BA22" s="12">
        <v>0.20034572005565329</v>
      </c>
      <c r="BB22" s="12">
        <v>0.50703364660407457</v>
      </c>
      <c r="BC22" s="12">
        <f t="shared" si="78"/>
        <v>0.21287428502659014</v>
      </c>
      <c r="BD22" s="12">
        <f t="shared" si="79"/>
        <v>0.43830096371475474</v>
      </c>
      <c r="BE22" s="12">
        <v>0.68824773854104537</v>
      </c>
      <c r="BF22" s="14">
        <f t="shared" si="16"/>
        <v>0.3260125953478526</v>
      </c>
      <c r="BG22" s="14">
        <f t="shared" si="17"/>
        <v>1.0702459628215042</v>
      </c>
      <c r="BH22" s="11">
        <f t="shared" si="80"/>
        <v>6.5177979135829593</v>
      </c>
      <c r="BI22" s="11">
        <f t="shared" si="18"/>
        <v>12.539652800937203</v>
      </c>
      <c r="BJ22" s="12">
        <f t="shared" si="19"/>
        <v>-2.3149405973901138E-2</v>
      </c>
      <c r="BK22" s="11">
        <f t="shared" si="20"/>
        <v>0.22898222689827286</v>
      </c>
      <c r="BL22" s="14">
        <f t="shared" si="91"/>
        <v>6.4662365250464733</v>
      </c>
      <c r="BM22" s="14">
        <f t="shared" si="92"/>
        <v>3.1405257825942425</v>
      </c>
      <c r="BN22" s="14">
        <f t="shared" si="90"/>
        <v>6.8706008628470787</v>
      </c>
      <c r="BO22" s="14">
        <f t="shared" si="81"/>
        <v>272.52356637167725</v>
      </c>
      <c r="BP22" s="14">
        <f t="shared" si="82"/>
        <v>64.284403323279747</v>
      </c>
      <c r="BQ22" s="14">
        <f t="shared" si="83"/>
        <v>307.67366869862002</v>
      </c>
      <c r="BR22" s="14">
        <f t="shared" si="84"/>
        <v>46.709352159808361</v>
      </c>
      <c r="BS22" s="14">
        <f t="shared" si="21"/>
        <v>161.52981088858914</v>
      </c>
      <c r="BT22" s="18">
        <f t="shared" si="22"/>
        <v>305.81985390576551</v>
      </c>
      <c r="BU22" s="18">
        <f t="shared" si="23"/>
        <v>48.269057102087331</v>
      </c>
      <c r="BV22" s="18">
        <f t="shared" si="24"/>
        <v>160.00945790115651</v>
      </c>
      <c r="BW22" s="11">
        <f t="shared" si="85"/>
        <v>-1.8538147928545072</v>
      </c>
      <c r="BX22" s="11">
        <f t="shared" si="85"/>
        <v>1.5597049422789695</v>
      </c>
      <c r="BY22" s="11">
        <f t="shared" si="85"/>
        <v>-1.5203529874326307</v>
      </c>
      <c r="BZ22" s="11">
        <f t="shared" si="26"/>
        <v>208.61292323602618</v>
      </c>
      <c r="CA22" s="11">
        <f t="shared" si="27"/>
        <v>6.8498710011362602</v>
      </c>
      <c r="CB22" s="11">
        <f t="shared" si="28"/>
        <v>2.7213472496130517</v>
      </c>
      <c r="CC22" s="11">
        <f t="shared" si="29"/>
        <v>6.4715504941384756</v>
      </c>
      <c r="CD22" s="11">
        <f t="shared" si="30"/>
        <v>3.1504946792402113</v>
      </c>
      <c r="CE22" s="11">
        <f t="shared" si="31"/>
        <v>58.123513462174195</v>
      </c>
      <c r="CF22" s="11">
        <f t="shared" si="32"/>
        <v>55.81322398047601</v>
      </c>
      <c r="CG22" s="11">
        <f t="shared" si="33"/>
        <v>56.968368721325106</v>
      </c>
      <c r="CH22" s="14">
        <f t="shared" si="34"/>
        <v>-2.0729861710818476E-2</v>
      </c>
      <c r="CI22" s="14" t="e">
        <f>CB22-#REF!</f>
        <v>#REF!</v>
      </c>
      <c r="CJ22" s="14">
        <f t="shared" si="35"/>
        <v>5.3139690920023241E-3</v>
      </c>
      <c r="CK22" s="14">
        <f t="shared" si="36"/>
        <v>9.9688966459687833E-3</v>
      </c>
      <c r="CL22" s="19"/>
      <c r="CM22" s="12"/>
      <c r="CP22" s="12"/>
      <c r="CQ22" s="14"/>
      <c r="CR22" s="11"/>
      <c r="CS22" s="12"/>
      <c r="ET22" s="1">
        <f t="shared" si="37"/>
        <v>3.1152068390259462E-5</v>
      </c>
      <c r="EU22" s="1">
        <f t="shared" si="38"/>
        <v>0.37734665504201653</v>
      </c>
      <c r="EV22" s="1">
        <f t="shared" si="39"/>
        <v>0.26222959570720944</v>
      </c>
      <c r="EW22" s="1">
        <f t="shared" si="40"/>
        <v>3.4418058305267962E-3</v>
      </c>
      <c r="EX22" s="1">
        <f t="shared" si="41"/>
        <v>3.3262975969339625</v>
      </c>
      <c r="EY22" s="1">
        <f t="shared" si="42"/>
        <v>0.98647731014711482</v>
      </c>
      <c r="EZ22" s="1">
        <f t="shared" si="43"/>
        <v>0.23130231674810611</v>
      </c>
      <c r="FA22" s="1">
        <f t="shared" si="44"/>
        <v>1.7368834489081992</v>
      </c>
      <c r="FB22" s="1">
        <f t="shared" si="45"/>
        <v>0.25902045345624991</v>
      </c>
      <c r="FC22" s="1">
        <f t="shared" si="46"/>
        <v>0.19937800978950634</v>
      </c>
      <c r="FD22" s="1">
        <f t="shared" si="47"/>
        <v>0.11161020691996486</v>
      </c>
      <c r="FE22" s="1">
        <f t="shared" si="48"/>
        <v>0.81944276245442726</v>
      </c>
      <c r="FF22" s="1">
        <f t="shared" si="49"/>
        <v>0.15580510345998244</v>
      </c>
      <c r="FG22" s="1">
        <f t="shared" si="50"/>
        <v>-0.15580510345998244</v>
      </c>
      <c r="FH22" s="1">
        <f t="shared" si="51"/>
        <v>0.70972138122721362</v>
      </c>
      <c r="FI22" s="1">
        <f t="shared" si="52"/>
        <v>1.8238140247662211</v>
      </c>
      <c r="FJ22" s="1">
        <f t="shared" si="53"/>
        <v>0.99321564131215478</v>
      </c>
      <c r="FK22" s="1">
        <f t="shared" si="54"/>
        <v>0.48093899483001595</v>
      </c>
      <c r="FL22" s="1">
        <f t="shared" si="55"/>
        <v>1.2569690455463456</v>
      </c>
      <c r="FM22" s="1">
        <f t="shared" si="56"/>
        <v>0.36213718516595861</v>
      </c>
      <c r="FN22" s="1">
        <f t="shared" si="57"/>
        <v>0.42033003081072834</v>
      </c>
      <c r="FO22" s="1">
        <f t="shared" si="58"/>
        <v>0.38738279003508014</v>
      </c>
    </row>
    <row r="23" spans="1:171" x14ac:dyDescent="0.25">
      <c r="A23" s="11">
        <v>12.482847784864649</v>
      </c>
      <c r="B23" s="3">
        <v>630</v>
      </c>
      <c r="C23" s="12">
        <v>0.18327562531204289</v>
      </c>
      <c r="D23" s="12">
        <v>0.37755099650116486</v>
      </c>
      <c r="E23" s="11">
        <v>12.482847784864649</v>
      </c>
      <c r="F23" s="12">
        <v>0.19974572005565328</v>
      </c>
      <c r="G23" s="12">
        <v>0.50683364660407459</v>
      </c>
      <c r="H23" s="12">
        <f t="shared" si="86"/>
        <v>0.21256349294839896</v>
      </c>
      <c r="I23" s="12">
        <f t="shared" si="87"/>
        <v>0.43788451653512361</v>
      </c>
      <c r="J23" s="12">
        <f t="shared" si="59"/>
        <v>5.8367791038947792E-2</v>
      </c>
      <c r="K23" s="13">
        <f t="shared" si="60"/>
        <v>1.0081553599488383E-2</v>
      </c>
      <c r="L23" s="13">
        <f>SUM(K$3:$K23)</f>
        <v>0.82522140468629479</v>
      </c>
      <c r="M23" s="72">
        <f t="shared" si="88"/>
        <v>0.68805732833848943</v>
      </c>
      <c r="N23" s="12">
        <f t="shared" si="61"/>
        <v>1.2750677771652236E-4</v>
      </c>
      <c r="O23" s="21">
        <f t="shared" si="62"/>
        <v>1.2049190933788425E-10</v>
      </c>
      <c r="P23" s="11">
        <f>SUM(O$2:$O23)</f>
        <v>1.0272514817263136E-7</v>
      </c>
      <c r="Q23" s="12">
        <f t="shared" si="63"/>
        <v>1.0229009092287027E-3</v>
      </c>
      <c r="R23" s="3">
        <f t="shared" si="0"/>
        <v>0.32574208685876549</v>
      </c>
      <c r="S23" s="1">
        <f t="shared" si="64"/>
        <v>1.4527941049323485E-3</v>
      </c>
      <c r="T23" s="1">
        <f t="shared" si="65"/>
        <v>0.93358936742232468</v>
      </c>
      <c r="U23" s="12">
        <f t="shared" si="66"/>
        <v>4.165781552574418E-3</v>
      </c>
      <c r="V23" s="11">
        <f t="shared" si="67"/>
        <v>6.5232105382848546</v>
      </c>
      <c r="W23" s="12">
        <f t="shared" si="68"/>
        <v>4.5585772496426147E-2</v>
      </c>
      <c r="X23" s="13">
        <f t="shared" si="1"/>
        <v>-2.3438994648206091E-2</v>
      </c>
      <c r="Y23" s="12">
        <f t="shared" si="69"/>
        <v>1.2348401308540034E-2</v>
      </c>
      <c r="Z23" s="12" t="e">
        <f>SQRT((Q23/M23)^2 + (0.0002/G23)^2)*#REF!</f>
        <v>#REF!</v>
      </c>
      <c r="AA23" s="12">
        <f t="shared" si="70"/>
        <v>1.1390042327843857E-2</v>
      </c>
      <c r="AB23" s="12">
        <f t="shared" si="2"/>
        <v>4.8875351948589807E-3</v>
      </c>
      <c r="AC23" s="14">
        <f t="shared" si="71"/>
        <v>6.4738993398600142</v>
      </c>
      <c r="AD23" s="1">
        <f t="shared" si="72"/>
        <v>3.1426428766329715</v>
      </c>
      <c r="AE23" s="1">
        <f t="shared" si="73"/>
        <v>6.8893323786540455</v>
      </c>
      <c r="AF23" s="14">
        <f t="shared" si="3"/>
        <v>273.39670782691655</v>
      </c>
      <c r="AG23" s="14">
        <f t="shared" si="4"/>
        <v>64.424559642192591</v>
      </c>
      <c r="AH23" s="14">
        <f t="shared" si="5"/>
        <v>309.6104935252452</v>
      </c>
      <c r="AI23" s="14">
        <f t="shared" si="74"/>
        <v>46.31766679302828</v>
      </c>
      <c r="AJ23" s="14">
        <f t="shared" si="6"/>
        <v>162.65448139169575</v>
      </c>
      <c r="AK23" s="7"/>
      <c r="AL23" s="12">
        <f t="shared" si="75"/>
        <v>0.68805732833848943</v>
      </c>
      <c r="AM23" s="14">
        <f t="shared" si="7"/>
        <v>0.32574208685876549</v>
      </c>
      <c r="AN23" s="14">
        <f t="shared" si="76"/>
        <v>1.0711347353505509</v>
      </c>
      <c r="AO23" s="11">
        <f t="shared" si="89"/>
        <v>6.5232105382848546</v>
      </c>
      <c r="AP23" s="14">
        <f t="shared" si="8"/>
        <v>12.689948324179614</v>
      </c>
      <c r="AQ23" s="14">
        <f t="shared" si="9"/>
        <v>-2.3438994540296187E-2</v>
      </c>
      <c r="AR23" s="82">
        <f t="shared" si="10"/>
        <v>305.62009300545958</v>
      </c>
      <c r="AS23" s="82">
        <f t="shared" si="11"/>
        <v>48.272121482932505</v>
      </c>
      <c r="AT23" s="82">
        <f t="shared" si="12"/>
        <v>159.90638047907541</v>
      </c>
      <c r="AU23" s="14">
        <f t="shared" si="13"/>
        <v>-3.9904005197856236</v>
      </c>
      <c r="AV23" s="14">
        <f t="shared" si="14"/>
        <v>1.9544546899042246</v>
      </c>
      <c r="AW23" s="14">
        <f t="shared" si="15"/>
        <v>-2.7481009126203446</v>
      </c>
      <c r="AX23" s="11">
        <f t="shared" si="77"/>
        <v>0.20710053931496475</v>
      </c>
      <c r="AY23" s="92"/>
      <c r="AZ23" s="2"/>
      <c r="BA23" s="12">
        <v>0.19974572005565328</v>
      </c>
      <c r="BB23" s="12">
        <v>0.50683364660407459</v>
      </c>
      <c r="BC23" s="12">
        <f t="shared" si="78"/>
        <v>0.21256349294839896</v>
      </c>
      <c r="BD23" s="12">
        <f t="shared" si="79"/>
        <v>0.43788451653512361</v>
      </c>
      <c r="BE23" s="12">
        <v>0.68805732833848943</v>
      </c>
      <c r="BF23" s="14">
        <f t="shared" si="16"/>
        <v>0.32574208685876549</v>
      </c>
      <c r="BG23" s="14">
        <f t="shared" si="17"/>
        <v>1.0711347353505509</v>
      </c>
      <c r="BH23" s="11">
        <f t="shared" si="80"/>
        <v>6.5232105382848546</v>
      </c>
      <c r="BI23" s="11">
        <f t="shared" si="18"/>
        <v>12.713079285014262</v>
      </c>
      <c r="BJ23" s="12">
        <f t="shared" si="19"/>
        <v>-2.3438994540296187E-2</v>
      </c>
      <c r="BK23" s="11">
        <f t="shared" si="20"/>
        <v>0.23023150014961224</v>
      </c>
      <c r="BL23" s="14">
        <f t="shared" si="91"/>
        <v>6.4738993398600142</v>
      </c>
      <c r="BM23" s="14">
        <f t="shared" si="92"/>
        <v>3.1426428766329715</v>
      </c>
      <c r="BN23" s="14">
        <f t="shared" si="90"/>
        <v>6.8893323786540455</v>
      </c>
      <c r="BO23" s="14">
        <f t="shared" si="81"/>
        <v>273.39670782691655</v>
      </c>
      <c r="BP23" s="14">
        <f t="shared" si="82"/>
        <v>64.424559642192591</v>
      </c>
      <c r="BQ23" s="14">
        <f t="shared" si="83"/>
        <v>309.6104935252452</v>
      </c>
      <c r="BR23" s="14">
        <f t="shared" si="84"/>
        <v>46.31766679302828</v>
      </c>
      <c r="BS23" s="14">
        <f t="shared" si="21"/>
        <v>162.65448139169575</v>
      </c>
      <c r="BT23" s="18">
        <f t="shared" si="22"/>
        <v>306.68437090196619</v>
      </c>
      <c r="BU23" s="18">
        <f t="shared" si="23"/>
        <v>48.303758081887921</v>
      </c>
      <c r="BV23" s="18">
        <f t="shared" si="24"/>
        <v>160.5112609270187</v>
      </c>
      <c r="BW23" s="11">
        <f t="shared" si="85"/>
        <v>-2.9261226232790136</v>
      </c>
      <c r="BX23" s="11">
        <f t="shared" si="85"/>
        <v>1.9860912888596403</v>
      </c>
      <c r="BY23" s="11">
        <f t="shared" si="85"/>
        <v>-2.1432204646770572</v>
      </c>
      <c r="BZ23" s="11">
        <f t="shared" si="26"/>
        <v>209.23563091866785</v>
      </c>
      <c r="CA23" s="11">
        <f t="shared" si="27"/>
        <v>6.8566996210073645</v>
      </c>
      <c r="CB23" s="11">
        <f t="shared" si="28"/>
        <v>2.7211956149837322</v>
      </c>
      <c r="CC23" s="11">
        <f t="shared" si="29"/>
        <v>6.4767868775957957</v>
      </c>
      <c r="CD23" s="11">
        <f t="shared" si="30"/>
        <v>3.1524099827741989</v>
      </c>
      <c r="CE23" s="11">
        <f t="shared" si="31"/>
        <v>58.216876844122247</v>
      </c>
      <c r="CF23" s="11">
        <f t="shared" si="32"/>
        <v>55.883540331197985</v>
      </c>
      <c r="CG23" s="11">
        <f t="shared" si="33"/>
        <v>57.050208587660116</v>
      </c>
      <c r="CH23" s="14">
        <f t="shared" si="34"/>
        <v>-3.2632757646680943E-2</v>
      </c>
      <c r="CI23" s="14" t="e">
        <f>CB23-#REF!</f>
        <v>#REF!</v>
      </c>
      <c r="CJ23" s="14">
        <f t="shared" si="35"/>
        <v>2.8875377357815424E-3</v>
      </c>
      <c r="CK23" s="14">
        <f t="shared" si="36"/>
        <v>9.767106141227444E-3</v>
      </c>
      <c r="CL23" s="19"/>
      <c r="CM23" s="12"/>
      <c r="CP23" s="12"/>
      <c r="CQ23" s="14"/>
      <c r="CR23" s="11"/>
      <c r="CS23" s="12"/>
      <c r="ET23" s="1">
        <f t="shared" si="37"/>
        <v>3.1154480887446285E-5</v>
      </c>
      <c r="EU23" s="1">
        <f t="shared" si="38"/>
        <v>0.38441149074376718</v>
      </c>
      <c r="EV23" s="1">
        <f t="shared" si="39"/>
        <v>0.26468491334422367</v>
      </c>
      <c r="EW23" s="1">
        <f t="shared" si="40"/>
        <v>3.4634085298811926E-3</v>
      </c>
      <c r="EX23" s="1">
        <f t="shared" si="41"/>
        <v>3.3708382099841416</v>
      </c>
      <c r="EY23" s="1">
        <f t="shared" si="42"/>
        <v>1.0003656455204135</v>
      </c>
      <c r="EZ23" s="1">
        <f t="shared" si="43"/>
        <v>0.23257403542759508</v>
      </c>
      <c r="FA23" s="1">
        <f t="shared" si="44"/>
        <v>1.761130892906454</v>
      </c>
      <c r="FB23" s="1">
        <f t="shared" si="45"/>
        <v>0.25456308377406245</v>
      </c>
      <c r="FC23" s="1">
        <f t="shared" si="46"/>
        <v>0.19785242121999252</v>
      </c>
      <c r="FD23" s="1">
        <f t="shared" si="47"/>
        <v>0.10944155232707473</v>
      </c>
      <c r="FE23" s="1">
        <f t="shared" si="48"/>
        <v>0.82627550096630942</v>
      </c>
      <c r="FF23" s="1">
        <f t="shared" si="49"/>
        <v>0.15472077616353735</v>
      </c>
      <c r="FG23" s="1">
        <f t="shared" si="50"/>
        <v>-0.15472077616353735</v>
      </c>
      <c r="FH23" s="1">
        <f t="shared" si="51"/>
        <v>0.71313775048315464</v>
      </c>
      <c r="FI23" s="1">
        <f t="shared" si="52"/>
        <v>1.8359842619107991</v>
      </c>
      <c r="FJ23" s="1">
        <f t="shared" si="53"/>
        <v>1.0001828060511806</v>
      </c>
      <c r="FK23" s="1">
        <f t="shared" si="54"/>
        <v>0.48225930310113779</v>
      </c>
      <c r="FL23" s="1">
        <f t="shared" si="55"/>
        <v>1.2656497832115772</v>
      </c>
      <c r="FM23" s="1">
        <f t="shared" si="56"/>
        <v>0.36234637372902867</v>
      </c>
      <c r="FN23" s="1">
        <f t="shared" si="57"/>
        <v>0.42333234913688672</v>
      </c>
      <c r="FO23" s="1">
        <f t="shared" si="58"/>
        <v>0.38873658069957323</v>
      </c>
    </row>
    <row r="24" spans="1:171" x14ac:dyDescent="0.25">
      <c r="AY24" s="6"/>
      <c r="AZ24" s="2"/>
    </row>
    <row r="25" spans="1:171" x14ac:dyDescent="0.25">
      <c r="E25" s="1">
        <f>0.2/E5*100</f>
        <v>8.0109925013465677</v>
      </c>
      <c r="F25" s="1">
        <f>0.0002/F23*100</f>
        <v>0.10012730182367656</v>
      </c>
      <c r="M25" s="1">
        <f>0.001/0.704*100</f>
        <v>0.14204545454545456</v>
      </c>
      <c r="V25" s="1">
        <f>0.04/6.09*100</f>
        <v>0.65681444991789828</v>
      </c>
      <c r="AW25" s="162" t="s">
        <v>199</v>
      </c>
      <c r="AX25" s="162"/>
      <c r="AY25" s="6"/>
      <c r="AZ25" s="2"/>
      <c r="BA25" s="163" t="s">
        <v>200</v>
      </c>
      <c r="BB25" s="163"/>
    </row>
    <row r="26" spans="1:171" ht="15.6" x14ac:dyDescent="0.3">
      <c r="AW26" s="46" t="s">
        <v>62</v>
      </c>
      <c r="AX26" s="14">
        <v>240.9217221637571</v>
      </c>
      <c r="AY26" s="6"/>
      <c r="AZ26" s="2"/>
      <c r="BA26" s="46" t="s">
        <v>62</v>
      </c>
      <c r="BB26" s="14">
        <v>240.87740272626925</v>
      </c>
    </row>
    <row r="27" spans="1:171" ht="15.6" x14ac:dyDescent="0.3">
      <c r="B27" s="5" t="s">
        <v>69</v>
      </c>
      <c r="AW27" s="46" t="s">
        <v>66</v>
      </c>
      <c r="AX27" s="14">
        <v>122.99107767172234</v>
      </c>
      <c r="AY27" s="6"/>
      <c r="AZ27" s="2"/>
      <c r="BA27" s="46" t="s">
        <v>66</v>
      </c>
      <c r="BB27" s="14">
        <v>122.97399089518898</v>
      </c>
      <c r="BL27" s="11"/>
      <c r="BM27" s="11"/>
      <c r="BN27" s="11"/>
      <c r="BO27" s="11"/>
      <c r="BP27" s="11"/>
      <c r="BQ27" s="11"/>
      <c r="BR27" s="11"/>
      <c r="BS27" s="11"/>
    </row>
    <row r="28" spans="1:171" ht="15.6" x14ac:dyDescent="0.3">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6" x14ac:dyDescent="0.3">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6" x14ac:dyDescent="0.3">
      <c r="A30" s="1" t="s">
        <v>83</v>
      </c>
      <c r="B30" s="1">
        <f>0.000046</f>
        <v>4.6E-5</v>
      </c>
      <c r="F30" s="1" t="s">
        <v>84</v>
      </c>
      <c r="G30" s="1" t="s">
        <v>85</v>
      </c>
      <c r="H30" s="1" t="s">
        <v>86</v>
      </c>
      <c r="J30" s="21">
        <f t="shared" ref="J30:J50" si="95">12*$B$31*$B$38^2+$K$29*L3</f>
        <v>36.229722375008521</v>
      </c>
      <c r="M30" s="1">
        <f t="shared" ref="M30:M50" si="96">36*$B$40*($B$38^2)*(4*$B$40*$B$38^2 + $K$29*L3)/J30^2</f>
        <v>1.0002787616734437</v>
      </c>
      <c r="N30" s="14">
        <f t="shared" ref="N30:N50" si="97">(12*$K$29*L3*$D$38^3)/(J30^2)</f>
        <v>3.2233659387716102E-5</v>
      </c>
      <c r="O30" s="14">
        <f t="shared" si="94"/>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6" x14ac:dyDescent="0.3">
      <c r="A31" s="1" t="s">
        <v>89</v>
      </c>
      <c r="B31" s="1">
        <v>6.09</v>
      </c>
      <c r="E31" s="1" t="s">
        <v>62</v>
      </c>
      <c r="F31" s="1">
        <v>231</v>
      </c>
      <c r="G31" s="1">
        <v>6.1588176205143972</v>
      </c>
      <c r="H31" s="1">
        <v>0.23121321132432957</v>
      </c>
      <c r="J31" s="21">
        <f t="shared" si="95"/>
        <v>36.341708370305788</v>
      </c>
      <c r="M31" s="1">
        <f t="shared" si="96"/>
        <v>1.0033369579520597</v>
      </c>
      <c r="N31" s="14">
        <f t="shared" si="97"/>
        <v>3.8705485341521893E-4</v>
      </c>
      <c r="O31" s="14">
        <f t="shared" si="94"/>
        <v>-1.9634312004285212E-2</v>
      </c>
      <c r="AI31" s="1">
        <f>330+642</f>
        <v>972</v>
      </c>
      <c r="AW31" s="46" t="s">
        <v>72</v>
      </c>
      <c r="AX31" s="14">
        <v>0.38641569917790408</v>
      </c>
      <c r="AY31" s="6"/>
      <c r="AZ31" s="2"/>
      <c r="BA31" s="46" t="s">
        <v>72</v>
      </c>
      <c r="BB31" s="14">
        <v>0.38534864527311508</v>
      </c>
      <c r="BH31" s="49"/>
      <c r="CL31" s="21"/>
      <c r="CP31" s="14"/>
      <c r="CQ31" s="14"/>
    </row>
    <row r="32" spans="1:171" ht="15.6" x14ac:dyDescent="0.3">
      <c r="A32" s="1" t="s">
        <v>90</v>
      </c>
      <c r="B32" s="1">
        <v>1.23</v>
      </c>
      <c r="E32" s="1" t="s">
        <v>91</v>
      </c>
      <c r="F32" s="1">
        <v>120</v>
      </c>
      <c r="G32" s="1">
        <v>5.9398554585183101</v>
      </c>
      <c r="H32" s="1">
        <v>0.23973647337795911</v>
      </c>
      <c r="J32" s="21">
        <f t="shared" si="95"/>
        <v>36.404226298849089</v>
      </c>
      <c r="M32" s="1">
        <f t="shared" si="96"/>
        <v>1.0050196556947479</v>
      </c>
      <c r="N32" s="14">
        <f t="shared" si="97"/>
        <v>5.8324164582842348E-4</v>
      </c>
      <c r="O32" s="14">
        <f t="shared" si="94"/>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202" ht="15.6" x14ac:dyDescent="0.3">
      <c r="A33" s="1" t="s">
        <v>93</v>
      </c>
      <c r="B33" s="1">
        <v>300</v>
      </c>
      <c r="E33" s="1" t="s">
        <v>94</v>
      </c>
      <c r="F33" s="1">
        <v>120</v>
      </c>
      <c r="G33" s="1">
        <v>2.9070625361253621</v>
      </c>
      <c r="H33" s="1">
        <v>0.48984154358714227</v>
      </c>
      <c r="J33" s="21">
        <f t="shared" si="95"/>
        <v>36.471623794949068</v>
      </c>
      <c r="M33" s="1">
        <f t="shared" si="96"/>
        <v>1.0068141730608142</v>
      </c>
      <c r="N33" s="14">
        <f t="shared" si="97"/>
        <v>7.9323303579196256E-4</v>
      </c>
      <c r="O33" s="14">
        <f t="shared" si="94"/>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202" ht="15.6" x14ac:dyDescent="0.3">
      <c r="A34" s="1" t="s">
        <v>95</v>
      </c>
      <c r="B34" s="1">
        <f>C34/C35</f>
        <v>3.5853802171808245E-2</v>
      </c>
      <c r="C34" s="1">
        <f>1+B30*B32*B33</f>
        <v>1.016974</v>
      </c>
      <c r="E34" s="1" t="s">
        <v>71</v>
      </c>
      <c r="F34" s="1">
        <v>43.4</v>
      </c>
      <c r="G34" s="1">
        <v>2.6695386832951487</v>
      </c>
      <c r="H34" s="1">
        <v>0.53342549741301504</v>
      </c>
      <c r="J34" s="21">
        <f t="shared" si="95"/>
        <v>36.540771908830678</v>
      </c>
      <c r="M34" s="1">
        <f t="shared" si="96"/>
        <v>1.0086344484592626</v>
      </c>
      <c r="N34" s="14">
        <f t="shared" si="97"/>
        <v>1.0070660945506447E-3</v>
      </c>
      <c r="O34" s="14">
        <f t="shared" si="94"/>
        <v>-1.9420970616074004E-2</v>
      </c>
      <c r="AW34" s="47" t="s">
        <v>82</v>
      </c>
      <c r="AX34" s="52">
        <f>AX38+AX36+AX37+AX35</f>
        <v>3.3664452871652153</v>
      </c>
      <c r="AY34" s="6"/>
      <c r="AZ34" s="2"/>
      <c r="BA34" s="47" t="s">
        <v>82</v>
      </c>
      <c r="BB34" s="50">
        <f>BB38+BB36+BB37+BB35</f>
        <v>1.0308954360615115</v>
      </c>
      <c r="CL34" s="21"/>
      <c r="CP34" s="14"/>
      <c r="CQ34" s="14"/>
    </row>
    <row r="35" spans="1:202" ht="15.6" x14ac:dyDescent="0.3">
      <c r="C35" s="1">
        <f>12*B31*(B29^2)</f>
        <v>28.364467319999999</v>
      </c>
      <c r="J35" s="21">
        <f t="shared" si="95"/>
        <v>36.588153492390269</v>
      </c>
      <c r="M35" s="1">
        <f t="shared" si="96"/>
        <v>1.0098696429007965</v>
      </c>
      <c r="N35" s="14">
        <f t="shared" si="97"/>
        <v>1.1526525274016316E-3</v>
      </c>
      <c r="O35" s="14">
        <f t="shared" si="94"/>
        <v>-1.9370702951374309E-2</v>
      </c>
      <c r="AW35" s="96" t="s">
        <v>92</v>
      </c>
      <c r="AX35" s="51">
        <f>SUMSQ(AX6:AX16)</f>
        <v>0.19760326202259929</v>
      </c>
      <c r="AY35" s="6"/>
      <c r="AZ35" s="2"/>
      <c r="BA35" s="96" t="s">
        <v>92</v>
      </c>
      <c r="BB35" s="51">
        <f>SUMSQ(BK6:BK16)</f>
        <v>7.4867891013452856E-2</v>
      </c>
      <c r="BH35" s="11"/>
      <c r="BX35" s="21"/>
      <c r="CB35" s="14"/>
      <c r="CC35" s="14"/>
    </row>
    <row r="36" spans="1:202" ht="15.6" x14ac:dyDescent="0.3">
      <c r="B36" s="5" t="s">
        <v>96</v>
      </c>
      <c r="J36" s="21">
        <f t="shared" si="95"/>
        <v>36.631949118986306</v>
      </c>
      <c r="M36" s="1">
        <f t="shared" si="96"/>
        <v>1.0110026732222943</v>
      </c>
      <c r="N36" s="14">
        <f t="shared" si="97"/>
        <v>1.2865481358343592E-3</v>
      </c>
      <c r="O36" s="14">
        <f t="shared" si="94"/>
        <v>-1.9324413034150702E-2</v>
      </c>
      <c r="AW36" s="96" t="s">
        <v>62</v>
      </c>
      <c r="AX36" s="14">
        <f>SUMSQ(AU6:AU16)</f>
        <v>2.1832856216566876</v>
      </c>
      <c r="AY36" s="6"/>
      <c r="AZ36" s="2"/>
      <c r="BA36" s="96" t="s">
        <v>62</v>
      </c>
      <c r="BB36" s="14">
        <f>SUMSQ(BW6:BW16)</f>
        <v>0.12074017712051123</v>
      </c>
      <c r="BX36" s="21"/>
      <c r="CB36" s="14"/>
      <c r="CC36" s="14"/>
    </row>
    <row r="37" spans="1:202" ht="15.6" x14ac:dyDescent="0.3">
      <c r="A37" s="1" t="s">
        <v>74</v>
      </c>
      <c r="B37" s="13">
        <v>2.34</v>
      </c>
      <c r="C37" s="13">
        <f>B37/2</f>
        <v>1.17</v>
      </c>
      <c r="J37" s="21">
        <f t="shared" si="95"/>
        <v>36.686730062958318</v>
      </c>
      <c r="M37" s="1">
        <f t="shared" si="96"/>
        <v>1.0124082408221382</v>
      </c>
      <c r="N37" s="14">
        <f t="shared" si="97"/>
        <v>1.4531249757022673E-3</v>
      </c>
      <c r="O37" s="14">
        <f t="shared" si="94"/>
        <v>-1.9266745358487863E-2</v>
      </c>
      <c r="AW37" s="96" t="s">
        <v>66</v>
      </c>
      <c r="AX37" s="12">
        <f>SUMSQ(AW6:AW16)</f>
        <v>0.51709207717912931</v>
      </c>
      <c r="AY37" s="6"/>
      <c r="AZ37" s="2"/>
      <c r="BA37" s="96" t="s">
        <v>66</v>
      </c>
      <c r="BB37" s="12">
        <f>SUMSQ(BY6:BY16)</f>
        <v>0.30241790248661082</v>
      </c>
      <c r="BX37" s="21"/>
      <c r="CB37" s="14"/>
      <c r="CC37" s="14"/>
    </row>
    <row r="38" spans="1:202" ht="15.6" x14ac:dyDescent="0.3">
      <c r="A38" s="1" t="s">
        <v>80</v>
      </c>
      <c r="B38" s="1">
        <v>0.70399999999999996</v>
      </c>
      <c r="C38" s="1" t="s">
        <v>97</v>
      </c>
      <c r="D38" s="1">
        <v>0.70399999999999996</v>
      </c>
      <c r="J38" s="21">
        <f t="shared" si="95"/>
        <v>36.732270394799627</v>
      </c>
      <c r="M38" s="1">
        <f t="shared" si="96"/>
        <v>1.0135669112160492</v>
      </c>
      <c r="N38" s="14">
        <f t="shared" si="97"/>
        <v>1.5908428438733775E-3</v>
      </c>
      <c r="O38" s="14">
        <f t="shared" si="94"/>
        <v>-1.9219001504769954E-2</v>
      </c>
      <c r="AW38" s="96" t="s">
        <v>71</v>
      </c>
      <c r="AX38" s="12">
        <f>SUMSQ(AV6:AV16)</f>
        <v>0.46846432630679924</v>
      </c>
      <c r="AY38" s="6"/>
      <c r="AZ38" s="2"/>
      <c r="BA38" s="96" t="s">
        <v>71</v>
      </c>
      <c r="BB38" s="12">
        <f>SUMSQ(BX6:BX16)</f>
        <v>0.53286946544093661</v>
      </c>
      <c r="BX38" s="21"/>
      <c r="CB38" s="14"/>
      <c r="CC38" s="14"/>
    </row>
    <row r="39" spans="1:202" ht="15.6" x14ac:dyDescent="0.3">
      <c r="A39" s="1" t="s">
        <v>83</v>
      </c>
      <c r="B39" s="1">
        <f>0.000046</f>
        <v>4.6E-5</v>
      </c>
      <c r="C39" s="1" t="s">
        <v>98</v>
      </c>
      <c r="J39" s="21">
        <f t="shared" si="95"/>
        <v>36.768790003234031</v>
      </c>
      <c r="M39" s="1">
        <f t="shared" si="96"/>
        <v>1.0144896803121926</v>
      </c>
      <c r="N39" s="14">
        <f t="shared" si="97"/>
        <v>1.700785345650585E-3</v>
      </c>
      <c r="O39" s="14">
        <f t="shared" si="94"/>
        <v>-1.918084295495252E-2</v>
      </c>
      <c r="AW39" s="46" t="s">
        <v>64</v>
      </c>
      <c r="AX39" s="1">
        <f>3*AX32*(AX29-3)-7*AX26</f>
        <v>-555.0029820449638</v>
      </c>
      <c r="AY39" s="6"/>
      <c r="AZ39" s="2"/>
      <c r="BA39" s="46" t="s">
        <v>64</v>
      </c>
      <c r="BB39" s="1">
        <f>3*BB32*(BB29-3)-7*BB26</f>
        <v>-516.95470024450492</v>
      </c>
      <c r="BX39" s="21"/>
      <c r="CB39" s="14"/>
      <c r="CC39" s="14"/>
    </row>
    <row r="40" spans="1:202" ht="15.6" x14ac:dyDescent="0.3">
      <c r="A40" s="1" t="s">
        <v>89</v>
      </c>
      <c r="B40" s="1">
        <v>6.09</v>
      </c>
      <c r="C40" s="1" t="s">
        <v>99</v>
      </c>
      <c r="J40" s="21">
        <f t="shared" si="95"/>
        <v>36.813306941752636</v>
      </c>
      <c r="M40" s="1">
        <f t="shared" si="96"/>
        <v>1.0156068768610738</v>
      </c>
      <c r="N40" s="14">
        <f t="shared" si="97"/>
        <v>1.8342099543496185E-3</v>
      </c>
      <c r="O40" s="14">
        <f t="shared" si="94"/>
        <v>-1.9134481668794674E-2</v>
      </c>
      <c r="AW40" s="46" t="s">
        <v>68</v>
      </c>
      <c r="AX40" s="1">
        <f>3*AX32*(AX30-1)-7*AX27</f>
        <v>103.05145407676423</v>
      </c>
      <c r="AY40" s="6"/>
      <c r="AZ40" s="2"/>
      <c r="BA40" s="46" t="s">
        <v>68</v>
      </c>
      <c r="BB40" s="1">
        <f>3*BB32*(BB30-1)-7*BB27</f>
        <v>124.92316009505191</v>
      </c>
      <c r="BX40" s="21"/>
      <c r="CB40" s="14"/>
      <c r="CC40" s="14"/>
    </row>
    <row r="41" spans="1:202" ht="15.6" x14ac:dyDescent="0.3">
      <c r="A41" s="1" t="s">
        <v>90</v>
      </c>
      <c r="B41" s="1">
        <v>1.23</v>
      </c>
      <c r="J41" s="21">
        <f t="shared" si="95"/>
        <v>36.851878617514743</v>
      </c>
      <c r="M41" s="1">
        <f t="shared" si="96"/>
        <v>1.0165681143694087</v>
      </c>
      <c r="N41" s="14">
        <f t="shared" si="97"/>
        <v>1.949290584963117E-3</v>
      </c>
      <c r="O41" s="14">
        <f t="shared" si="94"/>
        <v>-1.9094447738129863E-2</v>
      </c>
      <c r="AW41" s="46" t="s">
        <v>73</v>
      </c>
      <c r="AX41" s="11">
        <f>3*AX32*(AX31-1)-7*AX28</f>
        <v>-611.21554865992698</v>
      </c>
      <c r="AY41" s="6"/>
      <c r="AZ41" s="2"/>
      <c r="BA41" s="46" t="s">
        <v>73</v>
      </c>
      <c r="BB41" s="11">
        <f>3*BB32*(BB31-1)-7*BB28</f>
        <v>-611.84003573297127</v>
      </c>
      <c r="BX41" s="21"/>
      <c r="CB41" s="14"/>
      <c r="CC41" s="14"/>
    </row>
    <row r="42" spans="1:202" x14ac:dyDescent="0.25">
      <c r="A42" s="1" t="s">
        <v>93</v>
      </c>
      <c r="B42" s="1">
        <v>300</v>
      </c>
      <c r="J42" s="21">
        <f t="shared" si="95"/>
        <v>36.879165518861015</v>
      </c>
      <c r="M42" s="1">
        <f t="shared" si="96"/>
        <v>1.0172443563745619</v>
      </c>
      <c r="N42" s="14">
        <f t="shared" si="97"/>
        <v>2.0304094097261618E-3</v>
      </c>
      <c r="O42" s="14">
        <f t="shared" si="94"/>
        <v>-1.9066202220646356E-2</v>
      </c>
      <c r="AY42" s="6"/>
      <c r="AZ42" s="2"/>
      <c r="BX42" s="21"/>
      <c r="CB42" s="14"/>
      <c r="CC42" s="14"/>
      <c r="GR42" s="1" t="s">
        <v>270</v>
      </c>
    </row>
    <row r="43" spans="1:202" x14ac:dyDescent="0.25">
      <c r="A43" s="1" t="s">
        <v>95</v>
      </c>
      <c r="B43" s="1">
        <f>C43/C44</f>
        <v>2.8077988570065868E-2</v>
      </c>
      <c r="C43" s="1">
        <f>1+B39*B41*B42</f>
        <v>1.016974</v>
      </c>
      <c r="J43" s="21">
        <f t="shared" si="95"/>
        <v>36.914333690829061</v>
      </c>
      <c r="M43" s="1">
        <f t="shared" si="96"/>
        <v>1.0181113308966401</v>
      </c>
      <c r="N43" s="14">
        <f t="shared" si="97"/>
        <v>2.1346010269254266E-3</v>
      </c>
      <c r="O43" s="14">
        <f t="shared" si="94"/>
        <v>-1.9029890901511602E-2</v>
      </c>
      <c r="BX43" s="21"/>
      <c r="CB43" s="14"/>
      <c r="CC43" s="14"/>
      <c r="GR43" s="1" t="s">
        <v>271</v>
      </c>
      <c r="GS43" s="1" t="s">
        <v>272</v>
      </c>
      <c r="GT43" s="1" t="s">
        <v>273</v>
      </c>
    </row>
    <row r="44" spans="1:202" x14ac:dyDescent="0.25">
      <c r="C44" s="1">
        <f>12*B40*(B38^2)</f>
        <v>36.219617279999994</v>
      </c>
      <c r="J44" s="21">
        <f t="shared" si="95"/>
        <v>36.94651657149096</v>
      </c>
      <c r="M44" s="1">
        <f t="shared" si="96"/>
        <v>1.0189002046958262</v>
      </c>
      <c r="N44" s="14">
        <f t="shared" si="97"/>
        <v>2.2295975212398948E-3</v>
      </c>
      <c r="O44" s="14">
        <f t="shared" si="94"/>
        <v>-1.8996752731633343E-2</v>
      </c>
      <c r="BX44" s="21"/>
      <c r="CB44" s="14"/>
      <c r="CC44" s="14"/>
      <c r="GR44" s="1" t="s">
        <v>274</v>
      </c>
      <c r="GS44" s="1">
        <v>240.9217221637571</v>
      </c>
      <c r="GT44" s="1">
        <v>0.30266676094121314</v>
      </c>
    </row>
    <row r="45" spans="1:202" x14ac:dyDescent="0.25">
      <c r="A45" s="1" t="s">
        <v>100</v>
      </c>
      <c r="B45" s="1">
        <v>3</v>
      </c>
      <c r="J45" s="21">
        <f t="shared" si="95"/>
        <v>36.965151051063948</v>
      </c>
      <c r="M45" s="1">
        <f t="shared" si="96"/>
        <v>1.0193550159920406</v>
      </c>
      <c r="N45" s="14">
        <f t="shared" si="97"/>
        <v>2.2844495626877436E-3</v>
      </c>
      <c r="O45" s="14">
        <f t="shared" si="94"/>
        <v>-1.8977604676523731E-2</v>
      </c>
      <c r="BX45" s="21"/>
      <c r="CB45" s="14"/>
      <c r="CC45" s="14"/>
      <c r="GR45" s="1" t="s">
        <v>275</v>
      </c>
      <c r="GS45" s="1">
        <v>122.99107767172234</v>
      </c>
      <c r="GT45" s="1">
        <v>0.30389484310388998</v>
      </c>
    </row>
    <row r="46" spans="1:202" x14ac:dyDescent="0.25">
      <c r="A46" s="1" t="s">
        <v>101</v>
      </c>
      <c r="B46" s="1">
        <v>1</v>
      </c>
      <c r="J46" s="21">
        <f t="shared" si="95"/>
        <v>36.978353877966789</v>
      </c>
      <c r="M46" s="1">
        <f t="shared" si="96"/>
        <v>1.0196763890770968</v>
      </c>
      <c r="N46" s="14">
        <f t="shared" si="97"/>
        <v>2.3232455173594932E-3</v>
      </c>
      <c r="O46" s="14">
        <f t="shared" si="94"/>
        <v>-1.8964055490395735E-2</v>
      </c>
      <c r="BX46" s="21"/>
      <c r="CB46" s="14"/>
      <c r="CC46" s="14"/>
      <c r="GR46" s="1" t="s">
        <v>276</v>
      </c>
      <c r="GS46" s="1">
        <v>44.636996201729012</v>
      </c>
      <c r="GT46" s="1">
        <v>0.30768123065054359</v>
      </c>
    </row>
    <row r="47" spans="1:202" x14ac:dyDescent="0.25">
      <c r="J47" s="21">
        <f t="shared" si="95"/>
        <v>37.001924710767895</v>
      </c>
      <c r="M47" s="1">
        <f t="shared" si="96"/>
        <v>1.0202483468245747</v>
      </c>
      <c r="N47" s="14">
        <f t="shared" si="97"/>
        <v>2.3923683520773046E-3</v>
      </c>
      <c r="O47" s="14">
        <f t="shared" si="94"/>
        <v>-1.8939902357174972E-2</v>
      </c>
      <c r="BP47" s="1" t="s">
        <v>113</v>
      </c>
      <c r="BQ47" s="1">
        <v>1.016974</v>
      </c>
      <c r="BX47" s="21"/>
      <c r="CB47" s="14"/>
      <c r="CC47" s="14"/>
      <c r="GR47" s="1" t="s">
        <v>63</v>
      </c>
      <c r="GS47" s="1">
        <v>5.3237627083481192</v>
      </c>
      <c r="GT47" s="1">
        <v>4.077713221549456E-2</v>
      </c>
    </row>
    <row r="48" spans="1:202" x14ac:dyDescent="0.25">
      <c r="A48" s="1" t="s">
        <v>50</v>
      </c>
      <c r="B48" s="1">
        <v>151.13999999999999</v>
      </c>
      <c r="J48" s="21">
        <f t="shared" si="95"/>
        <v>37.033115672047053</v>
      </c>
      <c r="M48" s="1">
        <f t="shared" si="96"/>
        <v>1.0210017033046719</v>
      </c>
      <c r="N48" s="14">
        <f t="shared" si="97"/>
        <v>2.4835643602045964E-3</v>
      </c>
      <c r="O48" s="14">
        <f t="shared" si="94"/>
        <v>-1.890801171170273E-2</v>
      </c>
      <c r="BP48" s="1" t="s">
        <v>40</v>
      </c>
      <c r="BQ48" s="1">
        <v>6.07</v>
      </c>
      <c r="BX48" s="21"/>
      <c r="CB48" s="14"/>
      <c r="CC48" s="14"/>
      <c r="GR48" s="1" t="s">
        <v>67</v>
      </c>
      <c r="GS48" s="1">
        <v>2.9798343005895704</v>
      </c>
      <c r="GT48" s="1">
        <v>4.1571740879454415E-2</v>
      </c>
    </row>
    <row r="49" spans="1:205" x14ac:dyDescent="0.25">
      <c r="A49" s="1" t="s">
        <v>102</v>
      </c>
      <c r="B49" s="1">
        <v>3.47</v>
      </c>
      <c r="J49" s="21">
        <f t="shared" si="95"/>
        <v>37.048593314919145</v>
      </c>
      <c r="M49" s="1">
        <f t="shared" si="96"/>
        <v>1.0213740569008301</v>
      </c>
      <c r="N49" s="14">
        <f t="shared" si="97"/>
        <v>2.5287025876140051E-3</v>
      </c>
      <c r="O49" s="14">
        <f t="shared" si="94"/>
        <v>-1.8892216762604736E-2</v>
      </c>
      <c r="BP49" s="1" t="s">
        <v>114</v>
      </c>
      <c r="BQ49" s="1">
        <v>1.02</v>
      </c>
      <c r="BX49" s="21"/>
      <c r="CB49" s="14"/>
      <c r="CC49" s="14"/>
      <c r="GR49" s="1" t="s">
        <v>72</v>
      </c>
      <c r="GS49" s="1">
        <v>0.38641569917790408</v>
      </c>
      <c r="GT49" s="1">
        <v>3.922512714118382E-2</v>
      </c>
    </row>
    <row r="50" spans="1:205" x14ac:dyDescent="0.25">
      <c r="J50" s="21">
        <f t="shared" si="95"/>
        <v>37.058845992809431</v>
      </c>
      <c r="M50" s="1">
        <f t="shared" si="96"/>
        <v>1.021620172250876</v>
      </c>
      <c r="N50" s="14">
        <f t="shared" si="97"/>
        <v>2.5585609955769235E-3</v>
      </c>
      <c r="O50" s="14">
        <f t="shared" si="94"/>
        <v>-1.8881764790125349E-2</v>
      </c>
      <c r="BX50" s="21"/>
      <c r="CB50" s="14"/>
      <c r="CC50" s="14"/>
      <c r="GR50" s="1" t="s">
        <v>277</v>
      </c>
      <c r="GS50" s="1">
        <v>8.8590665451716191E-2</v>
      </c>
    </row>
    <row r="51" spans="1:205" x14ac:dyDescent="0.25">
      <c r="B51" s="1" t="s">
        <v>103</v>
      </c>
      <c r="J51" s="21"/>
      <c r="AS51" s="1" t="s">
        <v>62</v>
      </c>
      <c r="AT51" s="1">
        <v>246.36868691540607</v>
      </c>
      <c r="AU51" s="1" t="s">
        <v>63</v>
      </c>
      <c r="AV51" s="1">
        <v>5.434181546630243</v>
      </c>
      <c r="GR51" s="1" t="s">
        <v>278</v>
      </c>
      <c r="GS51" s="1">
        <v>0.27660462787676893</v>
      </c>
    </row>
    <row r="52" spans="1:205" x14ac:dyDescent="0.25">
      <c r="B52" s="1">
        <f>B38/B29</f>
        <v>1.130016051364366</v>
      </c>
      <c r="E52" s="1" t="s">
        <v>84</v>
      </c>
      <c r="F52" s="1" t="s">
        <v>85</v>
      </c>
      <c r="G52" s="1" t="s">
        <v>104</v>
      </c>
      <c r="H52" s="1" t="s">
        <v>105</v>
      </c>
      <c r="I52" s="1" t="s">
        <v>106</v>
      </c>
      <c r="J52" s="21" t="s">
        <v>107</v>
      </c>
      <c r="AS52" s="1" t="s">
        <v>66</v>
      </c>
      <c r="AT52" s="1">
        <v>125.61714953553738</v>
      </c>
      <c r="AU52" s="1" t="s">
        <v>67</v>
      </c>
      <c r="AV52" s="1">
        <v>3.0905172635997236</v>
      </c>
      <c r="GR52" s="1" t="s">
        <v>279</v>
      </c>
      <c r="GS52" s="1">
        <v>38</v>
      </c>
    </row>
    <row r="53" spans="1:205" x14ac:dyDescent="0.25">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c r="GR53" s="1" t="s">
        <v>280</v>
      </c>
      <c r="GS53" s="1">
        <v>44</v>
      </c>
    </row>
    <row r="54" spans="1:205" x14ac:dyDescent="0.25">
      <c r="D54" s="1" t="s">
        <v>91</v>
      </c>
      <c r="E54" s="1">
        <v>120</v>
      </c>
      <c r="F54" s="1">
        <v>5.9509029363680046</v>
      </c>
      <c r="G54" s="1">
        <v>0.20400265522410566</v>
      </c>
      <c r="H54" s="1">
        <v>1.9882247380219502E-3</v>
      </c>
      <c r="I54" s="1">
        <v>-1.2665075522852213E-2</v>
      </c>
      <c r="J54" s="1">
        <v>0.2020144304860837</v>
      </c>
      <c r="GR54" s="1" t="s">
        <v>281</v>
      </c>
      <c r="GS54" s="1">
        <v>0.22264904297762086</v>
      </c>
    </row>
    <row r="55" spans="1:205" x14ac:dyDescent="0.25">
      <c r="D55" s="1" t="s">
        <v>94</v>
      </c>
      <c r="E55" s="1">
        <v>120</v>
      </c>
      <c r="F55" s="1">
        <v>2.9407578825736391</v>
      </c>
      <c r="G55" s="1">
        <v>0.41281875233385534</v>
      </c>
      <c r="H55" s="1">
        <v>-4.6133080851788809E-4</v>
      </c>
      <c r="I55" s="1">
        <v>-1.249999999999964E-2</v>
      </c>
      <c r="J55" s="1">
        <v>0.41328008314237324</v>
      </c>
      <c r="GR55" s="1" t="s">
        <v>282</v>
      </c>
      <c r="GS55" s="1">
        <v>0.20461734292018671</v>
      </c>
    </row>
    <row r="56" spans="1:205" x14ac:dyDescent="0.25">
      <c r="D56" s="1" t="s">
        <v>71</v>
      </c>
      <c r="E56" s="1">
        <v>43</v>
      </c>
      <c r="F56" s="1">
        <v>2.6572081846587419</v>
      </c>
      <c r="G56" s="1">
        <v>0.53590080303884069</v>
      </c>
      <c r="H56" s="1">
        <v>-3.5202667063622783E-4</v>
      </c>
      <c r="I56" s="1">
        <v>-1.2499999999998837E-2</v>
      </c>
      <c r="J56" s="1">
        <v>0.53625282970947696</v>
      </c>
      <c r="GR56" s="1" t="s">
        <v>283</v>
      </c>
      <c r="GS56" s="1">
        <v>0.23494816674513086</v>
      </c>
    </row>
    <row r="57" spans="1:205" x14ac:dyDescent="0.25">
      <c r="GR57" s="1" t="s">
        <v>284</v>
      </c>
      <c r="GS57" s="1">
        <v>0.21892748826900776</v>
      </c>
    </row>
    <row r="59" spans="1:205" x14ac:dyDescent="0.25">
      <c r="GR59" s="1" t="s">
        <v>285</v>
      </c>
    </row>
    <row r="60" spans="1:205" x14ac:dyDescent="0.25">
      <c r="GR60" s="1">
        <v>9.1607168178645462E-2</v>
      </c>
      <c r="GS60" s="1">
        <v>-3.7155259473857093E-3</v>
      </c>
      <c r="GT60" s="1">
        <v>-4.7504034296139619E-4</v>
      </c>
      <c r="GU60" s="1">
        <v>-1.1781027357468854E-2</v>
      </c>
      <c r="GV60" s="1">
        <v>6.092959407811202E-5</v>
      </c>
      <c r="GW60" s="1">
        <v>8.7107402611341406E-5</v>
      </c>
    </row>
    <row r="61" spans="1:205" x14ac:dyDescent="0.25">
      <c r="GR61" s="1">
        <v>-3.7155259473856911E-3</v>
      </c>
      <c r="GS61" s="1">
        <v>9.2352075665137895E-2</v>
      </c>
      <c r="GT61" s="1">
        <v>-1.0261191100748137E-3</v>
      </c>
      <c r="GU61" s="1">
        <v>-9.0030707871326804E-4</v>
      </c>
      <c r="GV61" s="1">
        <v>-1.2146196539217221E-2</v>
      </c>
      <c r="GW61" s="1">
        <v>1.8882246780510078E-4</v>
      </c>
    </row>
    <row r="62" spans="1:205" x14ac:dyDescent="0.25">
      <c r="GR62" s="1">
        <v>-4.7504034296139646E-4</v>
      </c>
      <c r="GS62" s="1">
        <v>-1.0261191100748089E-3</v>
      </c>
      <c r="GT62" s="1">
        <v>9.4667739694632991E-2</v>
      </c>
      <c r="GU62" s="1">
        <v>8.1039785417956971E-5</v>
      </c>
      <c r="GV62" s="1">
        <v>1.4691648915070662E-4</v>
      </c>
      <c r="GW62" s="1">
        <v>-1.1536394814199652E-2</v>
      </c>
    </row>
    <row r="63" spans="1:205" x14ac:dyDescent="0.25">
      <c r="GR63" s="1">
        <v>-1.1781027357468856E-2</v>
      </c>
      <c r="GS63" s="1">
        <v>-9.0030707871326609E-4</v>
      </c>
      <c r="GT63" s="1">
        <v>8.1039785417956998E-5</v>
      </c>
      <c r="GU63" s="1">
        <v>1.6627745117199246E-3</v>
      </c>
      <c r="GV63" s="1">
        <v>1.6688433568069877E-4</v>
      </c>
      <c r="GW63" s="1">
        <v>-1.5477916277575262E-5</v>
      </c>
    </row>
    <row r="64" spans="1:205" x14ac:dyDescent="0.25">
      <c r="GR64" s="1">
        <v>6.0929594078109696E-5</v>
      </c>
      <c r="GS64" s="1">
        <v>-1.2146196539217219E-2</v>
      </c>
      <c r="GT64" s="1">
        <v>1.4691648915070735E-4</v>
      </c>
      <c r="GU64" s="1">
        <v>1.6688433568069899E-4</v>
      </c>
      <c r="GV64" s="1">
        <v>1.7282096397485014E-3</v>
      </c>
      <c r="GW64" s="1">
        <v>-2.8369802305980047E-5</v>
      </c>
    </row>
    <row r="65" spans="200:205" x14ac:dyDescent="0.25">
      <c r="GR65" s="1">
        <v>8.7107402611341487E-5</v>
      </c>
      <c r="GS65" s="1">
        <v>1.8882246780510027E-4</v>
      </c>
      <c r="GT65" s="1">
        <v>-1.1536394814199656E-2</v>
      </c>
      <c r="GU65" s="1">
        <v>-1.5477916277575262E-5</v>
      </c>
      <c r="GV65" s="1">
        <v>-2.8369802305979962E-5</v>
      </c>
      <c r="GW65" s="1">
        <v>1.5386105992420357E-3</v>
      </c>
    </row>
    <row r="67" spans="200:205" x14ac:dyDescent="0.25">
      <c r="GR67" s="1" t="s">
        <v>286</v>
      </c>
    </row>
    <row r="68" spans="200:205" x14ac:dyDescent="0.25">
      <c r="GR68" s="1" t="s">
        <v>287</v>
      </c>
    </row>
    <row r="69" spans="200:205" x14ac:dyDescent="0.25">
      <c r="GR69" s="1" t="s">
        <v>271</v>
      </c>
      <c r="GS69" s="1" t="s">
        <v>272</v>
      </c>
      <c r="GT69" s="1" t="s">
        <v>273</v>
      </c>
    </row>
    <row r="70" spans="200:205" x14ac:dyDescent="0.25">
      <c r="GR70" s="1" t="s">
        <v>274</v>
      </c>
      <c r="GS70" s="1">
        <v>240.87740272626925</v>
      </c>
      <c r="GT70" s="1">
        <v>0.16802617192978242</v>
      </c>
    </row>
    <row r="71" spans="200:205" x14ac:dyDescent="0.25">
      <c r="GR71" s="1" t="s">
        <v>275</v>
      </c>
      <c r="GS71" s="1">
        <v>122.97399089518898</v>
      </c>
      <c r="GT71" s="1">
        <v>0.16869455790561932</v>
      </c>
    </row>
    <row r="72" spans="200:205" x14ac:dyDescent="0.25">
      <c r="GR72" s="1" t="s">
        <v>276</v>
      </c>
      <c r="GS72" s="1">
        <v>44.658879089196766</v>
      </c>
      <c r="GT72" s="1">
        <v>0.17074557331646403</v>
      </c>
    </row>
    <row r="73" spans="200:205" x14ac:dyDescent="0.25">
      <c r="GR73" s="1" t="s">
        <v>63</v>
      </c>
      <c r="GS73" s="1">
        <v>5.4016560270377578</v>
      </c>
      <c r="GT73" s="1">
        <v>2.3056085923623609E-2</v>
      </c>
    </row>
    <row r="74" spans="200:205" x14ac:dyDescent="0.25">
      <c r="GR74" s="1" t="s">
        <v>67</v>
      </c>
      <c r="GS74" s="1">
        <v>3.0248350388303691</v>
      </c>
      <c r="GT74" s="1">
        <v>2.3497605640695109E-2</v>
      </c>
    </row>
    <row r="75" spans="200:205" x14ac:dyDescent="0.25">
      <c r="GR75" s="1" t="s">
        <v>72</v>
      </c>
      <c r="GS75" s="1">
        <v>0.38534864527311508</v>
      </c>
      <c r="GT75" s="1">
        <v>2.2161666596301866E-2</v>
      </c>
    </row>
    <row r="76" spans="200:205" x14ac:dyDescent="0.25">
      <c r="GR76" s="1" t="s">
        <v>277</v>
      </c>
      <c r="GS76" s="1">
        <v>2.7128827264776618E-2</v>
      </c>
    </row>
    <row r="77" spans="200:205" x14ac:dyDescent="0.25">
      <c r="GR77" s="1" t="s">
        <v>278</v>
      </c>
      <c r="GS77" s="1">
        <v>0.15306678845742702</v>
      </c>
    </row>
    <row r="78" spans="200:205" x14ac:dyDescent="0.25">
      <c r="GR78" s="1" t="s">
        <v>279</v>
      </c>
      <c r="GS78" s="1">
        <v>38</v>
      </c>
    </row>
    <row r="79" spans="200:205" x14ac:dyDescent="0.25">
      <c r="GR79" s="1" t="s">
        <v>280</v>
      </c>
      <c r="GS79" s="1">
        <v>44</v>
      </c>
    </row>
    <row r="80" spans="200:205" x14ac:dyDescent="0.25">
      <c r="GR80" s="1" t="s">
        <v>281</v>
      </c>
      <c r="GS80" s="1">
        <v>0.12364539860610049</v>
      </c>
    </row>
    <row r="81" spans="13:205" x14ac:dyDescent="0.25">
      <c r="GR81" s="1" t="s">
        <v>282</v>
      </c>
      <c r="GS81" s="1">
        <v>0.11354391233305512</v>
      </c>
    </row>
    <row r="82" spans="13:205" x14ac:dyDescent="0.25">
      <c r="GR82" s="1" t="s">
        <v>283</v>
      </c>
      <c r="GS82" s="1">
        <v>0.13032842428477881</v>
      </c>
    </row>
    <row r="83" spans="13:205" x14ac:dyDescent="0.25">
      <c r="GR83" s="1" t="s">
        <v>284</v>
      </c>
      <c r="GS83" s="1">
        <v>0.1214636314611772</v>
      </c>
    </row>
    <row r="85" spans="13:205" x14ac:dyDescent="0.25">
      <c r="GR85" s="1" t="s">
        <v>285</v>
      </c>
    </row>
    <row r="86" spans="13:205" x14ac:dyDescent="0.25">
      <c r="GR86" s="1">
        <v>2.82327944533768E-2</v>
      </c>
      <c r="GS86" s="1">
        <v>-1.1176371382782232E-3</v>
      </c>
      <c r="GT86" s="1">
        <v>-1.4318858994508528E-4</v>
      </c>
      <c r="GU86" s="1">
        <v>-3.6988716774568045E-3</v>
      </c>
      <c r="GV86" s="1">
        <v>1.5126677140554639E-5</v>
      </c>
      <c r="GW86" s="1">
        <v>2.6816844689549777E-5</v>
      </c>
    </row>
    <row r="87" spans="13:205" x14ac:dyDescent="0.25">
      <c r="GR87" s="1">
        <v>-1.1176371382782121E-3</v>
      </c>
      <c r="GS87" s="1">
        <v>2.845785386697235E-2</v>
      </c>
      <c r="GT87" s="1">
        <v>-3.087087292776239E-4</v>
      </c>
      <c r="GU87" s="1">
        <v>-2.8770748584006496E-4</v>
      </c>
      <c r="GV87" s="1">
        <v>-3.8120166342565662E-3</v>
      </c>
      <c r="GW87" s="1">
        <v>5.8015107020477508E-5</v>
      </c>
    </row>
    <row r="88" spans="13:205" x14ac:dyDescent="0.25">
      <c r="GR88" s="1">
        <v>-1.4318858994508523E-4</v>
      </c>
      <c r="GS88" s="1">
        <v>-3.0870872927762357E-4</v>
      </c>
      <c r="GT88" s="1">
        <v>2.9154050807167993E-2</v>
      </c>
      <c r="GU88" s="1">
        <v>2.4884649061020883E-5</v>
      </c>
      <c r="GV88" s="1">
        <v>4.5008086279543873E-5</v>
      </c>
      <c r="GW88" s="1">
        <v>-3.6181058407024412E-3</v>
      </c>
    </row>
    <row r="89" spans="13:205" x14ac:dyDescent="0.25">
      <c r="GR89" s="1">
        <v>-3.6988716774568049E-3</v>
      </c>
      <c r="GS89" s="1">
        <v>-2.8770748584006349E-4</v>
      </c>
      <c r="GT89" s="1">
        <v>2.488464906102091E-5</v>
      </c>
      <c r="GU89" s="1">
        <v>5.3158309811751473E-4</v>
      </c>
      <c r="GV89" s="1">
        <v>5.4130811556786459E-5</v>
      </c>
      <c r="GW89" s="1">
        <v>-4.8534662820973568E-6</v>
      </c>
    </row>
    <row r="90" spans="13:205" x14ac:dyDescent="0.25">
      <c r="GR90" s="1">
        <v>1.512667714055315E-5</v>
      </c>
      <c r="GS90" s="1">
        <v>-3.8120166342565671E-3</v>
      </c>
      <c r="GT90" s="1">
        <v>4.5008086279543914E-5</v>
      </c>
      <c r="GU90" s="1">
        <v>5.4130811556786663E-5</v>
      </c>
      <c r="GV90" s="1">
        <v>5.5213747084562656E-4</v>
      </c>
      <c r="GW90" s="1">
        <v>-8.8747729673217938E-6</v>
      </c>
    </row>
    <row r="91" spans="13:205" x14ac:dyDescent="0.25">
      <c r="GR91" s="1">
        <v>2.6816844689549777E-5</v>
      </c>
      <c r="GS91" s="1">
        <v>5.8015107020477461E-5</v>
      </c>
      <c r="GT91" s="1">
        <v>-3.6181058407024421E-3</v>
      </c>
      <c r="GU91" s="1">
        <v>-4.8534662820973542E-6</v>
      </c>
      <c r="GV91" s="1">
        <v>-8.874772967321787E-6</v>
      </c>
      <c r="GW91" s="1">
        <v>4.9113946632564198E-4</v>
      </c>
    </row>
    <row r="92" spans="13:205" x14ac:dyDescent="0.25">
      <c r="M92" s="1" t="s">
        <v>108</v>
      </c>
      <c r="N92" s="1" t="s">
        <v>109</v>
      </c>
      <c r="O92" s="1" t="s">
        <v>62</v>
      </c>
      <c r="P92" s="1" t="s">
        <v>71</v>
      </c>
      <c r="Q92" s="1" t="s">
        <v>66</v>
      </c>
      <c r="R92" s="1" t="s">
        <v>53</v>
      </c>
      <c r="S92" s="1" t="s">
        <v>54</v>
      </c>
      <c r="T92" s="1" t="s">
        <v>55</v>
      </c>
      <c r="U92" s="1" t="s">
        <v>36</v>
      </c>
    </row>
    <row r="93" spans="13:205" x14ac:dyDescent="0.25">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5">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5">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5">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5">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5">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5">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5">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5">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5">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5">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5">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5">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5">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5">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5">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5">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5">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5">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5">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GW112"/>
  <sheetViews>
    <sheetView zoomScale="92" zoomScaleNormal="100" workbookViewId="0">
      <pane xSplit="1" topLeftCell="BD1" activePane="topRight" state="frozen"/>
      <selection activeCell="BA26" sqref="BA26:BA28"/>
      <selection pane="topRight" activeCell="BX28" sqref="BX28"/>
    </sheetView>
  </sheetViews>
  <sheetFormatPr defaultColWidth="9.109375" defaultRowHeight="15" x14ac:dyDescent="0.25"/>
  <cols>
    <col min="1" max="1" width="12.6640625" style="1" customWidth="1"/>
    <col min="2" max="2" width="16.6640625" style="1" bestFit="1" customWidth="1"/>
    <col min="3" max="4" width="33.88671875" style="1" bestFit="1" customWidth="1"/>
    <col min="5" max="5" width="16.44140625" style="1" bestFit="1" customWidth="1"/>
    <col min="6" max="6" width="17" style="1" bestFit="1" customWidth="1"/>
    <col min="7" max="7" width="23.5546875" style="1" customWidth="1"/>
    <col min="8" max="8" width="22.109375" style="1" bestFit="1" customWidth="1"/>
    <col min="9" max="9" width="19.109375" style="1" bestFit="1" customWidth="1"/>
    <col min="10" max="10" width="25.44140625" style="1" bestFit="1" customWidth="1"/>
    <col min="11" max="11" width="11.88671875" style="1" bestFit="1" customWidth="1"/>
    <col min="12" max="12" width="14.44140625" style="1" bestFit="1" customWidth="1"/>
    <col min="13" max="13" width="17.109375" style="1" bestFit="1" customWidth="1"/>
    <col min="14" max="14" width="15.5546875" style="1" hidden="1" customWidth="1"/>
    <col min="15" max="15" width="12.109375" style="1" hidden="1" customWidth="1"/>
    <col min="16" max="16" width="14.33203125" style="1" hidden="1" customWidth="1"/>
    <col min="17" max="21" width="15.5546875" style="1" hidden="1" customWidth="1"/>
    <col min="22" max="22" width="9.33203125" style="1" bestFit="1" customWidth="1"/>
    <col min="23" max="23" width="9.33203125" style="1" hidden="1" customWidth="1"/>
    <col min="24" max="24" width="10.5546875" style="1" hidden="1" customWidth="1"/>
    <col min="25" max="28" width="12.44140625" style="1" hidden="1" customWidth="1"/>
    <col min="29" max="31" width="9.33203125" style="1" bestFit="1" customWidth="1"/>
    <col min="32" max="32" width="11.88671875" style="1" hidden="1" customWidth="1"/>
    <col min="33" max="33" width="13.5546875" style="1" hidden="1" customWidth="1"/>
    <col min="34" max="34" width="15.109375" style="1" bestFit="1" customWidth="1"/>
    <col min="35" max="35" width="15" style="1" bestFit="1" customWidth="1"/>
    <col min="36" max="36" width="21.6640625" style="1" customWidth="1"/>
    <col min="37" max="37" width="17.33203125" style="1" customWidth="1"/>
    <col min="38" max="38" width="18.33203125" style="1" customWidth="1"/>
    <col min="39" max="39" width="9.109375" style="1"/>
    <col min="40" max="40" width="13.109375" style="1" bestFit="1" customWidth="1"/>
    <col min="41" max="41" width="23.109375" style="1" bestFit="1" customWidth="1"/>
    <col min="42" max="42" width="21.88671875" style="1" bestFit="1" customWidth="1"/>
    <col min="43" max="43" width="19.109375" style="1" bestFit="1" customWidth="1"/>
    <col min="44" max="44" width="14" style="1" bestFit="1" customWidth="1"/>
    <col min="45" max="45" width="13.109375" style="1" bestFit="1" customWidth="1"/>
    <col min="46" max="46" width="15.5546875" style="1" customWidth="1"/>
    <col min="47" max="47" width="12.109375" style="1" customWidth="1"/>
    <col min="48" max="48" width="11.88671875" style="1" customWidth="1"/>
    <col min="49" max="49" width="12.5546875" style="1" customWidth="1"/>
    <col min="50" max="50" width="16.33203125" style="1" bestFit="1" customWidth="1"/>
    <col min="51" max="55" width="16.33203125" style="1" customWidth="1"/>
    <col min="56" max="56" width="23.109375" style="1" bestFit="1" customWidth="1"/>
    <col min="57" max="57" width="21.88671875" style="1" bestFit="1" customWidth="1"/>
    <col min="58" max="58" width="19.44140625" style="1" bestFit="1" customWidth="1"/>
    <col min="59" max="59" width="16.33203125" style="1" customWidth="1"/>
    <col min="60" max="60" width="11.109375" style="1" bestFit="1" customWidth="1"/>
    <col min="61" max="61" width="10.88671875" style="1" bestFit="1" customWidth="1"/>
    <col min="62" max="62" width="13.88671875" style="1" bestFit="1" customWidth="1"/>
    <col min="63" max="63" width="10.88671875" style="1" bestFit="1" customWidth="1"/>
    <col min="64" max="64" width="9.33203125" style="1" bestFit="1" customWidth="1"/>
    <col min="65" max="65" width="11.109375" style="1" bestFit="1" customWidth="1"/>
    <col min="66" max="66" width="11.109375" style="1" customWidth="1"/>
    <col min="67" max="78" width="9.33203125" style="1" bestFit="1" customWidth="1"/>
    <col min="79" max="79" width="12.109375" style="1" bestFit="1" customWidth="1"/>
    <col min="80" max="80" width="12.33203125" style="1" bestFit="1" customWidth="1"/>
    <col min="81" max="81" width="20.6640625" style="1" bestFit="1" customWidth="1"/>
    <col min="82" max="82" width="9.109375" style="1"/>
    <col min="83" max="83" width="5.5546875" style="1" customWidth="1"/>
    <col min="84" max="84" width="5.6640625" style="1" customWidth="1"/>
    <col min="85" max="85" width="7" style="1" bestFit="1" customWidth="1"/>
    <col min="86" max="86" width="13.88671875" style="1" bestFit="1" customWidth="1"/>
    <col min="87" max="92" width="9.109375" style="1"/>
    <col min="93" max="93" width="15.44140625" style="1" bestFit="1" customWidth="1"/>
    <col min="94" max="94" width="16" style="1" bestFit="1" customWidth="1"/>
    <col min="95" max="95" width="12.6640625" style="1" bestFit="1" customWidth="1"/>
    <col min="96" max="96" width="12.6640625" style="1" customWidth="1"/>
    <col min="97" max="100" width="9.109375" style="1"/>
    <col min="101" max="101" width="16.6640625" style="1" bestFit="1" customWidth="1"/>
    <col min="102" max="16384" width="9.109375" style="1"/>
  </cols>
  <sheetData>
    <row r="1" spans="1:171" ht="15.6" x14ac:dyDescent="0.3">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5">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 t="shared" ref="AB2:AB23" si="4">SQRT((Q2/M2)^2+(0.0002/I2)^2)*AD2</f>
        <v>4.4555100476021065E-3</v>
      </c>
      <c r="AC2" s="14">
        <f>2*0.712/H2</f>
        <v>5.9302602040809917</v>
      </c>
      <c r="AD2" s="1">
        <f>2*0.712/I2</f>
        <v>3.0066311311313236</v>
      </c>
      <c r="AE2" s="14">
        <f>2*0.712/G2</f>
        <v>2.7870913663034367</v>
      </c>
      <c r="AF2" s="14">
        <f t="shared" ref="AF2:AF23" si="5">V2*AD2^2</f>
        <v>55.052569320410058</v>
      </c>
      <c r="AG2" s="14">
        <f t="shared" ref="AG2:AG23" si="6">V2*AC2*AC2</f>
        <v>214.17303527656995</v>
      </c>
      <c r="AH2" s="14">
        <f t="shared" ref="AH2:AH23" si="7">V2*AC2^2</f>
        <v>214.17303527656995</v>
      </c>
      <c r="AI2" s="14">
        <f t="shared" ref="AI2:AI23" si="8">V2*AD2^2</f>
        <v>55.052569320410058</v>
      </c>
      <c r="AJ2" s="14">
        <f t="shared" ref="AJ2:AJ23" si="9">V2*AE2^2</f>
        <v>47.306378750310031</v>
      </c>
      <c r="AK2" s="14">
        <f>AH2-AI2-AJ2</f>
        <v>111.81408720584984</v>
      </c>
      <c r="AL2" s="14">
        <f>3*AI2+AK2-AJ2</f>
        <v>229.66541641676997</v>
      </c>
      <c r="AM2" s="7"/>
      <c r="AN2" s="12">
        <f>M2</f>
        <v>0.70399999999999996</v>
      </c>
      <c r="AO2" s="14">
        <f t="shared" ref="AO2:AO23" si="10">AN2^3</f>
        <v>0.34891366399999996</v>
      </c>
      <c r="AP2" s="14">
        <f>$AO$2/AO2</f>
        <v>1</v>
      </c>
      <c r="AQ2" s="11">
        <v>6.09</v>
      </c>
      <c r="AR2" s="14">
        <f t="shared" ref="AR2:AR23" si="11">-3*$AZ$33*((1-2*AS2)^2.5)*(1+3*(4-$AZ$34)*AS2/2)*AS2</f>
        <v>0</v>
      </c>
      <c r="AS2" s="14">
        <f t="shared" ref="AS2:AS23" si="12">0.5*(1-AP2^0.666666667)</f>
        <v>0</v>
      </c>
      <c r="AT2" s="82">
        <f t="shared" ref="AT2:AT23" si="13">(1-2*AS2)^(3.5)*($AZ$27-$AZ$40*AS2)+AR2*3</f>
        <v>236.49329996378441</v>
      </c>
      <c r="AU2" s="82">
        <f t="shared" ref="AU2:AU23" si="14">(1-2*AS2)^(3.5)*($AZ$29-$AZ$42*AS2)+AR2*1</f>
        <v>46.785202663146464</v>
      </c>
      <c r="AV2" s="82">
        <f t="shared" ref="AV2:AV23" si="15">(1-2*AS2)^(3.5)*($AZ$28-$AZ$41*AS2)+AR2*1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6">BG2^3</f>
        <v>0.34891366399999996</v>
      </c>
      <c r="BI2" s="14">
        <f t="shared" ref="BI2:BI23" si="17">$BH$2/BH2</f>
        <v>1</v>
      </c>
      <c r="BJ2" s="11">
        <v>6.09</v>
      </c>
      <c r="BK2" s="11">
        <f t="shared" ref="BK2:BK23" si="18">-3*$BD$33*((1-2*BL2)^2.5)*(1+3*(4-$BD$34)*BL2/2)*BL2</f>
        <v>0</v>
      </c>
      <c r="BL2" s="12">
        <f t="shared" ref="BL2:BL23" si="19">0.5*(1-BI2^0.666666667)</f>
        <v>0</v>
      </c>
      <c r="BM2" s="11">
        <f t="shared" ref="BM2:BM23" si="20">BK2-E2</f>
        <v>0</v>
      </c>
      <c r="BN2" s="14">
        <f>2*0.712/BE2</f>
        <v>5.9302602040809917</v>
      </c>
      <c r="BO2" s="14">
        <f t="shared" ref="BO2" si="21">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2">(1-2*BL2)^(3.5)*($BD$27-$BD$40*BL2)+BK2*3</f>
        <v>236.43080432256778</v>
      </c>
      <c r="BW2" s="18">
        <f t="shared" ref="BW2:BW23" si="23">(1-2*BL2)^(3.5)*($BD$29-$BD$42*BL2)+BK2*1</f>
        <v>46.820519607148107</v>
      </c>
      <c r="BX2" s="18">
        <f t="shared" ref="BX2:BX23" si="24">(1-2*BL2)^(3.5)*($BD$28-$BD$41*BL2)+BK2*1</f>
        <v>120.73086558883736</v>
      </c>
      <c r="BY2" s="11">
        <f>BV2-BU2</f>
        <v>6.7653879057978088</v>
      </c>
      <c r="BZ2" s="11">
        <f>BW2-BS2</f>
        <v>-0.48585914316192458</v>
      </c>
      <c r="CA2" s="11">
        <f>BX2-BT2</f>
        <v>8.9167783829875162</v>
      </c>
      <c r="CB2" s="11">
        <f t="shared" ref="CB2:CB23" si="25">(BV2+2*BX2)/3</f>
        <v>159.29751183341418</v>
      </c>
      <c r="CC2" s="11">
        <f t="shared" ref="CC2:CC23" si="26">SQRT(BV2/BJ2)</f>
        <v>6.2307938636415665</v>
      </c>
      <c r="CD2" s="11">
        <f t="shared" ref="CD2:CD23" si="27">SQRT(BW2/BJ2)</f>
        <v>2.7727420467219428</v>
      </c>
      <c r="CE2" s="11">
        <f t="shared" ref="CE2:CE23" si="28">SQRT((0.33333334*(BV2+2*BX2+4*BW2))/BJ2)</f>
        <v>6.0339063278895315</v>
      </c>
      <c r="CF2" s="11">
        <f t="shared" ref="CF2:CF23" si="29">SQRT((0.3333334*(BV2-BX2+BW2))/BJ2)</f>
        <v>2.9825297818396539</v>
      </c>
      <c r="CG2" s="11">
        <f t="shared" ref="CG2:CG23" si="30">(BV2-BX2+3*BW2)/5</f>
        <v>51.232299511034945</v>
      </c>
      <c r="CH2" s="11">
        <f t="shared" ref="CH2:CH23" si="31">((5*(BV2-BX2)*BW2)/(3*(BV2-BX2)+4*BW2))</f>
        <v>50.685954225502094</v>
      </c>
      <c r="CI2" s="11">
        <f t="shared" ref="CI2:CI23" si="32">(CG2+CH2)/2</f>
        <v>50.95912686826852</v>
      </c>
      <c r="CJ2" s="14"/>
      <c r="CK2" s="14">
        <f t="shared" ref="CK2:CK23" si="33">CD2-AE2</f>
        <v>-1.434931958149388E-2</v>
      </c>
      <c r="CL2" s="14">
        <f t="shared" ref="CL2:CL23" si="34">CE2-AC2</f>
        <v>0.10364612380853977</v>
      </c>
      <c r="CM2" s="14">
        <f t="shared" ref="CM2:CM23" si="35">CF2-AD2</f>
        <v>-2.4101349291669738E-2</v>
      </c>
      <c r="CN2" s="19"/>
      <c r="CO2" s="12"/>
      <c r="CP2" s="12"/>
      <c r="CS2" s="17"/>
      <c r="CT2" s="20"/>
      <c r="CU2" s="20"/>
      <c r="CV2" s="21"/>
      <c r="DC2" s="14"/>
      <c r="DD2" s="14"/>
      <c r="DE2" s="14"/>
      <c r="DF2" s="14"/>
      <c r="DK2" s="12"/>
      <c r="DS2" s="1" t="s">
        <v>61</v>
      </c>
      <c r="EL2" s="1">
        <v>0</v>
      </c>
      <c r="ET2" s="1">
        <f t="shared" ref="ET2:ET23" si="36">(0.02/$B$40)^2+9*(0.001/$B$38)^2+(Q2/M2)^2</f>
        <v>3.0962041697548578E-5</v>
      </c>
      <c r="EU2" s="1">
        <f t="shared" ref="EU2:EU23" si="37">4*(AJ2)^2*(0.0002/G2)^2</f>
        <v>1.3716453171496432E-3</v>
      </c>
      <c r="EV2" s="1">
        <f t="shared" ref="EV2:EV23" si="38">4*(AH2)^2*(0.0002/H2)^2</f>
        <v>0.12728495874922099</v>
      </c>
      <c r="EW2" s="1">
        <f t="shared" ref="EW2:EW23" si="39">4*(AI2)^2*(0.0002/I2)^2</f>
        <v>2.1617998816802347E-3</v>
      </c>
      <c r="EX2" s="1">
        <f t="shared" ref="EX2:EX23" si="40">(AL2)^2*ET2+4*EU2+1*EV2+4*EW2</f>
        <v>1.7745488916335423</v>
      </c>
      <c r="EY2" s="1">
        <f t="shared" ref="EY2:EY23" si="41">(AK2)^2*ET2+1*EU2+1*EV2+1*EW2</f>
        <v>0.51791792747135668</v>
      </c>
      <c r="EZ2" s="1">
        <f t="shared" ref="EZ2:EZ23" si="42">(AJ2)^2*ET2+1*EU2</f>
        <v>7.0661396264444884E-2</v>
      </c>
      <c r="FA2" s="1">
        <f t="shared" ref="FA2:FA23" si="43">(AL2)*(AK2)*ET2+2*EU2+1*EV2+-2*EW2</f>
        <v>0.9208045827890643</v>
      </c>
      <c r="FB2" s="1">
        <f t="shared" ref="FB2:FB23" si="44">(AL2)*(AJ2)*ET2+-2*EU2</f>
        <v>0.33364812052651699</v>
      </c>
      <c r="FC2" s="1">
        <f t="shared" ref="FC2:FC23" si="45">(AK2)*(AJ2)*ET2+-1*EU2</f>
        <v>0.16240267982799184</v>
      </c>
      <c r="FD2" s="1">
        <f t="shared" ref="FD2:FD23" si="46">20*(AJ2)^2/(3*((AL2)-(AK2))+4*(AJ2))^2</f>
        <v>0.15192265004115083</v>
      </c>
      <c r="FE2" s="1">
        <f t="shared" ref="FE2:FE23" si="47">15*((AL2)-(AK2))^2/(3*((AL2)-(AK2))+4*(AJ2))^2</f>
        <v>0.70715294103921167</v>
      </c>
      <c r="FF2" s="1">
        <f t="shared" ref="FF2:FF23" si="48">(0.2+FD2)/2</f>
        <v>0.17596132502057543</v>
      </c>
      <c r="FG2" s="1">
        <f t="shared" ref="FG2:FG23" si="49">(-0.2-FD2)/2</f>
        <v>-0.17596132502057543</v>
      </c>
      <c r="FH2" s="1">
        <f t="shared" ref="FH2:FH23" si="50">(0.6+FE2)/2</f>
        <v>0.65357647051960588</v>
      </c>
      <c r="FI2" s="1">
        <f t="shared" ref="FI2:FI23" si="51">SQRT(EX2)</f>
        <v>1.3321219507363213</v>
      </c>
      <c r="FJ2" s="1">
        <f t="shared" ref="FJ2:FJ23" si="52">SQRT(EY2)</f>
        <v>0.71966514954620153</v>
      </c>
      <c r="FK2" s="1">
        <f t="shared" ref="FK2:FK23" si="53">SQRT(EZ2)</f>
        <v>0.26582211394924404</v>
      </c>
      <c r="FL2" s="1">
        <f t="shared" ref="FL2:FL23" si="54">SQRT(EX2/9+4*EY2/9+(4/9)*FA2)</f>
        <v>0.91466077091608278</v>
      </c>
      <c r="FM2" s="1">
        <f t="shared" ref="FM2:FM23" si="55">SQRT((EX2+EY2+9*EZ2)/25+(-2*FA2+6*FB2-6*FC2)/25)</f>
        <v>0.29081147598387003</v>
      </c>
      <c r="FN2" s="1">
        <f t="shared" ref="FN2:FN23" si="56">SQRT(FD2^2*(EX2+EY2)-2*FD2^2*FA2+FE2^2*EZ2+2*FD2*FE2*(FB2-FC2))</f>
        <v>0.28729078589254126</v>
      </c>
      <c r="FO2" s="1">
        <f t="shared" ref="FO2:FO23" si="57">SQRT(FF2^2*EX2+FG2^2*EY2+FH2^2*EZ2+2*FF2*FG2*FA2+2*FF2*FH2*FB2+2*FG2*FH2*FC2)</f>
        <v>0.28901797662697204</v>
      </c>
    </row>
    <row r="3" spans="1:171" x14ac:dyDescent="0.25">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58">(J3*(E3-E2)+0.5*(E3-E2)*(J2-J3))</f>
        <v>1.0214304272293568E-2</v>
      </c>
      <c r="L3" s="13">
        <f>SUM(K$3:$K3)</f>
        <v>1.0214304272293568E-2</v>
      </c>
      <c r="M3" s="72">
        <f>$B$38/((L3*$B$43+1))</f>
        <v>0.70379815271771839</v>
      </c>
      <c r="N3" s="12">
        <f t="shared" ref="N3:N23" si="59">(6*F3*G3*SQRT(9*(G3^6)*(0.0002^2)+16*(F3^6)*(0.0002)^2))/((4*F3^2 - 3*G3^2)^2)</f>
        <v>1.6605783510823934E-4</v>
      </c>
      <c r="O3" s="21">
        <f t="shared" ref="O3:O23" si="60">(((E3-E2)/2)^2)*(N3^2+N4^2)</f>
        <v>2.216109036549626E-10</v>
      </c>
      <c r="P3" s="11">
        <f>SUM(O$2:$O3)</f>
        <v>2.216109036549626E-10</v>
      </c>
      <c r="Q3" s="12">
        <f t="shared" ref="Q3:Q23" si="61">SQRT(((M30*0.001)^2)+((N30*0.02)^2)+((O30*P3)^2))</f>
        <v>1.0002867699955033E-3</v>
      </c>
      <c r="R3" s="3">
        <f t="shared" si="1"/>
        <v>0.3486136338116016</v>
      </c>
      <c r="S3" s="1">
        <f t="shared" ref="S3:S23" si="62">3*Q3/M3*R3</f>
        <v>1.4864216582350079E-3</v>
      </c>
      <c r="T3" s="1">
        <f t="shared" ref="T3:T23" si="63">R3/$R$2</f>
        <v>0.99914010192390068</v>
      </c>
      <c r="U3" s="1">
        <f t="shared" ref="U3:U23" si="64">T3*3*SQRT((Q3/M3)^2)+(0.001/$M$2)^2</f>
        <v>4.2621594155596281E-3</v>
      </c>
      <c r="V3" s="11">
        <f t="shared" ref="V3:V23" si="65">$B$40/((M3/$B$38)^3)</f>
        <v>6.0952412862554119</v>
      </c>
      <c r="W3" s="12">
        <f t="shared" ref="W3:W23" si="66">(SQRT((0.02/$V$2)^2+(9*(0.001/$M$2)^2)+(9*(Q3/M3)^2))*V3)</f>
        <v>4.1842138068044897E-2</v>
      </c>
      <c r="X3" s="13">
        <f t="shared" si="2"/>
        <v>-2.868382463369068E-4</v>
      </c>
      <c r="Y3" s="12" t="e">
        <f>(SQRT((Q3/M3)^2 + (0.0002/F3)^2))*#REF!</f>
        <v>#REF!</v>
      </c>
      <c r="Z3" s="12">
        <f t="shared" si="3"/>
        <v>4.0930512505757922E-3</v>
      </c>
      <c r="AA3" s="12">
        <f t="shared" ref="AA3:AA23" si="67">SQRT((Q3/M3)^2 + (0.0002/H3)^2)*AC3</f>
        <v>9.9751605900456845E-3</v>
      </c>
      <c r="AB3" s="12">
        <f t="shared" si="4"/>
        <v>4.3422247474054123E-3</v>
      </c>
      <c r="AC3" s="14">
        <f t="shared" ref="AC3:AC23" si="68">2*M3/H3</f>
        <v>6.0148239739643765</v>
      </c>
      <c r="AD3" s="1">
        <f t="shared" ref="AD3:AD23" si="69">2*M3/I3</f>
        <v>2.9318349829423505</v>
      </c>
      <c r="AE3" s="14">
        <f t="shared" ref="AE3:AE23" si="70">2*M3/G3</f>
        <v>2.7750452180356793</v>
      </c>
      <c r="AF3" s="14">
        <f t="shared" si="5"/>
        <v>52.392599571849523</v>
      </c>
      <c r="AG3" s="14">
        <f t="shared" si="6"/>
        <v>220.51429411332001</v>
      </c>
      <c r="AH3" s="14">
        <f t="shared" si="7"/>
        <v>220.51429411332003</v>
      </c>
      <c r="AI3" s="14">
        <f t="shared" si="8"/>
        <v>52.392599571849523</v>
      </c>
      <c r="AJ3" s="14">
        <f t="shared" si="9"/>
        <v>46.938697104783998</v>
      </c>
      <c r="AK3" s="14">
        <f t="shared" ref="AK3:AK23" si="71">AH3-AI3-AJ3</f>
        <v>121.18299743668651</v>
      </c>
      <c r="AL3" s="14">
        <f t="shared" ref="AL3:AL23" si="72">3*AI3+AK3-AJ3</f>
        <v>231.42209904745107</v>
      </c>
      <c r="AM3" s="7"/>
      <c r="AN3" s="12">
        <f t="shared" ref="AN3:AN23" si="73">M3</f>
        <v>0.70379815271771839</v>
      </c>
      <c r="AO3" s="14">
        <f t="shared" si="10"/>
        <v>0.3486136338116016</v>
      </c>
      <c r="AP3" s="14">
        <f t="shared" ref="AP3:AP23" si="74">$AO$2/AO3</f>
        <v>1.0008606381371776</v>
      </c>
      <c r="AQ3" s="11">
        <f>$AQ$2/((AN3/$AN$2)^3)</f>
        <v>6.0952412862554119</v>
      </c>
      <c r="AR3" s="14">
        <f t="shared" si="11"/>
        <v>0.13730337076426435</v>
      </c>
      <c r="AS3" s="14">
        <f t="shared" si="12"/>
        <v>-2.8683824504582844E-4</v>
      </c>
      <c r="AT3" s="82">
        <f t="shared" si="13"/>
        <v>237.26408161048525</v>
      </c>
      <c r="AU3" s="82">
        <f t="shared" si="14"/>
        <v>46.819871647074677</v>
      </c>
      <c r="AV3" s="82">
        <f t="shared" si="15"/>
        <v>121.18379762537496</v>
      </c>
      <c r="AW3" s="14">
        <f t="shared" ref="AW3:AW23" si="75">AT3-AL3</f>
        <v>5.8419825630341791</v>
      </c>
      <c r="AX3" s="14">
        <f t="shared" ref="AX3:AX23" si="76">AU3-AJ3</f>
        <v>-0.1188254577093204</v>
      </c>
      <c r="AY3" s="14">
        <f t="shared" ref="AY3:AY23" si="77">AV3-AK3</f>
        <v>8.001886884585474E-4</v>
      </c>
      <c r="AZ3" s="11">
        <f t="shared" ref="AZ3:AZ23" si="78">AR3-A3</f>
        <v>8.1704626449890239E-3</v>
      </c>
      <c r="BA3" s="92"/>
      <c r="BB3" s="2"/>
      <c r="BC3" s="12">
        <v>0.22474572005565327</v>
      </c>
      <c r="BD3" s="12">
        <v>0.50723364660407455</v>
      </c>
      <c r="BE3" s="12">
        <f t="shared" ref="BE3:BE23" si="79">C3*$BG$2/0.607</f>
        <v>0.23402119688428533</v>
      </c>
      <c r="BF3" s="12">
        <f t="shared" ref="BF3:BF23" si="80">D3*$BG$2/0.607</f>
        <v>0.48010761643303401</v>
      </c>
      <c r="BG3" s="12">
        <v>0.70379815271771839</v>
      </c>
      <c r="BH3" s="14">
        <f t="shared" si="16"/>
        <v>0.3486136338116016</v>
      </c>
      <c r="BI3" s="14">
        <f t="shared" si="17"/>
        <v>1.0008606381371776</v>
      </c>
      <c r="BJ3" s="11">
        <f t="shared" ref="BJ3:BJ23" si="81">$BJ$2/((BG3/$BG$2)^3)</f>
        <v>6.0952412862554119</v>
      </c>
      <c r="BK3" s="11">
        <f t="shared" si="18"/>
        <v>0.13727609312347633</v>
      </c>
      <c r="BL3" s="12">
        <f t="shared" si="19"/>
        <v>-2.8683824504582844E-4</v>
      </c>
      <c r="BM3" s="11">
        <f t="shared" si="20"/>
        <v>8.1431850042009979E-3</v>
      </c>
      <c r="BN3" s="14">
        <f>2*BG3/BE3</f>
        <v>6.0148239739643765</v>
      </c>
      <c r="BO3" s="14">
        <f>2*BG3/BF3</f>
        <v>2.9318349829423505</v>
      </c>
      <c r="BP3" s="14">
        <f>2*BG3/BD3</f>
        <v>2.7750452180356793</v>
      </c>
      <c r="BQ3" s="14">
        <f t="shared" ref="BQ3:BQ23" si="82">BJ3*BN3^2</f>
        <v>220.51429411332003</v>
      </c>
      <c r="BR3" s="14">
        <f t="shared" ref="BR3:BR23" si="83">BJ3*BO3^2</f>
        <v>52.392599571849523</v>
      </c>
      <c r="BS3" s="14">
        <f t="shared" ref="BS3:BS23" si="84">BJ3*BP3^2</f>
        <v>46.938697104783998</v>
      </c>
      <c r="BT3" s="14">
        <f t="shared" ref="BT3:BT23" si="85">BQ3-BR3-BS3</f>
        <v>121.18299743668651</v>
      </c>
      <c r="BU3" s="14">
        <f t="shared" ref="BU3:BU23" si="86">3*BR3+BT3-BS3</f>
        <v>231.42209904745107</v>
      </c>
      <c r="BV3" s="18">
        <f t="shared" si="22"/>
        <v>237.21415001923495</v>
      </c>
      <c r="BW3" s="18">
        <f t="shared" si="23"/>
        <v>46.854444048331061</v>
      </c>
      <c r="BX3" s="18">
        <f t="shared" si="24"/>
        <v>121.16792901140732</v>
      </c>
      <c r="BY3" s="11">
        <f t="shared" ref="BY3:BY23" si="87">BV3-BU3</f>
        <v>5.7920509717838797</v>
      </c>
      <c r="BZ3" s="11">
        <f t="shared" ref="BZ3:BZ23" si="88">BW3-BS3</f>
        <v>-8.4253056452936903E-2</v>
      </c>
      <c r="CA3" s="11">
        <f t="shared" ref="CA3:CA23" si="89">BX3-BT3</f>
        <v>-1.5068425279181952E-2</v>
      </c>
      <c r="CB3" s="11">
        <f t="shared" si="25"/>
        <v>159.85000268068322</v>
      </c>
      <c r="CC3" s="11">
        <f t="shared" si="26"/>
        <v>6.2384233675644127</v>
      </c>
      <c r="CD3" s="11">
        <f t="shared" si="27"/>
        <v>2.7725535526487057</v>
      </c>
      <c r="CE3" s="11">
        <f t="shared" si="28"/>
        <v>6.0394355973353147</v>
      </c>
      <c r="CF3" s="11">
        <f t="shared" si="29"/>
        <v>2.9847323561894519</v>
      </c>
      <c r="CG3" s="11">
        <f t="shared" si="30"/>
        <v>51.321910630564162</v>
      </c>
      <c r="CH3" s="11">
        <f t="shared" si="31"/>
        <v>50.762914709633129</v>
      </c>
      <c r="CI3" s="11">
        <f t="shared" si="32"/>
        <v>51.042412670098642</v>
      </c>
      <c r="CJ3" s="14"/>
      <c r="CK3" s="14">
        <f t="shared" si="33"/>
        <v>-2.4916653869735406E-3</v>
      </c>
      <c r="CL3" s="14">
        <f t="shared" si="34"/>
        <v>2.461162337093814E-2</v>
      </c>
      <c r="CM3" s="14">
        <f t="shared" si="35"/>
        <v>5.289737324710142E-2</v>
      </c>
      <c r="CN3" s="19"/>
      <c r="CO3" s="12"/>
      <c r="CP3" s="12"/>
      <c r="CS3" s="17"/>
      <c r="CT3" s="20"/>
      <c r="CU3" s="20"/>
      <c r="CV3" s="21"/>
      <c r="DC3" s="14"/>
      <c r="DD3" s="14"/>
      <c r="DE3" s="14"/>
      <c r="DF3" s="14"/>
      <c r="DK3" s="12"/>
      <c r="ET3" s="1">
        <f t="shared" si="36"/>
        <v>3.0964357255947478E-5</v>
      </c>
      <c r="EU3" s="1">
        <f t="shared" si="37"/>
        <v>1.3701431238713391E-3</v>
      </c>
      <c r="EV3" s="1">
        <f t="shared" si="38"/>
        <v>0.14206368744185974</v>
      </c>
      <c r="EW3" s="1">
        <f t="shared" si="39"/>
        <v>1.9053847553562023E-3</v>
      </c>
      <c r="EX3" s="1">
        <f t="shared" si="40"/>
        <v>1.813498735213416</v>
      </c>
      <c r="EY3" s="1">
        <f t="shared" si="41"/>
        <v>0.60006067515929373</v>
      </c>
      <c r="EZ3" s="1">
        <f t="shared" si="42"/>
        <v>6.959209342136663E-2</v>
      </c>
      <c r="FA3" s="1">
        <f t="shared" si="43"/>
        <v>1.0093707566705998</v>
      </c>
      <c r="FB3" s="1">
        <f t="shared" si="44"/>
        <v>0.33361474516083295</v>
      </c>
      <c r="FC3" s="1">
        <f t="shared" si="45"/>
        <v>0.17476044715586009</v>
      </c>
      <c r="FD3" s="1">
        <f t="shared" si="46"/>
        <v>0.16392352549507772</v>
      </c>
      <c r="FE3" s="1">
        <f t="shared" si="47"/>
        <v>0.6781282216094332</v>
      </c>
      <c r="FF3" s="1">
        <f t="shared" si="48"/>
        <v>0.18196176274753886</v>
      </c>
      <c r="FG3" s="1">
        <f t="shared" si="49"/>
        <v>-0.18196176274753886</v>
      </c>
      <c r="FH3" s="1">
        <f t="shared" si="50"/>
        <v>0.63906411080471659</v>
      </c>
      <c r="FI3" s="1">
        <f t="shared" si="51"/>
        <v>1.3466620716473068</v>
      </c>
      <c r="FJ3" s="1">
        <f t="shared" si="52"/>
        <v>0.7746358338982865</v>
      </c>
      <c r="FK3" s="1">
        <f t="shared" si="53"/>
        <v>0.26380313383537851</v>
      </c>
      <c r="FL3" s="1">
        <f t="shared" si="54"/>
        <v>0.95749815564272556</v>
      </c>
      <c r="FM3" s="1">
        <f t="shared" si="55"/>
        <v>0.28101761694624394</v>
      </c>
      <c r="FN3" s="1">
        <f t="shared" si="56"/>
        <v>0.27915668139224453</v>
      </c>
      <c r="FO3" s="1">
        <f t="shared" si="57"/>
        <v>0.28006943176078086</v>
      </c>
    </row>
    <row r="4" spans="1:171" x14ac:dyDescent="0.25">
      <c r="A4" s="11">
        <v>1.635683502844302</v>
      </c>
      <c r="B4" s="3">
        <v>60</v>
      </c>
      <c r="C4" s="12">
        <v>0.19870445393449762</v>
      </c>
      <c r="D4" s="12">
        <v>0.40424966477611346</v>
      </c>
      <c r="E4" s="11">
        <v>1.635683502844302</v>
      </c>
      <c r="F4" s="12">
        <v>0.22094572005565327</v>
      </c>
      <c r="G4" s="12">
        <v>0.50583364660407459</v>
      </c>
      <c r="H4" s="12">
        <f t="shared" ref="H4:H23" si="90">C4*0.704/0.607</f>
        <v>0.23045788397015871</v>
      </c>
      <c r="I4" s="12">
        <f t="shared" ref="I4:I23" si="91">D4*0.704/0.607</f>
        <v>0.46884969357888606</v>
      </c>
      <c r="J4" s="12">
        <f t="shared" si="0"/>
        <v>7.3434797024003337E-2</v>
      </c>
      <c r="K4" s="13">
        <f t="shared" si="58"/>
        <v>0.11291867338925345</v>
      </c>
      <c r="L4" s="13">
        <f>SUM(K$3:$K4)</f>
        <v>0.12313297766154702</v>
      </c>
      <c r="M4" s="72">
        <f t="shared" ref="M4:M23" si="92">$B$38/((L4*$B$43+1))</f>
        <v>0.7015744282501758</v>
      </c>
      <c r="N4" s="12">
        <f t="shared" si="59"/>
        <v>1.5994952484815503E-4</v>
      </c>
      <c r="O4" s="21">
        <f t="shared" si="60"/>
        <v>2.8357893464738583E-8</v>
      </c>
      <c r="P4" s="11">
        <f>SUM(O$2:$O4)</f>
        <v>2.8579504368393547E-8</v>
      </c>
      <c r="Q4" s="12">
        <f t="shared" si="61"/>
        <v>1.0034530730849299E-3</v>
      </c>
      <c r="R4" s="3">
        <f t="shared" si="1"/>
        <v>0.34531961896155083</v>
      </c>
      <c r="S4" s="1">
        <f t="shared" si="62"/>
        <v>1.4817189120236367E-3</v>
      </c>
      <c r="T4" s="1">
        <f t="shared" si="63"/>
        <v>0.98969932848932762</v>
      </c>
      <c r="U4" s="1">
        <f t="shared" si="64"/>
        <v>4.2486811637839367E-3</v>
      </c>
      <c r="V4" s="11">
        <f t="shared" si="65"/>
        <v>6.1533839871304625</v>
      </c>
      <c r="W4" s="12">
        <f t="shared" si="66"/>
        <v>4.2344872735731051E-2</v>
      </c>
      <c r="X4" s="13">
        <f t="shared" si="2"/>
        <v>-3.46330290946395E-3</v>
      </c>
      <c r="Y4" s="12" t="e">
        <f>(SQRT((Q4/M4)^2 + (0.0002/F4)^2))*#REF!</f>
        <v>#REF!</v>
      </c>
      <c r="Z4" s="12">
        <f t="shared" si="3"/>
        <v>4.1163273542916814E-3</v>
      </c>
      <c r="AA4" s="12">
        <f t="shared" si="67"/>
        <v>1.0185986092241757E-2</v>
      </c>
      <c r="AB4" s="12">
        <f t="shared" si="4"/>
        <v>4.4668091958176169E-3</v>
      </c>
      <c r="AC4" s="14">
        <f t="shared" si="68"/>
        <v>6.0885261650759626</v>
      </c>
      <c r="AD4" s="1">
        <f t="shared" si="69"/>
        <v>2.9927477307058652</v>
      </c>
      <c r="AE4" s="14">
        <f t="shared" si="70"/>
        <v>2.7739334184675584</v>
      </c>
      <c r="AF4" s="14">
        <f t="shared" si="5"/>
        <v>55.113023537458012</v>
      </c>
      <c r="AG4" s="14">
        <f t="shared" si="6"/>
        <v>228.10687271975388</v>
      </c>
      <c r="AH4" s="14">
        <f t="shared" si="7"/>
        <v>228.10687271975391</v>
      </c>
      <c r="AI4" s="14">
        <f t="shared" si="8"/>
        <v>55.113023537458012</v>
      </c>
      <c r="AJ4" s="14">
        <f t="shared" si="9"/>
        <v>47.348484440201588</v>
      </c>
      <c r="AK4" s="14">
        <f t="shared" si="71"/>
        <v>125.6453647420943</v>
      </c>
      <c r="AL4" s="14">
        <f t="shared" si="72"/>
        <v>243.63595091426677</v>
      </c>
      <c r="AM4" s="7"/>
      <c r="AN4" s="12">
        <f t="shared" si="73"/>
        <v>0.7015744282501758</v>
      </c>
      <c r="AO4" s="14">
        <f t="shared" si="10"/>
        <v>0.34531961896155083</v>
      </c>
      <c r="AP4" s="14">
        <f t="shared" si="74"/>
        <v>1.0104078796601745</v>
      </c>
      <c r="AQ4" s="11">
        <f t="shared" ref="AQ4:AQ23" si="93">$AQ$2/((AN4/$AN$2)^3)</f>
        <v>6.1533839871304625</v>
      </c>
      <c r="AR4" s="14">
        <f t="shared" si="11"/>
        <v>1.683930739687552</v>
      </c>
      <c r="AS4" s="14">
        <f t="shared" si="12"/>
        <v>-3.4633028938252375E-3</v>
      </c>
      <c r="AT4" s="82">
        <f t="shared" si="13"/>
        <v>245.89237174013434</v>
      </c>
      <c r="AU4" s="82">
        <f t="shared" si="14"/>
        <v>47.185778438678113</v>
      </c>
      <c r="AV4" s="82">
        <f t="shared" si="15"/>
        <v>126.00753936434667</v>
      </c>
      <c r="AW4" s="14">
        <f t="shared" si="75"/>
        <v>2.2564208258675649</v>
      </c>
      <c r="AX4" s="14">
        <f t="shared" si="76"/>
        <v>-0.1627060015234747</v>
      </c>
      <c r="AY4" s="14">
        <f t="shared" si="77"/>
        <v>0.36217462225236829</v>
      </c>
      <c r="AZ4" s="11">
        <f t="shared" si="78"/>
        <v>4.8247236843250052E-2</v>
      </c>
      <c r="BA4" s="92"/>
      <c r="BB4" s="2"/>
      <c r="BC4" s="12">
        <v>0.22094572005565327</v>
      </c>
      <c r="BD4" s="12">
        <v>0.50583364660407459</v>
      </c>
      <c r="BE4" s="12">
        <f t="shared" si="79"/>
        <v>0.23045788397015871</v>
      </c>
      <c r="BF4" s="12">
        <f t="shared" si="80"/>
        <v>0.46884969357888606</v>
      </c>
      <c r="BG4" s="12">
        <v>0.7015744282501758</v>
      </c>
      <c r="BH4" s="14">
        <f t="shared" si="16"/>
        <v>0.34531961896155083</v>
      </c>
      <c r="BI4" s="14">
        <f t="shared" si="17"/>
        <v>1.0104078796601745</v>
      </c>
      <c r="BJ4" s="11">
        <f t="shared" si="81"/>
        <v>6.1533839871304625</v>
      </c>
      <c r="BK4" s="11">
        <f t="shared" si="18"/>
        <v>1.6841265183134173</v>
      </c>
      <c r="BL4" s="12">
        <f t="shared" si="19"/>
        <v>-3.4633028938252375E-3</v>
      </c>
      <c r="BM4" s="11">
        <f t="shared" si="20"/>
        <v>4.8443015469115336E-2</v>
      </c>
      <c r="BN4" s="14">
        <f t="shared" ref="BN4:BN23" si="94">2*BG4/BE4</f>
        <v>6.0885261650759626</v>
      </c>
      <c r="BO4" s="14">
        <f t="shared" ref="BO4:BO23" si="95">2*BG4/BF4</f>
        <v>2.9927477307058652</v>
      </c>
      <c r="BP4" s="14">
        <f t="shared" ref="BP4:BP23" si="96">2*BG4/BD4</f>
        <v>2.7739334184675584</v>
      </c>
      <c r="BQ4" s="14">
        <f t="shared" si="82"/>
        <v>228.10687271975391</v>
      </c>
      <c r="BR4" s="14">
        <f t="shared" si="83"/>
        <v>55.113023537458012</v>
      </c>
      <c r="BS4" s="14">
        <f t="shared" si="84"/>
        <v>47.348484440201588</v>
      </c>
      <c r="BT4" s="14">
        <f t="shared" si="85"/>
        <v>125.6453647420943</v>
      </c>
      <c r="BU4" s="14">
        <f t="shared" si="86"/>
        <v>243.63595091426677</v>
      </c>
      <c r="BV4" s="18">
        <f t="shared" si="22"/>
        <v>245.98659260640761</v>
      </c>
      <c r="BW4" s="18">
        <f t="shared" si="23"/>
        <v>47.212424504391791</v>
      </c>
      <c r="BX4" s="18">
        <f t="shared" si="24"/>
        <v>126.07344358751699</v>
      </c>
      <c r="BY4" s="11">
        <f t="shared" si="87"/>
        <v>2.3506416921408402</v>
      </c>
      <c r="BZ4" s="11">
        <f t="shared" si="88"/>
        <v>-0.13605993580979714</v>
      </c>
      <c r="CA4" s="11">
        <f t="shared" si="89"/>
        <v>0.42807884542268937</v>
      </c>
      <c r="CB4" s="11">
        <f t="shared" si="25"/>
        <v>166.04449326048052</v>
      </c>
      <c r="CC4" s="11">
        <f t="shared" si="26"/>
        <v>6.3226437165550076</v>
      </c>
      <c r="CD4" s="11">
        <f t="shared" si="27"/>
        <v>2.7699449831918375</v>
      </c>
      <c r="CE4" s="11">
        <f t="shared" si="28"/>
        <v>6.1003593680843453</v>
      </c>
      <c r="CF4" s="11">
        <f t="shared" si="29"/>
        <v>3.0088730392084559</v>
      </c>
      <c r="CG4" s="11">
        <f t="shared" si="30"/>
        <v>52.310084506413205</v>
      </c>
      <c r="CH4" s="11">
        <f t="shared" si="31"/>
        <v>51.599549006498442</v>
      </c>
      <c r="CI4" s="11">
        <f t="shared" si="32"/>
        <v>51.954816756455827</v>
      </c>
      <c r="CJ4" s="14"/>
      <c r="CK4" s="14">
        <f t="shared" si="33"/>
        <v>-3.988435275720903E-3</v>
      </c>
      <c r="CL4" s="14">
        <f t="shared" si="34"/>
        <v>1.1833203008382753E-2</v>
      </c>
      <c r="CM4" s="14">
        <f t="shared" si="35"/>
        <v>1.6125308502590752E-2</v>
      </c>
      <c r="CN4" s="19"/>
      <c r="CO4" s="12"/>
      <c r="CP4" s="12"/>
      <c r="CS4" s="17"/>
      <c r="CT4" s="20"/>
      <c r="CU4" s="20"/>
      <c r="CV4" s="21"/>
      <c r="DC4" s="14"/>
      <c r="DD4" s="14"/>
      <c r="DE4" s="14"/>
      <c r="DF4" s="14"/>
      <c r="DK4" s="12"/>
      <c r="ET4" s="1">
        <f t="shared" si="36"/>
        <v>3.0990072661864975E-5</v>
      </c>
      <c r="EU4" s="1">
        <f t="shared" si="37"/>
        <v>1.4018989790257367E-3</v>
      </c>
      <c r="EV4" s="1">
        <f t="shared" si="38"/>
        <v>0.15675217796608687</v>
      </c>
      <c r="EW4" s="1">
        <f t="shared" si="39"/>
        <v>2.2108597051983679E-3</v>
      </c>
      <c r="EX4" s="1">
        <f t="shared" si="40"/>
        <v>2.0107267149496844</v>
      </c>
      <c r="EY4" s="1">
        <f t="shared" si="41"/>
        <v>0.64959770428514574</v>
      </c>
      <c r="EZ4" s="1">
        <f t="shared" si="42"/>
        <v>7.0877891430649917E-2</v>
      </c>
      <c r="FA4" s="1">
        <f t="shared" si="43"/>
        <v>1.103793928964024</v>
      </c>
      <c r="FB4" s="1">
        <f t="shared" si="44"/>
        <v>0.354691266282949</v>
      </c>
      <c r="FC4" s="1">
        <f t="shared" si="45"/>
        <v>0.18296168764068879</v>
      </c>
      <c r="FD4" s="1">
        <f t="shared" si="46"/>
        <v>0.15186501110951339</v>
      </c>
      <c r="FE4" s="1">
        <f t="shared" si="47"/>
        <v>0.7072965541036792</v>
      </c>
      <c r="FF4" s="1">
        <f t="shared" si="48"/>
        <v>0.1759325055547567</v>
      </c>
      <c r="FG4" s="1">
        <f t="shared" si="49"/>
        <v>-0.1759325055547567</v>
      </c>
      <c r="FH4" s="1">
        <f t="shared" si="50"/>
        <v>0.65364827705183959</v>
      </c>
      <c r="FI4" s="1">
        <f t="shared" si="51"/>
        <v>1.4180009573162087</v>
      </c>
      <c r="FJ4" s="1">
        <f t="shared" si="52"/>
        <v>0.80597624300294712</v>
      </c>
      <c r="FK4" s="1">
        <f t="shared" si="53"/>
        <v>0.2662290206394673</v>
      </c>
      <c r="FL4" s="1">
        <f t="shared" si="54"/>
        <v>1.0013487153693352</v>
      </c>
      <c r="FM4" s="1">
        <f t="shared" si="55"/>
        <v>0.29127410156319716</v>
      </c>
      <c r="FN4" s="1">
        <f t="shared" si="56"/>
        <v>0.28773531175100037</v>
      </c>
      <c r="FO4" s="1">
        <f t="shared" si="57"/>
        <v>0.28947077918448599</v>
      </c>
    </row>
    <row r="5" spans="1:171" x14ac:dyDescent="0.25">
      <c r="A5" s="11">
        <v>2.4965695569728967</v>
      </c>
      <c r="B5" s="3">
        <v>90</v>
      </c>
      <c r="C5" s="12">
        <v>0.19712306763281529</v>
      </c>
      <c r="D5" s="12">
        <v>0.40093724266502045</v>
      </c>
      <c r="E5" s="11">
        <v>2.4965695569728967</v>
      </c>
      <c r="F5" s="12">
        <v>0.21874572005565329</v>
      </c>
      <c r="G5" s="12">
        <v>0.50583364660407459</v>
      </c>
      <c r="H5" s="12">
        <f t="shared" si="90"/>
        <v>0.22862378849011855</v>
      </c>
      <c r="I5" s="12">
        <f t="shared" si="91"/>
        <v>0.46500793877458718</v>
      </c>
      <c r="J5" s="12">
        <f t="shared" si="0"/>
        <v>7.1834787269226374E-2</v>
      </c>
      <c r="K5" s="13">
        <f t="shared" si="58"/>
        <v>6.2530279603549899E-2</v>
      </c>
      <c r="L5" s="13">
        <f>SUM(K$3:$K5)</f>
        <v>0.18566325726509691</v>
      </c>
      <c r="M5" s="72">
        <f t="shared" si="92"/>
        <v>0.700349044840749</v>
      </c>
      <c r="N5" s="12">
        <f t="shared" si="59"/>
        <v>1.5618171297467797E-4</v>
      </c>
      <c r="O5" s="21">
        <f t="shared" si="60"/>
        <v>8.8434243448866546E-9</v>
      </c>
      <c r="P5" s="11">
        <f>SUM(O$2:$O5)</f>
        <v>3.7422928713280205E-8</v>
      </c>
      <c r="Q5" s="12">
        <f t="shared" si="61"/>
        <v>1.0052029970622424E-3</v>
      </c>
      <c r="R5" s="3">
        <f t="shared" si="1"/>
        <v>0.34351335180625775</v>
      </c>
      <c r="S5" s="1">
        <f t="shared" si="62"/>
        <v>1.4791223889442043E-3</v>
      </c>
      <c r="T5" s="1">
        <f t="shared" si="63"/>
        <v>0.98452249725094687</v>
      </c>
      <c r="U5" s="1">
        <f t="shared" si="64"/>
        <v>4.2412394286289821E-3</v>
      </c>
      <c r="V5" s="11">
        <f t="shared" si="65"/>
        <v>6.1857398048342489</v>
      </c>
      <c r="W5" s="12">
        <f t="shared" si="66"/>
        <v>4.2625461615122595E-2</v>
      </c>
      <c r="X5" s="13">
        <f t="shared" si="2"/>
        <v>-5.2266387910415713E-3</v>
      </c>
      <c r="Y5" s="12" t="e">
        <f>(SQRT((Q5/M5)^2 + (0.0002/F5)^2))*#REF!</f>
        <v>#REF!</v>
      </c>
      <c r="Z5" s="12">
        <f t="shared" si="3"/>
        <v>4.1224874382217429E-3</v>
      </c>
      <c r="AA5" s="12">
        <f t="shared" si="67"/>
        <v>1.0298110158782171E-2</v>
      </c>
      <c r="AB5" s="12">
        <f t="shared" si="4"/>
        <v>4.5133203912659792E-3</v>
      </c>
      <c r="AC5" s="14">
        <f t="shared" si="68"/>
        <v>6.1266506820310092</v>
      </c>
      <c r="AD5" s="1">
        <f t="shared" si="69"/>
        <v>3.0122025300744104</v>
      </c>
      <c r="AE5" s="14">
        <f t="shared" si="70"/>
        <v>2.7690884129300528</v>
      </c>
      <c r="AF5" s="14">
        <f t="shared" si="5"/>
        <v>56.125469366935512</v>
      </c>
      <c r="AG5" s="14">
        <f t="shared" si="6"/>
        <v>232.18699266725477</v>
      </c>
      <c r="AH5" s="14">
        <f t="shared" si="7"/>
        <v>232.18699266725477</v>
      </c>
      <c r="AI5" s="14">
        <f t="shared" si="8"/>
        <v>56.125469366935512</v>
      </c>
      <c r="AJ5" s="14">
        <f t="shared" si="9"/>
        <v>47.431328912856969</v>
      </c>
      <c r="AK5" s="14">
        <f t="shared" si="71"/>
        <v>128.6301943874623</v>
      </c>
      <c r="AL5" s="14">
        <f t="shared" si="72"/>
        <v>249.5752735754119</v>
      </c>
      <c r="AM5" s="7"/>
      <c r="AN5" s="12">
        <f t="shared" si="73"/>
        <v>0.700349044840749</v>
      </c>
      <c r="AO5" s="14">
        <f t="shared" si="10"/>
        <v>0.34351335180625775</v>
      </c>
      <c r="AP5" s="14">
        <f t="shared" si="74"/>
        <v>1.0157208218118636</v>
      </c>
      <c r="AQ5" s="11">
        <f t="shared" si="93"/>
        <v>6.1857398048342489</v>
      </c>
      <c r="AR5" s="14">
        <f t="shared" si="11"/>
        <v>2.5633423913183835</v>
      </c>
      <c r="AS5" s="14">
        <f t="shared" si="12"/>
        <v>-5.2266387673991499E-3</v>
      </c>
      <c r="AT5" s="82">
        <f t="shared" si="13"/>
        <v>250.75581323497872</v>
      </c>
      <c r="AU5" s="82">
        <f t="shared" si="14"/>
        <v>47.374279229106889</v>
      </c>
      <c r="AV5" s="82">
        <f t="shared" si="15"/>
        <v>128.73557256177227</v>
      </c>
      <c r="AW5" s="14">
        <f t="shared" si="75"/>
        <v>1.1805396595668185</v>
      </c>
      <c r="AX5" s="14">
        <f t="shared" si="76"/>
        <v>-5.7049683750079794E-2</v>
      </c>
      <c r="AY5" s="14">
        <f t="shared" si="77"/>
        <v>0.1053781743099762</v>
      </c>
      <c r="AZ5" s="11">
        <f t="shared" si="78"/>
        <v>6.6772834345486753E-2</v>
      </c>
      <c r="BA5" s="92"/>
      <c r="BB5" s="2"/>
      <c r="BC5" s="12">
        <v>0.21874572005565329</v>
      </c>
      <c r="BD5" s="12">
        <v>0.50583364660407459</v>
      </c>
      <c r="BE5" s="12">
        <f t="shared" si="79"/>
        <v>0.22862378849011855</v>
      </c>
      <c r="BF5" s="12">
        <f t="shared" si="80"/>
        <v>0.46500793877458718</v>
      </c>
      <c r="BG5" s="12">
        <v>0.700349044840749</v>
      </c>
      <c r="BH5" s="14">
        <f t="shared" si="16"/>
        <v>0.34351335180625775</v>
      </c>
      <c r="BI5" s="14">
        <f t="shared" si="17"/>
        <v>1.0157208218118636</v>
      </c>
      <c r="BJ5" s="11">
        <f t="shared" si="81"/>
        <v>6.1857398048342489</v>
      </c>
      <c r="BK5" s="11">
        <f t="shared" si="18"/>
        <v>2.5640886825154405</v>
      </c>
      <c r="BL5" s="12">
        <f t="shared" si="19"/>
        <v>-5.2266387673991499E-3</v>
      </c>
      <c r="BM5" s="11">
        <f t="shared" si="20"/>
        <v>6.7519125542543801E-2</v>
      </c>
      <c r="BN5" s="14">
        <f t="shared" si="94"/>
        <v>6.1266506820310092</v>
      </c>
      <c r="BO5" s="14">
        <f t="shared" si="95"/>
        <v>3.0122025300744104</v>
      </c>
      <c r="BP5" s="14">
        <f t="shared" si="96"/>
        <v>2.7690884129300528</v>
      </c>
      <c r="BQ5" s="14">
        <f t="shared" si="82"/>
        <v>232.18699266725477</v>
      </c>
      <c r="BR5" s="14">
        <f t="shared" si="83"/>
        <v>56.125469366935512</v>
      </c>
      <c r="BS5" s="14">
        <f t="shared" si="84"/>
        <v>47.431328912856969</v>
      </c>
      <c r="BT5" s="14">
        <f t="shared" si="85"/>
        <v>128.6301943874623</v>
      </c>
      <c r="BU5" s="14">
        <f t="shared" si="86"/>
        <v>249.5752735754119</v>
      </c>
      <c r="BV5" s="18">
        <f t="shared" si="22"/>
        <v>250.93409784703886</v>
      </c>
      <c r="BW5" s="18">
        <f t="shared" si="23"/>
        <v>47.396786309038859</v>
      </c>
      <c r="BX5" s="18">
        <f t="shared" si="24"/>
        <v>128.84886344131374</v>
      </c>
      <c r="BY5" s="11">
        <f t="shared" si="87"/>
        <v>1.3588242716269576</v>
      </c>
      <c r="BZ5" s="11">
        <f t="shared" si="88"/>
        <v>-3.4542603818110251E-2</v>
      </c>
      <c r="CA5" s="11">
        <f t="shared" si="89"/>
        <v>0.21866905385144264</v>
      </c>
      <c r="CB5" s="11">
        <f t="shared" si="25"/>
        <v>169.54394157655545</v>
      </c>
      <c r="CC5" s="11">
        <f t="shared" si="26"/>
        <v>6.3691872260766331</v>
      </c>
      <c r="CD5" s="11">
        <f t="shared" si="27"/>
        <v>2.7680799134061087</v>
      </c>
      <c r="CE5" s="11">
        <f t="shared" si="28"/>
        <v>6.1339379016261688</v>
      </c>
      <c r="CF5" s="11">
        <f t="shared" si="29"/>
        <v>3.022076186953051</v>
      </c>
      <c r="CG5" s="11">
        <f t="shared" si="30"/>
        <v>52.855118666568345</v>
      </c>
      <c r="CH5" s="11">
        <f t="shared" si="31"/>
        <v>52.05111285247478</v>
      </c>
      <c r="CI5" s="11">
        <f t="shared" si="32"/>
        <v>52.453115759521566</v>
      </c>
      <c r="CJ5" s="14"/>
      <c r="CK5" s="14">
        <f t="shared" si="33"/>
        <v>-1.0084995239441064E-3</v>
      </c>
      <c r="CL5" s="14">
        <f t="shared" si="34"/>
        <v>7.2872195951596552E-3</v>
      </c>
      <c r="CM5" s="14">
        <f t="shared" si="35"/>
        <v>9.8736568786406131E-3</v>
      </c>
      <c r="CN5" s="19"/>
      <c r="CO5" s="12"/>
      <c r="CP5" s="12"/>
      <c r="CS5" s="17"/>
      <c r="CT5" s="20"/>
      <c r="CU5" s="20"/>
      <c r="CV5" s="21"/>
      <c r="DC5" s="14"/>
      <c r="DD5" s="14"/>
      <c r="DE5" s="14"/>
      <c r="DF5" s="14"/>
      <c r="DK5" s="12"/>
      <c r="ET5" s="1">
        <f t="shared" si="36"/>
        <v>3.1004403934763584E-5</v>
      </c>
      <c r="EU5" s="1">
        <f t="shared" si="37"/>
        <v>1.4068090067187108E-3</v>
      </c>
      <c r="EV5" s="1">
        <f t="shared" si="38"/>
        <v>0.16502620836459866</v>
      </c>
      <c r="EW5" s="1">
        <f t="shared" si="39"/>
        <v>2.3308762664739418E-3</v>
      </c>
      <c r="EX5" s="1">
        <f t="shared" si="40"/>
        <v>2.1111735935282896</v>
      </c>
      <c r="EY5" s="1">
        <f t="shared" si="41"/>
        <v>0.68175429409255739</v>
      </c>
      <c r="EZ5" s="1">
        <f t="shared" si="42"/>
        <v>7.1158376510741195E-2</v>
      </c>
      <c r="FA5" s="1">
        <f t="shared" si="43"/>
        <v>1.1585098475762605</v>
      </c>
      <c r="FB5" s="1">
        <f t="shared" si="44"/>
        <v>0.36420680796099586</v>
      </c>
      <c r="FC5" s="1">
        <f t="shared" si="45"/>
        <v>0.18775419264593729</v>
      </c>
      <c r="FD5" s="1">
        <f t="shared" si="46"/>
        <v>0.14736719781244381</v>
      </c>
      <c r="FE5" s="1">
        <f t="shared" si="47"/>
        <v>0.71863424682682409</v>
      </c>
      <c r="FF5" s="1">
        <f t="shared" si="48"/>
        <v>0.17368359890622193</v>
      </c>
      <c r="FG5" s="1">
        <f t="shared" si="49"/>
        <v>-0.17368359890622193</v>
      </c>
      <c r="FH5" s="1">
        <f t="shared" si="50"/>
        <v>0.65931712341341209</v>
      </c>
      <c r="FI5" s="1">
        <f t="shared" si="51"/>
        <v>1.4529878160288507</v>
      </c>
      <c r="FJ5" s="1">
        <f t="shared" si="52"/>
        <v>0.82568413699946874</v>
      </c>
      <c r="FK5" s="1">
        <f t="shared" si="53"/>
        <v>0.26675527456967218</v>
      </c>
      <c r="FL5" s="1">
        <f t="shared" si="54"/>
        <v>1.0258996139001104</v>
      </c>
      <c r="FM5" s="1">
        <f t="shared" si="55"/>
        <v>0.29496096507540437</v>
      </c>
      <c r="FN5" s="1">
        <f t="shared" si="56"/>
        <v>0.29061623121964653</v>
      </c>
      <c r="FO5" s="1">
        <f t="shared" si="57"/>
        <v>0.29274700379141982</v>
      </c>
    </row>
    <row r="6" spans="1:171" s="27" customFormat="1" x14ac:dyDescent="0.25">
      <c r="A6" s="22">
        <v>3.4435442165143506</v>
      </c>
      <c r="B6" s="23">
        <v>120</v>
      </c>
      <c r="C6" s="24">
        <v>0.19552144194493176</v>
      </c>
      <c r="D6" s="24">
        <v>0.39786989204462686</v>
      </c>
      <c r="E6" s="22">
        <v>3.4435442165143506</v>
      </c>
      <c r="F6" s="12">
        <v>0.21654572005565328</v>
      </c>
      <c r="G6" s="12">
        <v>0.50523364660407455</v>
      </c>
      <c r="H6" s="12">
        <f t="shared" si="90"/>
        <v>0.22676621932328164</v>
      </c>
      <c r="I6" s="12">
        <f t="shared" si="91"/>
        <v>0.46145041845044033</v>
      </c>
      <c r="J6" s="12">
        <f t="shared" si="0"/>
        <v>7.0307809725521794E-2</v>
      </c>
      <c r="K6" s="13">
        <f t="shared" si="58"/>
        <v>6.7302718697719865E-2</v>
      </c>
      <c r="L6" s="13">
        <f>SUM(K$3:$K6)</f>
        <v>0.25296597596281678</v>
      </c>
      <c r="M6" s="72">
        <f t="shared" si="92"/>
        <v>0.69903491175820132</v>
      </c>
      <c r="N6" s="12">
        <f t="shared" si="59"/>
        <v>1.5276458095088427E-4</v>
      </c>
      <c r="O6" s="21">
        <f t="shared" si="60"/>
        <v>1.0265500870415706E-8</v>
      </c>
      <c r="P6" s="11">
        <f>SUM(O$2:$O6)</f>
        <v>4.7688429583695914E-8</v>
      </c>
      <c r="Q6" s="12">
        <f t="shared" si="61"/>
        <v>1.0070833575766499E-3</v>
      </c>
      <c r="R6" s="3">
        <f t="shared" si="1"/>
        <v>0.3415832753158376</v>
      </c>
      <c r="S6" s="1">
        <f t="shared" si="62"/>
        <v>1.4763332675268217E-3</v>
      </c>
      <c r="T6" s="1">
        <f t="shared" si="63"/>
        <v>0.97899082368937451</v>
      </c>
      <c r="U6" s="1">
        <f t="shared" si="64"/>
        <v>4.233245699219226E-3</v>
      </c>
      <c r="V6" s="11">
        <f t="shared" si="65"/>
        <v>6.2206916067400284</v>
      </c>
      <c r="W6" s="24">
        <f t="shared" si="66"/>
        <v>4.2929216120925873E-2</v>
      </c>
      <c r="X6" s="25">
        <f t="shared" si="2"/>
        <v>-7.1280005294949156E-3</v>
      </c>
      <c r="Y6" s="24" t="e">
        <f>(SQRT((Q6/M6)^2 + (0.0002/F6)^2))*#REF!</f>
        <v>#REF!</v>
      </c>
      <c r="Z6" s="24">
        <f t="shared" si="3"/>
        <v>4.1343591000642327E-3</v>
      </c>
      <c r="AA6" s="24">
        <f t="shared" si="67"/>
        <v>1.0414365306794487E-2</v>
      </c>
      <c r="AB6" s="24">
        <f t="shared" si="4"/>
        <v>4.558105537704648E-3</v>
      </c>
      <c r="AC6" s="28">
        <f t="shared" si="68"/>
        <v>6.1652473092709252</v>
      </c>
      <c r="AD6" s="27">
        <f t="shared" si="69"/>
        <v>3.0297292355073573</v>
      </c>
      <c r="AE6" s="28">
        <f t="shared" si="70"/>
        <v>2.7671748168664578</v>
      </c>
      <c r="AF6" s="28">
        <f t="shared" si="5"/>
        <v>57.101340913394523</v>
      </c>
      <c r="AG6" s="28">
        <f t="shared" si="6"/>
        <v>236.45019483337285</v>
      </c>
      <c r="AH6" s="14">
        <f t="shared" si="7"/>
        <v>236.45019483337285</v>
      </c>
      <c r="AI6" s="14">
        <f t="shared" si="8"/>
        <v>57.101340913394523</v>
      </c>
      <c r="AJ6" s="14">
        <f t="shared" si="9"/>
        <v>47.633431035544241</v>
      </c>
      <c r="AK6" s="14">
        <f t="shared" si="71"/>
        <v>131.71542288443408</v>
      </c>
      <c r="AL6" s="14">
        <f t="shared" si="72"/>
        <v>255.38601458907343</v>
      </c>
      <c r="AM6" s="7"/>
      <c r="AN6" s="12">
        <f t="shared" si="73"/>
        <v>0.69903491175820132</v>
      </c>
      <c r="AO6" s="28">
        <f t="shared" si="10"/>
        <v>0.3415832753158376</v>
      </c>
      <c r="AP6" s="14">
        <f t="shared" si="74"/>
        <v>1.0214600339474598</v>
      </c>
      <c r="AQ6" s="11">
        <f t="shared" si="93"/>
        <v>6.2206916067400284</v>
      </c>
      <c r="AR6" s="14">
        <f t="shared" si="11"/>
        <v>3.5284257414483258</v>
      </c>
      <c r="AS6" s="28">
        <f t="shared" si="12"/>
        <v>-7.1280004971914224E-3</v>
      </c>
      <c r="AT6" s="82">
        <f t="shared" si="13"/>
        <v>256.05921546759441</v>
      </c>
      <c r="AU6" s="82">
        <f t="shared" si="14"/>
        <v>47.565461272281141</v>
      </c>
      <c r="AV6" s="82">
        <f t="shared" si="15"/>
        <v>131.71775585716512</v>
      </c>
      <c r="AW6" s="14">
        <f t="shared" si="75"/>
        <v>0.67320087852098709</v>
      </c>
      <c r="AX6" s="14">
        <f t="shared" si="76"/>
        <v>-6.7969763263100447E-2</v>
      </c>
      <c r="AY6" s="14">
        <f t="shared" si="77"/>
        <v>2.3329727310397175E-3</v>
      </c>
      <c r="AZ6" s="11">
        <f t="shared" si="78"/>
        <v>8.4881524933975161E-2</v>
      </c>
      <c r="BA6" s="92"/>
      <c r="BB6" s="2"/>
      <c r="BC6" s="55">
        <v>0.21654572005565328</v>
      </c>
      <c r="BD6" s="55">
        <v>0.50523364660407455</v>
      </c>
      <c r="BE6" s="12">
        <f t="shared" si="79"/>
        <v>0.22676621932328164</v>
      </c>
      <c r="BF6" s="12">
        <f t="shared" si="80"/>
        <v>0.46145041845044033</v>
      </c>
      <c r="BG6" s="24">
        <v>0.69924075053550661</v>
      </c>
      <c r="BH6" s="28">
        <f t="shared" si="16"/>
        <v>0.34188511341499156</v>
      </c>
      <c r="BI6" s="28">
        <f t="shared" si="17"/>
        <v>1.0205582235353925</v>
      </c>
      <c r="BJ6" s="11">
        <f t="shared" si="81"/>
        <v>6.2151995813305394</v>
      </c>
      <c r="BK6" s="22">
        <f t="shared" si="18"/>
        <v>3.3772586268564373</v>
      </c>
      <c r="BL6" s="12">
        <f t="shared" si="19"/>
        <v>-6.8294731497953176E-3</v>
      </c>
      <c r="BM6" s="22">
        <f t="shared" si="20"/>
        <v>-6.6285589657913313E-2</v>
      </c>
      <c r="BN6" s="14">
        <f t="shared" si="94"/>
        <v>6.1670627364356907</v>
      </c>
      <c r="BO6" s="14">
        <f t="shared" si="95"/>
        <v>3.030621373726655</v>
      </c>
      <c r="BP6" s="14">
        <f t="shared" si="96"/>
        <v>2.7679896429521267</v>
      </c>
      <c r="BQ6" s="14">
        <f t="shared" si="82"/>
        <v>236.38058988120036</v>
      </c>
      <c r="BR6" s="14">
        <f t="shared" si="83"/>
        <v>57.084531724017175</v>
      </c>
      <c r="BS6" s="14">
        <f t="shared" si="84"/>
        <v>47.61940895917683</v>
      </c>
      <c r="BT6" s="14">
        <f t="shared" si="85"/>
        <v>131.67664919800634</v>
      </c>
      <c r="BU6" s="14">
        <f t="shared" si="86"/>
        <v>255.310835410881</v>
      </c>
      <c r="BV6" s="32">
        <f t="shared" si="22"/>
        <v>255.4797147261246</v>
      </c>
      <c r="BW6" s="32">
        <f t="shared" si="23"/>
        <v>47.555199662028457</v>
      </c>
      <c r="BX6" s="32">
        <f t="shared" si="24"/>
        <v>131.40435176563705</v>
      </c>
      <c r="BY6" s="11">
        <f t="shared" si="87"/>
        <v>0.16887931524360056</v>
      </c>
      <c r="BZ6" s="11">
        <f t="shared" si="88"/>
        <v>-6.4209297148373423E-2</v>
      </c>
      <c r="CA6" s="11">
        <f t="shared" si="89"/>
        <v>-0.27229743236929949</v>
      </c>
      <c r="CB6" s="22">
        <f t="shared" si="25"/>
        <v>172.76280608579955</v>
      </c>
      <c r="CC6" s="22">
        <f t="shared" si="26"/>
        <v>6.4113675043478331</v>
      </c>
      <c r="CD6" s="22">
        <f t="shared" si="27"/>
        <v>2.7661228555838768</v>
      </c>
      <c r="CE6" s="22">
        <f t="shared" si="28"/>
        <v>6.1643116819451453</v>
      </c>
      <c r="CF6" s="22">
        <f t="shared" si="29"/>
        <v>3.0339553811762867</v>
      </c>
      <c r="CG6" s="22">
        <f t="shared" si="30"/>
        <v>53.34819238931459</v>
      </c>
      <c r="CH6" s="22">
        <f t="shared" si="31"/>
        <v>52.453207489874849</v>
      </c>
      <c r="CI6" s="22">
        <f t="shared" si="32"/>
        <v>52.900699939594716</v>
      </c>
      <c r="CJ6" s="28"/>
      <c r="CK6" s="28">
        <f t="shared" si="33"/>
        <v>-1.0519612825810043E-3</v>
      </c>
      <c r="CL6" s="28">
        <f t="shared" si="34"/>
        <v>-9.3562732577989749E-4</v>
      </c>
      <c r="CM6" s="28">
        <f t="shared" si="35"/>
        <v>4.2261456689294263E-3</v>
      </c>
      <c r="CN6" s="19"/>
      <c r="CO6" s="24"/>
      <c r="CP6" s="24"/>
      <c r="CS6" s="31"/>
      <c r="CT6" s="33"/>
      <c r="CU6" s="33"/>
      <c r="CV6" s="26"/>
      <c r="DC6" s="28"/>
      <c r="DD6" s="28"/>
      <c r="DE6" s="28"/>
      <c r="DF6" s="28"/>
      <c r="DK6" s="24"/>
      <c r="DN6" s="1"/>
      <c r="ET6" s="27">
        <f t="shared" si="36"/>
        <v>3.1019900132466376E-5</v>
      </c>
      <c r="EU6" s="27">
        <f t="shared" si="37"/>
        <v>1.4221951132127267E-3</v>
      </c>
      <c r="EV6" s="27">
        <f t="shared" si="38"/>
        <v>0.17395728306459904</v>
      </c>
      <c r="EW6" s="27">
        <f t="shared" si="39"/>
        <v>2.4499798257752543E-3</v>
      </c>
      <c r="EX6" s="27">
        <f t="shared" si="40"/>
        <v>2.212626419465987</v>
      </c>
      <c r="EY6" s="27">
        <f t="shared" si="41"/>
        <v>0.71599223585337413</v>
      </c>
      <c r="EZ6" s="27">
        <f t="shared" si="42"/>
        <v>7.1804603713197052E-2</v>
      </c>
      <c r="FA6" s="27">
        <f t="shared" si="43"/>
        <v>1.2153577040274028</v>
      </c>
      <c r="FB6" s="27">
        <f t="shared" si="44"/>
        <v>0.37450996865057734</v>
      </c>
      <c r="FC6" s="27">
        <f t="shared" si="45"/>
        <v>0.19319844234316369</v>
      </c>
      <c r="FD6" s="27">
        <f t="shared" si="46"/>
        <v>0.14390763098905288</v>
      </c>
      <c r="FE6" s="27">
        <f t="shared" si="47"/>
        <v>0.72753557603933883</v>
      </c>
      <c r="FF6" s="27">
        <f t="shared" si="48"/>
        <v>0.17195381549452643</v>
      </c>
      <c r="FG6" s="27">
        <f t="shared" si="49"/>
        <v>-0.17195381549452643</v>
      </c>
      <c r="FH6" s="27">
        <f t="shared" si="50"/>
        <v>0.6637677880196694</v>
      </c>
      <c r="FI6" s="27">
        <f t="shared" si="51"/>
        <v>1.4874899728959476</v>
      </c>
      <c r="FJ6" s="27">
        <f t="shared" si="52"/>
        <v>0.84616324421081668</v>
      </c>
      <c r="FK6" s="27">
        <f t="shared" si="53"/>
        <v>0.26796381045431683</v>
      </c>
      <c r="FL6" s="27">
        <f t="shared" si="54"/>
        <v>1.0508211698470813</v>
      </c>
      <c r="FM6" s="27">
        <f t="shared" si="55"/>
        <v>0.29879851663137896</v>
      </c>
      <c r="FN6" s="27">
        <f t="shared" si="56"/>
        <v>0.29374123413566006</v>
      </c>
      <c r="FO6" s="27">
        <f t="shared" si="57"/>
        <v>0.29622143335381168</v>
      </c>
    </row>
    <row r="7" spans="1:171" x14ac:dyDescent="0.25">
      <c r="A7" s="11">
        <v>4.4335631787622765</v>
      </c>
      <c r="B7" s="3">
        <v>150</v>
      </c>
      <c r="C7" s="12">
        <v>0.19396667455229902</v>
      </c>
      <c r="D7" s="12">
        <v>0.39485534054200722</v>
      </c>
      <c r="E7" s="11">
        <v>4.4335631787622765</v>
      </c>
      <c r="F7" s="12">
        <v>0.21474572005565329</v>
      </c>
      <c r="G7" s="12">
        <v>0.50523364660407455</v>
      </c>
      <c r="H7" s="12">
        <f t="shared" si="90"/>
        <v>0.22496299651535173</v>
      </c>
      <c r="I7" s="12">
        <f t="shared" si="91"/>
        <v>0.45795413466486506</v>
      </c>
      <c r="J7" s="12">
        <f t="shared" si="0"/>
        <v>6.8793892507287013E-2</v>
      </c>
      <c r="K7" s="13">
        <f t="shared" si="58"/>
        <v>6.8856661445722681E-2</v>
      </c>
      <c r="L7" s="13">
        <f>SUM(K$3:$K7)</f>
        <v>0.32182263740853945</v>
      </c>
      <c r="M7" s="72">
        <f t="shared" si="92"/>
        <v>0.69769553085384417</v>
      </c>
      <c r="N7" s="12">
        <f t="shared" si="59"/>
        <v>1.4984065271274547E-4</v>
      </c>
      <c r="O7" s="21">
        <f t="shared" si="60"/>
        <v>1.0840844214984978E-8</v>
      </c>
      <c r="P7" s="11">
        <f>SUM(O$2:$O7)</f>
        <v>5.8529273798680891E-8</v>
      </c>
      <c r="Q7" s="12">
        <f t="shared" si="61"/>
        <v>1.0090034764039212E-3</v>
      </c>
      <c r="R7" s="3">
        <f t="shared" si="1"/>
        <v>0.33962357033098339</v>
      </c>
      <c r="S7" s="1">
        <f t="shared" si="62"/>
        <v>1.4734852724939988E-3</v>
      </c>
      <c r="T7" s="1">
        <f t="shared" si="63"/>
        <v>0.97337423372156451</v>
      </c>
      <c r="U7" s="1">
        <f t="shared" si="64"/>
        <v>4.2250832357600045E-3</v>
      </c>
      <c r="V7" s="11">
        <f t="shared" si="65"/>
        <v>6.2565864073838373</v>
      </c>
      <c r="W7" s="12">
        <f t="shared" si="66"/>
        <v>4.3241865799697715E-2</v>
      </c>
      <c r="X7" s="13">
        <f t="shared" si="2"/>
        <v>-9.0769582243251934E-3</v>
      </c>
      <c r="Y7" s="12" t="e">
        <f>(SQRT((Q7/M7)^2 + (0.0002/F7)^2))*#REF!</f>
        <v>#REF!</v>
      </c>
      <c r="Z7" s="12">
        <f t="shared" si="3"/>
        <v>4.1411342488890607E-3</v>
      </c>
      <c r="AA7" s="12">
        <f t="shared" si="67"/>
        <v>1.0529832087588798E-2</v>
      </c>
      <c r="AB7" s="12">
        <f t="shared" si="4"/>
        <v>4.6031116018348372E-3</v>
      </c>
      <c r="AC7" s="14">
        <f t="shared" si="68"/>
        <v>6.2027581572174926</v>
      </c>
      <c r="AD7" s="1">
        <f t="shared" si="69"/>
        <v>3.0470105106242746</v>
      </c>
      <c r="AE7" s="14">
        <f t="shared" si="70"/>
        <v>2.761872791107248</v>
      </c>
      <c r="AF7" s="14">
        <f t="shared" si="5"/>
        <v>58.08785657867481</v>
      </c>
      <c r="AG7" s="14">
        <f t="shared" si="6"/>
        <v>240.71721154344485</v>
      </c>
      <c r="AH7" s="14">
        <f t="shared" si="7"/>
        <v>240.71721154344482</v>
      </c>
      <c r="AI7" s="14">
        <f t="shared" si="8"/>
        <v>58.08785657867481</v>
      </c>
      <c r="AJ7" s="14">
        <f t="shared" si="9"/>
        <v>47.724873943111589</v>
      </c>
      <c r="AK7" s="14">
        <f t="shared" si="71"/>
        <v>134.90448102165843</v>
      </c>
      <c r="AL7" s="14">
        <f t="shared" si="72"/>
        <v>261.4431768145713</v>
      </c>
      <c r="AM7" s="7"/>
      <c r="AN7" s="12">
        <f t="shared" si="73"/>
        <v>0.69769553085384417</v>
      </c>
      <c r="AO7" s="14">
        <f t="shared" si="10"/>
        <v>0.33962357033098339</v>
      </c>
      <c r="AP7" s="14">
        <f t="shared" si="74"/>
        <v>1.0273540898824036</v>
      </c>
      <c r="AQ7" s="11">
        <f t="shared" si="93"/>
        <v>6.2565864073838373</v>
      </c>
      <c r="AR7" s="14">
        <f t="shared" si="11"/>
        <v>4.5359445371698204</v>
      </c>
      <c r="AS7" s="14">
        <f t="shared" si="12"/>
        <v>-9.076958183110384E-3</v>
      </c>
      <c r="AT7" s="82">
        <f t="shared" si="13"/>
        <v>261.55951715783618</v>
      </c>
      <c r="AU7" s="82">
        <f t="shared" si="14"/>
        <v>47.748090042711773</v>
      </c>
      <c r="AV7" s="82">
        <f t="shared" si="15"/>
        <v>134.81869515414337</v>
      </c>
      <c r="AW7" s="14">
        <f t="shared" si="75"/>
        <v>0.11634034326488063</v>
      </c>
      <c r="AX7" s="14">
        <f t="shared" si="76"/>
        <v>2.3216099600183782E-2</v>
      </c>
      <c r="AY7" s="14">
        <f t="shared" si="77"/>
        <v>-8.578586751505668E-2</v>
      </c>
      <c r="AZ7" s="11">
        <f t="shared" si="78"/>
        <v>0.10238135840754392</v>
      </c>
      <c r="BA7" s="92"/>
      <c r="BB7" s="2"/>
      <c r="BC7" s="12">
        <v>0.21474572005565329</v>
      </c>
      <c r="BD7" s="12">
        <v>0.50523364660407455</v>
      </c>
      <c r="BE7" s="12">
        <f t="shared" si="79"/>
        <v>0.22496299651535173</v>
      </c>
      <c r="BF7" s="12">
        <f t="shared" si="80"/>
        <v>0.45795413466486506</v>
      </c>
      <c r="BG7" s="12">
        <v>0.69780775673459283</v>
      </c>
      <c r="BH7" s="14">
        <f t="shared" si="16"/>
        <v>0.33978748431820555</v>
      </c>
      <c r="BI7" s="14">
        <f t="shared" si="17"/>
        <v>1.0268584927432109</v>
      </c>
      <c r="BJ7" s="11">
        <f t="shared" si="81"/>
        <v>6.2535682208061534</v>
      </c>
      <c r="BK7" s="11">
        <f t="shared" si="18"/>
        <v>4.4535102279208623</v>
      </c>
      <c r="BL7" s="12">
        <f t="shared" si="19"/>
        <v>-8.9132253631646341E-3</v>
      </c>
      <c r="BM7" s="11">
        <f t="shared" si="20"/>
        <v>1.9947049158585806E-2</v>
      </c>
      <c r="BN7" s="14">
        <f t="shared" si="94"/>
        <v>6.2037558846881167</v>
      </c>
      <c r="BO7" s="14">
        <f t="shared" si="95"/>
        <v>3.0475006290542819</v>
      </c>
      <c r="BP7" s="14">
        <f t="shared" si="96"/>
        <v>2.7623170444997247</v>
      </c>
      <c r="BQ7" s="14">
        <f t="shared" si="82"/>
        <v>240.67849787078052</v>
      </c>
      <c r="BR7" s="14">
        <f t="shared" si="83"/>
        <v>58.078514520203214</v>
      </c>
      <c r="BS7" s="14">
        <f t="shared" si="84"/>
        <v>47.717198525404918</v>
      </c>
      <c r="BT7" s="14">
        <f t="shared" si="85"/>
        <v>134.88278482517239</v>
      </c>
      <c r="BU7" s="14">
        <f t="shared" si="86"/>
        <v>261.40112986037713</v>
      </c>
      <c r="BV7" s="18">
        <f t="shared" si="22"/>
        <v>261.45854794569181</v>
      </c>
      <c r="BW7" s="18">
        <f t="shared" si="23"/>
        <v>47.747765287551275</v>
      </c>
      <c r="BX7" s="18">
        <f t="shared" si="24"/>
        <v>134.77353362114695</v>
      </c>
      <c r="BY7" s="11">
        <f t="shared" si="87"/>
        <v>5.7418085314679956E-2</v>
      </c>
      <c r="BZ7" s="11">
        <f t="shared" si="88"/>
        <v>3.0566762146357007E-2</v>
      </c>
      <c r="CA7" s="11">
        <f t="shared" si="89"/>
        <v>-0.10925120402544053</v>
      </c>
      <c r="CB7" s="11">
        <f t="shared" si="25"/>
        <v>177.0018717293286</v>
      </c>
      <c r="CC7" s="11">
        <f t="shared" si="26"/>
        <v>6.4660264450442968</v>
      </c>
      <c r="CD7" s="11">
        <f t="shared" si="27"/>
        <v>2.7632016476734016</v>
      </c>
      <c r="CE7" s="11">
        <f t="shared" si="28"/>
        <v>6.2035891847491902</v>
      </c>
      <c r="CF7" s="11">
        <f t="shared" si="29"/>
        <v>3.0492253438442982</v>
      </c>
      <c r="CG7" s="11">
        <f t="shared" si="30"/>
        <v>53.985662037439738</v>
      </c>
      <c r="CH7" s="11">
        <f t="shared" si="31"/>
        <v>52.96355483152584</v>
      </c>
      <c r="CI7" s="11">
        <f t="shared" si="32"/>
        <v>53.474608434482789</v>
      </c>
      <c r="CJ7" s="14"/>
      <c r="CK7" s="14">
        <f t="shared" si="33"/>
        <v>1.3288565661535578E-3</v>
      </c>
      <c r="CL7" s="14">
        <f t="shared" si="34"/>
        <v>8.3102753169761456E-4</v>
      </c>
      <c r="CM7" s="14">
        <f t="shared" si="35"/>
        <v>2.2148332200235821E-3</v>
      </c>
      <c r="CN7" s="19"/>
      <c r="CO7" s="12"/>
      <c r="CP7" s="12"/>
      <c r="CS7" s="17"/>
      <c r="CT7" s="20"/>
      <c r="CU7" s="20"/>
      <c r="CV7" s="21"/>
      <c r="DC7" s="14"/>
      <c r="DD7" s="14"/>
      <c r="DE7" s="14"/>
      <c r="DF7" s="14"/>
      <c r="DK7" s="12"/>
      <c r="ET7" s="1">
        <f t="shared" si="36"/>
        <v>3.1035829267100027E-5</v>
      </c>
      <c r="EU7" s="1">
        <f t="shared" si="37"/>
        <v>1.4276607906998035E-3</v>
      </c>
      <c r="EV7" s="1">
        <f t="shared" si="38"/>
        <v>0.18319435796159111</v>
      </c>
      <c r="EW7" s="1">
        <f t="shared" si="39"/>
        <v>2.5742262626035016E-3</v>
      </c>
      <c r="EX7" s="1">
        <f t="shared" si="40"/>
        <v>2.3205795031873895</v>
      </c>
      <c r="EY7" s="1">
        <f t="shared" si="41"/>
        <v>0.75202409868486031</v>
      </c>
      <c r="EZ7" s="1">
        <f t="shared" si="42"/>
        <v>7.2116839187395962E-2</v>
      </c>
      <c r="FA7" s="1">
        <f t="shared" si="43"/>
        <v>1.2755304587415524</v>
      </c>
      <c r="FB7" s="1">
        <f t="shared" si="44"/>
        <v>0.38438935482097164</v>
      </c>
      <c r="FC7" s="1">
        <f t="shared" si="45"/>
        <v>0.19839029864112706</v>
      </c>
      <c r="FD7" s="1">
        <f t="shared" si="46"/>
        <v>0.13995375427839635</v>
      </c>
      <c r="FE7" s="1">
        <f t="shared" si="47"/>
        <v>0.73790923290879207</v>
      </c>
      <c r="FF7" s="1">
        <f t="shared" si="48"/>
        <v>0.16997687713919818</v>
      </c>
      <c r="FG7" s="1">
        <f t="shared" si="49"/>
        <v>-0.16997687713919818</v>
      </c>
      <c r="FH7" s="1">
        <f t="shared" si="50"/>
        <v>0.66895461645439602</v>
      </c>
      <c r="FI7" s="1">
        <f t="shared" si="51"/>
        <v>1.523344840535914</v>
      </c>
      <c r="FJ7" s="1">
        <f t="shared" si="52"/>
        <v>0.86719323030386963</v>
      </c>
      <c r="FK7" s="1">
        <f t="shared" si="53"/>
        <v>0.26854578601682799</v>
      </c>
      <c r="FL7" s="1">
        <f t="shared" si="54"/>
        <v>1.0765581850866233</v>
      </c>
      <c r="FM7" s="1">
        <f t="shared" si="55"/>
        <v>0.30242940162324011</v>
      </c>
      <c r="FN7" s="1">
        <f t="shared" si="56"/>
        <v>0.2964814504026006</v>
      </c>
      <c r="FO7" s="1">
        <f t="shared" si="57"/>
        <v>0.29939858118054452</v>
      </c>
    </row>
    <row r="8" spans="1:171" x14ac:dyDescent="0.25">
      <c r="A8" s="11">
        <v>5.1222720220651237</v>
      </c>
      <c r="B8" s="3">
        <v>180</v>
      </c>
      <c r="C8" s="12">
        <v>0.19293671275490115</v>
      </c>
      <c r="D8" s="12">
        <v>0.39282249973818556</v>
      </c>
      <c r="E8" s="11">
        <v>5.1222720220651237</v>
      </c>
      <c r="F8" s="12">
        <v>0.21334572005565328</v>
      </c>
      <c r="G8" s="12">
        <v>0.50523364660407455</v>
      </c>
      <c r="H8" s="12">
        <f t="shared" si="90"/>
        <v>0.22376844444720004</v>
      </c>
      <c r="I8" s="12">
        <f t="shared" si="91"/>
        <v>0.45559644121199777</v>
      </c>
      <c r="J8" s="12">
        <f t="shared" si="0"/>
        <v>6.7807165094839389E-2</v>
      </c>
      <c r="K8" s="13">
        <f t="shared" si="58"/>
        <v>4.7039178187553043E-2</v>
      </c>
      <c r="L8" s="13">
        <f>SUM(K$3:$K8)</f>
        <v>0.36886181559609249</v>
      </c>
      <c r="M8" s="72">
        <f t="shared" si="92"/>
        <v>0.69678348463151085</v>
      </c>
      <c r="N8" s="12">
        <f t="shared" si="59"/>
        <v>1.4761406785215972E-4</v>
      </c>
      <c r="O8" s="21">
        <f t="shared" si="60"/>
        <v>5.0935317558639293E-9</v>
      </c>
      <c r="P8" s="11">
        <f>SUM(O$2:$O8)</f>
        <v>6.3622805554544815E-8</v>
      </c>
      <c r="Q8" s="12">
        <f t="shared" si="61"/>
        <v>1.0103129120707397E-3</v>
      </c>
      <c r="R8" s="13">
        <f t="shared" si="1"/>
        <v>0.3382934156696889</v>
      </c>
      <c r="S8" s="1">
        <f t="shared" si="62"/>
        <v>1.47154265331224E-3</v>
      </c>
      <c r="T8" s="1">
        <f t="shared" si="63"/>
        <v>0.96956195922922905</v>
      </c>
      <c r="U8" s="1">
        <f t="shared" si="64"/>
        <v>4.2195156143619529E-3</v>
      </c>
      <c r="V8" s="11">
        <f t="shared" si="65"/>
        <v>6.2811870268109073</v>
      </c>
      <c r="W8" s="12">
        <f t="shared" si="66"/>
        <v>4.3456547485372969E-2</v>
      </c>
      <c r="X8" s="13">
        <f t="shared" si="2"/>
        <v>-1.0410530561288933E-2</v>
      </c>
      <c r="Y8" s="12" t="e">
        <f>(SQRT((Q8/M8)^2 + (0.0002/F8)^2))*#REF!</f>
        <v>#REF!</v>
      </c>
      <c r="Z8" s="12">
        <f t="shared" si="3"/>
        <v>4.145757408750725E-3</v>
      </c>
      <c r="AA8" s="12">
        <f t="shared" si="67"/>
        <v>1.060770540737495E-2</v>
      </c>
      <c r="AB8" s="12">
        <f t="shared" si="4"/>
        <v>4.6339294419412E-3</v>
      </c>
      <c r="AC8" s="14">
        <f t="shared" si="68"/>
        <v>6.2277188935450862</v>
      </c>
      <c r="AD8" s="1">
        <f t="shared" si="69"/>
        <v>3.058774922727213</v>
      </c>
      <c r="AE8" s="14">
        <f t="shared" si="70"/>
        <v>2.7582623972688185</v>
      </c>
      <c r="AF8" s="14">
        <f t="shared" si="5"/>
        <v>58.767439241569335</v>
      </c>
      <c r="AG8" s="14">
        <f t="shared" si="6"/>
        <v>243.61258905558932</v>
      </c>
      <c r="AH8" s="14">
        <f t="shared" si="7"/>
        <v>243.61258905558932</v>
      </c>
      <c r="AI8" s="14">
        <f t="shared" si="8"/>
        <v>58.767439241569335</v>
      </c>
      <c r="AJ8" s="14">
        <f t="shared" si="9"/>
        <v>47.78734283330661</v>
      </c>
      <c r="AK8" s="14">
        <f t="shared" si="71"/>
        <v>137.05780698071337</v>
      </c>
      <c r="AL8" s="14">
        <f t="shared" si="72"/>
        <v>265.57278187211477</v>
      </c>
      <c r="AM8" s="7"/>
      <c r="AN8" s="12">
        <f t="shared" si="73"/>
        <v>0.69678348463151085</v>
      </c>
      <c r="AO8" s="14">
        <f t="shared" si="10"/>
        <v>0.3382934156696889</v>
      </c>
      <c r="AP8" s="14">
        <f t="shared" si="74"/>
        <v>1.0313936004615611</v>
      </c>
      <c r="AQ8" s="11">
        <f t="shared" si="93"/>
        <v>6.2811870268109073</v>
      </c>
      <c r="AR8" s="14">
        <f t="shared" si="11"/>
        <v>5.2360788549550357</v>
      </c>
      <c r="AS8" s="14">
        <f t="shared" si="12"/>
        <v>-1.0410530513957128E-2</v>
      </c>
      <c r="AT8" s="82">
        <f t="shared" si="13"/>
        <v>265.36067511538022</v>
      </c>
      <c r="AU8" s="82">
        <f t="shared" si="14"/>
        <v>47.865089474655889</v>
      </c>
      <c r="AV8" s="82">
        <f t="shared" si="15"/>
        <v>136.96643621405838</v>
      </c>
      <c r="AW8" s="14">
        <f t="shared" si="75"/>
        <v>-0.21210675673455626</v>
      </c>
      <c r="AX8" s="14">
        <f t="shared" si="76"/>
        <v>7.7746641349278889E-2</v>
      </c>
      <c r="AY8" s="14">
        <f t="shared" si="77"/>
        <v>-9.1370766654989666E-2</v>
      </c>
      <c r="AZ8" s="11">
        <f t="shared" si="78"/>
        <v>0.113806832889912</v>
      </c>
      <c r="BA8" s="92"/>
      <c r="BB8" s="2"/>
      <c r="BC8" s="12">
        <v>0.21334572005565328</v>
      </c>
      <c r="BD8" s="12">
        <v>0.50523364660407455</v>
      </c>
      <c r="BE8" s="12">
        <f t="shared" si="79"/>
        <v>0.22376844444720004</v>
      </c>
      <c r="BF8" s="12">
        <f t="shared" si="80"/>
        <v>0.45559644121199777</v>
      </c>
      <c r="BG8" s="12">
        <v>0.69684965872064586</v>
      </c>
      <c r="BH8" s="14">
        <f t="shared" si="16"/>
        <v>0.33838980881868475</v>
      </c>
      <c r="BI8" s="14">
        <f t="shared" si="17"/>
        <v>1.0310997994237885</v>
      </c>
      <c r="BJ8" s="11">
        <f t="shared" si="81"/>
        <v>6.2793977784908712</v>
      </c>
      <c r="BK8" s="11">
        <f t="shared" si="18"/>
        <v>5.189018553117946</v>
      </c>
      <c r="BL8" s="12">
        <f t="shared" si="19"/>
        <v>-1.0313596124096991E-2</v>
      </c>
      <c r="BM8" s="11">
        <f t="shared" si="20"/>
        <v>6.6746531052822355E-2</v>
      </c>
      <c r="BN8" s="14">
        <f t="shared" si="94"/>
        <v>6.2283103450278769</v>
      </c>
      <c r="BO8" s="14">
        <f t="shared" si="95"/>
        <v>3.0590654170469622</v>
      </c>
      <c r="BP8" s="14">
        <f t="shared" si="96"/>
        <v>2.7585243516718152</v>
      </c>
      <c r="BQ8" s="14">
        <f t="shared" si="82"/>
        <v>243.58945516870168</v>
      </c>
      <c r="BR8" s="14">
        <f t="shared" si="83"/>
        <v>58.761858580498554</v>
      </c>
      <c r="BS8" s="14">
        <f t="shared" si="84"/>
        <v>47.782804861816487</v>
      </c>
      <c r="BT8" s="14">
        <f t="shared" si="85"/>
        <v>137.04479172638662</v>
      </c>
      <c r="BU8" s="14">
        <f t="shared" si="86"/>
        <v>265.54756260606581</v>
      </c>
      <c r="BV8" s="18">
        <f t="shared" si="22"/>
        <v>265.52083925229476</v>
      </c>
      <c r="BW8" s="18">
        <f t="shared" si="23"/>
        <v>47.868485641044998</v>
      </c>
      <c r="BX8" s="18">
        <f t="shared" si="24"/>
        <v>137.06781536297024</v>
      </c>
      <c r="BY8" s="11">
        <f t="shared" si="87"/>
        <v>-2.6723353771046732E-2</v>
      </c>
      <c r="BZ8" s="11">
        <f t="shared" si="88"/>
        <v>8.5680779228511028E-2</v>
      </c>
      <c r="CA8" s="11">
        <f t="shared" si="89"/>
        <v>2.302363658361628E-2</v>
      </c>
      <c r="CB8" s="11">
        <f t="shared" si="25"/>
        <v>179.88548999274508</v>
      </c>
      <c r="CC8" s="11">
        <f t="shared" si="26"/>
        <v>6.5026489439905193</v>
      </c>
      <c r="CD8" s="11">
        <f t="shared" si="27"/>
        <v>2.760996440311732</v>
      </c>
      <c r="CE8" s="11">
        <f t="shared" si="28"/>
        <v>6.229853072679707</v>
      </c>
      <c r="CF8" s="11">
        <f t="shared" si="29"/>
        <v>3.0593774847646049</v>
      </c>
      <c r="CG8" s="11">
        <f t="shared" si="30"/>
        <v>54.4116961624919</v>
      </c>
      <c r="CH8" s="11">
        <f t="shared" si="31"/>
        <v>53.298368660295338</v>
      </c>
      <c r="CI8" s="11">
        <f t="shared" si="32"/>
        <v>53.855032411393623</v>
      </c>
      <c r="CJ8" s="14"/>
      <c r="CK8" s="14">
        <f t="shared" si="33"/>
        <v>2.7340430429134699E-3</v>
      </c>
      <c r="CL8" s="14">
        <f t="shared" si="34"/>
        <v>2.1341791346207728E-3</v>
      </c>
      <c r="CM8" s="14">
        <f t="shared" si="35"/>
        <v>6.0256203739195158E-4</v>
      </c>
      <c r="CN8" s="19"/>
      <c r="CO8" s="12"/>
      <c r="CP8" s="12"/>
      <c r="CS8" s="17"/>
      <c r="CT8" s="20"/>
      <c r="CU8" s="20"/>
      <c r="CV8" s="21"/>
      <c r="DC8" s="14"/>
      <c r="DD8" s="14"/>
      <c r="DE8" s="14"/>
      <c r="DF8" s="14"/>
      <c r="DK8" s="12"/>
      <c r="ET8" s="1">
        <f t="shared" si="36"/>
        <v>3.1046754272011949E-5</v>
      </c>
      <c r="EU8" s="1">
        <f t="shared" si="37"/>
        <v>1.4314006750075789E-3</v>
      </c>
      <c r="EV8" s="1">
        <f t="shared" si="38"/>
        <v>0.1896364216291411</v>
      </c>
      <c r="EW8" s="1">
        <f t="shared" si="39"/>
        <v>2.6621521346147799E-3</v>
      </c>
      <c r="EX8" s="1">
        <f t="shared" si="40"/>
        <v>2.395704136968587</v>
      </c>
      <c r="EY8" s="1">
        <f t="shared" si="41"/>
        <v>0.7769383621578132</v>
      </c>
      <c r="EZ8" s="1">
        <f t="shared" si="42"/>
        <v>7.2330704326624626E-2</v>
      </c>
      <c r="FA8" s="1">
        <f t="shared" si="43"/>
        <v>1.3172402345769325</v>
      </c>
      <c r="FB8" s="1">
        <f t="shared" si="44"/>
        <v>0.39115210274782108</v>
      </c>
      <c r="FC8" s="1">
        <f t="shared" si="45"/>
        <v>0.20191330314848255</v>
      </c>
      <c r="FD8" s="1">
        <f t="shared" si="46"/>
        <v>0.13732969301844114</v>
      </c>
      <c r="FE8" s="1">
        <f t="shared" si="47"/>
        <v>0.74491619920179752</v>
      </c>
      <c r="FF8" s="1">
        <f t="shared" si="48"/>
        <v>0.16866484650922059</v>
      </c>
      <c r="FG8" s="1">
        <f t="shared" si="49"/>
        <v>-0.16866484650922059</v>
      </c>
      <c r="FH8" s="1">
        <f t="shared" si="50"/>
        <v>0.67245809960089875</v>
      </c>
      <c r="FI8" s="1">
        <f t="shared" si="51"/>
        <v>1.5478062336638223</v>
      </c>
      <c r="FJ8" s="1">
        <f t="shared" si="52"/>
        <v>0.88144107129053906</v>
      </c>
      <c r="FK8" s="1">
        <f t="shared" si="53"/>
        <v>0.268943682444159</v>
      </c>
      <c r="FL8" s="1">
        <f t="shared" si="54"/>
        <v>1.0940454248088995</v>
      </c>
      <c r="FM8" s="1">
        <f t="shared" si="55"/>
        <v>0.30493088833427079</v>
      </c>
      <c r="FN8" s="1">
        <f t="shared" si="56"/>
        <v>0.29833484189707071</v>
      </c>
      <c r="FO8" s="1">
        <f t="shared" si="57"/>
        <v>0.30156993283660671</v>
      </c>
    </row>
    <row r="9" spans="1:171" x14ac:dyDescent="0.25">
      <c r="A9" s="11">
        <v>5.7679365626615837</v>
      </c>
      <c r="B9" s="3">
        <v>210</v>
      </c>
      <c r="C9" s="12">
        <v>0.19199930220895281</v>
      </c>
      <c r="D9" s="12">
        <v>0.39099582353382406</v>
      </c>
      <c r="E9" s="11">
        <v>5.7679365626615837</v>
      </c>
      <c r="F9" s="12">
        <v>0.21174572005565329</v>
      </c>
      <c r="G9" s="12">
        <v>0.50423364660407455</v>
      </c>
      <c r="H9" s="12">
        <f t="shared" si="90"/>
        <v>0.22268123353394198</v>
      </c>
      <c r="I9" s="12">
        <f t="shared" si="91"/>
        <v>0.4534778579370875</v>
      </c>
      <c r="J9" s="12">
        <f t="shared" si="0"/>
        <v>6.7013107359622848E-2</v>
      </c>
      <c r="K9" s="13">
        <f t="shared" si="58"/>
        <v>4.3524334638699966E-2</v>
      </c>
      <c r="L9" s="13">
        <f>SUM(K$3:$K9)</f>
        <v>0.41238615023479247</v>
      </c>
      <c r="M9" s="72">
        <f t="shared" si="92"/>
        <v>0.69594170931186849</v>
      </c>
      <c r="N9" s="12">
        <f t="shared" si="59"/>
        <v>1.4548020576010275E-4</v>
      </c>
      <c r="O9" s="21">
        <f t="shared" si="60"/>
        <v>4.3650510903554069E-9</v>
      </c>
      <c r="P9" s="11">
        <f>SUM(O$2:$O9)</f>
        <v>6.7987856644900228E-8</v>
      </c>
      <c r="Q9" s="12">
        <f t="shared" si="61"/>
        <v>1.0115227535893519E-3</v>
      </c>
      <c r="R9" s="3">
        <f t="shared" si="1"/>
        <v>0.33706883226847162</v>
      </c>
      <c r="S9" s="1">
        <f t="shared" si="62"/>
        <v>1.4697472021147214E-3</v>
      </c>
      <c r="T9" s="1">
        <f t="shared" si="63"/>
        <v>0.96605225603452338</v>
      </c>
      <c r="U9" s="1">
        <f t="shared" si="64"/>
        <v>4.2143697820751485E-3</v>
      </c>
      <c r="V9" s="11">
        <f t="shared" si="65"/>
        <v>6.3040068091123667</v>
      </c>
      <c r="W9" s="12">
        <f t="shared" si="66"/>
        <v>4.3655981616949911E-2</v>
      </c>
      <c r="X9" s="13">
        <f t="shared" si="2"/>
        <v>-1.164600998661125E-2</v>
      </c>
      <c r="Y9" s="12" t="e">
        <f>(SQRT((Q9/M9)^2 + (0.0002/F9)^2))*#REF!</f>
        <v>#REF!</v>
      </c>
      <c r="Z9" s="12">
        <f t="shared" si="3"/>
        <v>4.1588312946318241E-3</v>
      </c>
      <c r="AA9" s="12">
        <f t="shared" si="67"/>
        <v>1.0679519383003475E-2</v>
      </c>
      <c r="AB9" s="12">
        <f t="shared" si="4"/>
        <v>4.6620381130036536E-3</v>
      </c>
      <c r="AC9" s="14">
        <f t="shared" si="68"/>
        <v>6.2505645246103798</v>
      </c>
      <c r="AD9" s="1">
        <f t="shared" si="69"/>
        <v>3.0693525477859995</v>
      </c>
      <c r="AE9" s="14">
        <f t="shared" si="70"/>
        <v>2.7603937737948043</v>
      </c>
      <c r="AF9" s="14">
        <f t="shared" si="5"/>
        <v>59.389575742770319</v>
      </c>
      <c r="AG9" s="14">
        <f t="shared" si="6"/>
        <v>246.29475257731019</v>
      </c>
      <c r="AH9" s="14">
        <f t="shared" si="7"/>
        <v>246.29475257731019</v>
      </c>
      <c r="AI9" s="14">
        <f t="shared" si="8"/>
        <v>59.389575742770319</v>
      </c>
      <c r="AJ9" s="14">
        <f t="shared" si="9"/>
        <v>48.0351058333938</v>
      </c>
      <c r="AK9" s="14">
        <f t="shared" si="71"/>
        <v>138.87007100114607</v>
      </c>
      <c r="AL9" s="14">
        <f t="shared" si="72"/>
        <v>269.00369239606323</v>
      </c>
      <c r="AM9" s="7"/>
      <c r="AN9" s="12">
        <f t="shared" si="73"/>
        <v>0.69594170931186849</v>
      </c>
      <c r="AO9" s="14">
        <f t="shared" si="10"/>
        <v>0.33706883226847162</v>
      </c>
      <c r="AP9" s="14">
        <f t="shared" si="74"/>
        <v>1.0351406911514562</v>
      </c>
      <c r="AQ9" s="11">
        <f t="shared" si="93"/>
        <v>6.3040068091123667</v>
      </c>
      <c r="AR9" s="14">
        <f t="shared" si="11"/>
        <v>5.8925513857872094</v>
      </c>
      <c r="AS9" s="14">
        <f t="shared" si="12"/>
        <v>-1.1646009933598656E-2</v>
      </c>
      <c r="AT9" s="82">
        <f t="shared" si="13"/>
        <v>268.90958717928868</v>
      </c>
      <c r="AU9" s="82">
        <f t="shared" si="14"/>
        <v>47.967591700976698</v>
      </c>
      <c r="AV9" s="82">
        <f t="shared" si="15"/>
        <v>138.97512140687633</v>
      </c>
      <c r="AW9" s="14">
        <f t="shared" si="75"/>
        <v>-9.4105216774551081E-2</v>
      </c>
      <c r="AX9" s="14">
        <f t="shared" si="76"/>
        <v>-6.7514132417102246E-2</v>
      </c>
      <c r="AY9" s="14">
        <f t="shared" si="77"/>
        <v>0.10505040573025326</v>
      </c>
      <c r="AZ9" s="11">
        <f t="shared" si="78"/>
        <v>0.12461482312562566</v>
      </c>
      <c r="BA9" s="92"/>
      <c r="BB9" s="2"/>
      <c r="BC9" s="12">
        <v>0.21174572005565329</v>
      </c>
      <c r="BD9" s="12">
        <v>0.50423364660407455</v>
      </c>
      <c r="BE9" s="12">
        <f t="shared" si="79"/>
        <v>0.22268123353394198</v>
      </c>
      <c r="BF9" s="12">
        <f t="shared" si="80"/>
        <v>0.4534778579370875</v>
      </c>
      <c r="BG9" s="12">
        <v>0.69606627868764925</v>
      </c>
      <c r="BH9" s="14">
        <f t="shared" si="16"/>
        <v>0.33724986454286099</v>
      </c>
      <c r="BI9" s="14">
        <f t="shared" si="17"/>
        <v>1.0345850382266251</v>
      </c>
      <c r="BJ9" s="11">
        <f t="shared" si="81"/>
        <v>6.3006228828001465</v>
      </c>
      <c r="BK9" s="11">
        <f t="shared" si="18"/>
        <v>5.8000489860600428</v>
      </c>
      <c r="BL9" s="12">
        <f t="shared" si="19"/>
        <v>-1.146289598898298E-2</v>
      </c>
      <c r="BM9" s="11">
        <f t="shared" si="20"/>
        <v>3.21124233984591E-2</v>
      </c>
      <c r="BN9" s="14">
        <f t="shared" si="94"/>
        <v>6.2516833380263455</v>
      </c>
      <c r="BO9" s="14">
        <f t="shared" si="95"/>
        <v>3.0699019434118298</v>
      </c>
      <c r="BP9" s="14">
        <f t="shared" si="96"/>
        <v>2.7608878676602959</v>
      </c>
      <c r="BQ9" s="14">
        <f t="shared" si="82"/>
        <v>246.25067518909876</v>
      </c>
      <c r="BR9" s="14">
        <f t="shared" si="83"/>
        <v>59.378947268723124</v>
      </c>
      <c r="BS9" s="14">
        <f t="shared" si="84"/>
        <v>48.02650937737743</v>
      </c>
      <c r="BT9" s="14">
        <f t="shared" si="85"/>
        <v>138.8452185429982</v>
      </c>
      <c r="BU9" s="14">
        <f t="shared" si="86"/>
        <v>268.95555097179016</v>
      </c>
      <c r="BV9" s="18">
        <f t="shared" si="22"/>
        <v>268.8815084979218</v>
      </c>
      <c r="BW9" s="18">
        <f t="shared" si="23"/>
        <v>47.962234297145784</v>
      </c>
      <c r="BX9" s="18">
        <f t="shared" si="24"/>
        <v>138.96893272784445</v>
      </c>
      <c r="BY9" s="11">
        <f t="shared" si="87"/>
        <v>-7.4042473868360048E-2</v>
      </c>
      <c r="BZ9" s="11">
        <f t="shared" si="88"/>
        <v>-6.4275080231645632E-2</v>
      </c>
      <c r="CA9" s="11">
        <f t="shared" si="89"/>
        <v>0.12371418484624996</v>
      </c>
      <c r="CB9" s="11">
        <f t="shared" si="25"/>
        <v>182.27312465120357</v>
      </c>
      <c r="CC9" s="11">
        <f t="shared" si="26"/>
        <v>6.532639986709154</v>
      </c>
      <c r="CD9" s="11">
        <f t="shared" si="27"/>
        <v>2.7590397664260133</v>
      </c>
      <c r="CE9" s="11">
        <f t="shared" si="28"/>
        <v>6.2513291741647494</v>
      </c>
      <c r="CF9" s="11">
        <f t="shared" si="29"/>
        <v>3.0676435714881101</v>
      </c>
      <c r="CG9" s="11">
        <f t="shared" si="30"/>
        <v>54.759855732302938</v>
      </c>
      <c r="CH9" s="11">
        <f t="shared" si="31"/>
        <v>53.568090342990047</v>
      </c>
      <c r="CI9" s="11">
        <f t="shared" si="32"/>
        <v>54.163973037646493</v>
      </c>
      <c r="CJ9" s="14"/>
      <c r="CK9" s="14">
        <f t="shared" si="33"/>
        <v>-1.3540073687909882E-3</v>
      </c>
      <c r="CL9" s="14">
        <f t="shared" si="34"/>
        <v>7.6464955436961191E-4</v>
      </c>
      <c r="CM9" s="14">
        <f t="shared" si="35"/>
        <v>-1.708976297889464E-3</v>
      </c>
      <c r="CN9" s="19"/>
      <c r="CO9" s="12"/>
      <c r="CP9" s="12"/>
      <c r="CS9" s="17"/>
      <c r="CT9" s="20"/>
      <c r="CU9" s="20"/>
      <c r="CV9" s="21"/>
      <c r="DC9" s="14"/>
      <c r="DD9" s="14"/>
      <c r="DE9" s="14"/>
      <c r="DF9" s="14"/>
      <c r="DK9" s="12"/>
      <c r="ET9" s="1">
        <f t="shared" si="36"/>
        <v>3.1056893699635565E-5</v>
      </c>
      <c r="EU9" s="1">
        <f t="shared" si="37"/>
        <v>1.4520241595921267E-3</v>
      </c>
      <c r="EV9" s="1">
        <f t="shared" si="38"/>
        <v>0.19573255447443588</v>
      </c>
      <c r="EW9" s="1">
        <f t="shared" si="39"/>
        <v>2.7442789559343236E-3</v>
      </c>
      <c r="EX9" s="1">
        <f t="shared" si="40"/>
        <v>2.459887347160687</v>
      </c>
      <c r="EY9" s="1">
        <f t="shared" si="41"/>
        <v>0.79885784192151965</v>
      </c>
      <c r="EZ9" s="1">
        <f t="shared" si="42"/>
        <v>7.3111812219726097E-2</v>
      </c>
      <c r="FA9" s="1">
        <f t="shared" si="43"/>
        <v>1.3533268156327449</v>
      </c>
      <c r="FB9" s="1">
        <f t="shared" si="44"/>
        <v>0.39840135634371654</v>
      </c>
      <c r="FC9" s="1">
        <f t="shared" si="45"/>
        <v>0.20571728843344303</v>
      </c>
      <c r="FD9" s="1">
        <f t="shared" si="46"/>
        <v>0.13598596164243329</v>
      </c>
      <c r="FE9" s="1">
        <f t="shared" si="47"/>
        <v>0.74854319685345316</v>
      </c>
      <c r="FF9" s="1">
        <f t="shared" si="48"/>
        <v>0.16799298082121666</v>
      </c>
      <c r="FG9" s="1">
        <f t="shared" si="49"/>
        <v>-0.16799298082121666</v>
      </c>
      <c r="FH9" s="1">
        <f t="shared" si="50"/>
        <v>0.67427159842672657</v>
      </c>
      <c r="FI9" s="1">
        <f t="shared" si="51"/>
        <v>1.5684028013111577</v>
      </c>
      <c r="FJ9" s="1">
        <f t="shared" si="52"/>
        <v>0.89378847716980536</v>
      </c>
      <c r="FK9" s="1">
        <f t="shared" si="53"/>
        <v>0.27039196034595053</v>
      </c>
      <c r="FL9" s="1">
        <f t="shared" si="54"/>
        <v>1.1089848199230454</v>
      </c>
      <c r="FM9" s="1">
        <f t="shared" si="55"/>
        <v>0.30764929873190955</v>
      </c>
      <c r="FN9" s="1">
        <f t="shared" si="56"/>
        <v>0.30066977206009943</v>
      </c>
      <c r="FO9" s="1">
        <f t="shared" si="57"/>
        <v>0.30409276387755457</v>
      </c>
    </row>
    <row r="10" spans="1:171" x14ac:dyDescent="0.25">
      <c r="A10" s="11">
        <v>6.5857783140837629</v>
      </c>
      <c r="B10" s="3">
        <v>240</v>
      </c>
      <c r="C10" s="12">
        <v>0.19084422288837991</v>
      </c>
      <c r="D10" s="12">
        <v>0.38885470698427366</v>
      </c>
      <c r="E10" s="11">
        <v>6.5857783140837629</v>
      </c>
      <c r="F10" s="12">
        <v>0.21074572005565329</v>
      </c>
      <c r="G10" s="12">
        <v>0.50423364660407455</v>
      </c>
      <c r="H10" s="12">
        <f t="shared" si="90"/>
        <v>0.22134156987383763</v>
      </c>
      <c r="I10" s="12">
        <f t="shared" si="91"/>
        <v>0.45099458602459414</v>
      </c>
      <c r="J10" s="12">
        <f t="shared" si="0"/>
        <v>6.5931277191928872E-2</v>
      </c>
      <c r="K10" s="13">
        <f t="shared" si="58"/>
        <v>5.4363734151692378E-2</v>
      </c>
      <c r="L10" s="13">
        <f>SUM(K$3:$K10)</f>
        <v>0.46674988438648485</v>
      </c>
      <c r="M10" s="72">
        <f t="shared" si="92"/>
        <v>0.69489314877420816</v>
      </c>
      <c r="N10" s="12">
        <f t="shared" si="59"/>
        <v>1.4393847616358112E-4</v>
      </c>
      <c r="O10" s="21">
        <f t="shared" si="60"/>
        <v>6.8066340632979484E-9</v>
      </c>
      <c r="P10" s="11">
        <f>SUM(O$2:$O10)</f>
        <v>7.4794490708198178E-8</v>
      </c>
      <c r="Q10" s="12">
        <f t="shared" si="61"/>
        <v>1.0130314161884931E-3</v>
      </c>
      <c r="R10" s="3">
        <f t="shared" si="1"/>
        <v>0.33554756336359531</v>
      </c>
      <c r="S10" s="1">
        <f t="shared" si="62"/>
        <v>1.4675071580966394E-3</v>
      </c>
      <c r="T10" s="1">
        <f t="shared" si="63"/>
        <v>0.96169224075900728</v>
      </c>
      <c r="U10" s="1">
        <f t="shared" si="64"/>
        <v>4.2079497296403949E-3</v>
      </c>
      <c r="V10" s="11">
        <f t="shared" si="65"/>
        <v>6.3325872268591041</v>
      </c>
      <c r="W10" s="12">
        <f t="shared" si="66"/>
        <v>4.3906156474283795E-2</v>
      </c>
      <c r="X10" s="13">
        <f t="shared" si="2"/>
        <v>-1.3191273713008433E-2</v>
      </c>
      <c r="Y10" s="12" t="e">
        <f>(SQRT((Q10/M10)^2 + (0.0002/F10)^2))*#REF!</f>
        <v>#REF!</v>
      </c>
      <c r="Z10" s="12">
        <f t="shared" si="3"/>
        <v>4.1641710847941998E-3</v>
      </c>
      <c r="AA10" s="12">
        <f t="shared" si="67"/>
        <v>1.0769232456070317E-2</v>
      </c>
      <c r="AB10" s="12">
        <f t="shared" si="4"/>
        <v>4.6956890021448896E-3</v>
      </c>
      <c r="AC10" s="14">
        <f t="shared" si="68"/>
        <v>6.2789212995126942</v>
      </c>
      <c r="AD10" s="1">
        <f t="shared" si="69"/>
        <v>3.0816030626864932</v>
      </c>
      <c r="AE10" s="14">
        <f t="shared" si="70"/>
        <v>2.7562347473406108</v>
      </c>
      <c r="AF10" s="14">
        <f t="shared" si="5"/>
        <v>60.136005193662854</v>
      </c>
      <c r="AG10" s="14">
        <f t="shared" si="6"/>
        <v>249.66131853683567</v>
      </c>
      <c r="AH10" s="14">
        <f t="shared" si="7"/>
        <v>249.66131853683564</v>
      </c>
      <c r="AI10" s="14">
        <f t="shared" si="8"/>
        <v>60.136005193662854</v>
      </c>
      <c r="AJ10" s="14">
        <f t="shared" si="9"/>
        <v>48.107588511468961</v>
      </c>
      <c r="AK10" s="14">
        <f t="shared" si="71"/>
        <v>141.41772483170382</v>
      </c>
      <c r="AL10" s="14">
        <f t="shared" si="72"/>
        <v>273.71815190122339</v>
      </c>
      <c r="AM10" s="7"/>
      <c r="AN10" s="12">
        <f t="shared" si="73"/>
        <v>0.69489314877420816</v>
      </c>
      <c r="AO10" s="14">
        <f t="shared" si="10"/>
        <v>0.33554756336359531</v>
      </c>
      <c r="AP10" s="14">
        <f t="shared" si="74"/>
        <v>1.0398336989916428</v>
      </c>
      <c r="AQ10" s="11">
        <f t="shared" si="93"/>
        <v>6.3325872268591041</v>
      </c>
      <c r="AR10" s="14">
        <f t="shared" si="11"/>
        <v>6.7243001762505674</v>
      </c>
      <c r="AS10" s="14">
        <f t="shared" si="12"/>
        <v>-1.3191273652871427E-2</v>
      </c>
      <c r="AT10" s="82">
        <f t="shared" si="13"/>
        <v>273.3855139075705</v>
      </c>
      <c r="AU10" s="82">
        <f t="shared" si="14"/>
        <v>48.08767505588952</v>
      </c>
      <c r="AV10" s="82">
        <f t="shared" si="15"/>
        <v>141.51324016413236</v>
      </c>
      <c r="AW10" s="14">
        <f t="shared" si="75"/>
        <v>-0.33263799365289515</v>
      </c>
      <c r="AX10" s="14">
        <f t="shared" si="76"/>
        <v>-1.9913455579441575E-2</v>
      </c>
      <c r="AY10" s="14">
        <f t="shared" si="77"/>
        <v>9.5515332428533384E-2</v>
      </c>
      <c r="AZ10" s="11">
        <f t="shared" si="78"/>
        <v>0.13852186216680451</v>
      </c>
      <c r="BA10" s="92"/>
      <c r="BB10" s="2"/>
      <c r="BC10" s="12">
        <v>0.21074572005565329</v>
      </c>
      <c r="BD10" s="12">
        <v>0.50423364660407455</v>
      </c>
      <c r="BE10" s="12">
        <f t="shared" si="79"/>
        <v>0.22134156987383763</v>
      </c>
      <c r="BF10" s="12">
        <f t="shared" si="80"/>
        <v>0.45099458602459414</v>
      </c>
      <c r="BG10" s="12">
        <v>0.69499234063385873</v>
      </c>
      <c r="BH10" s="14">
        <f t="shared" si="16"/>
        <v>0.33569127612632677</v>
      </c>
      <c r="BI10" s="14">
        <f t="shared" si="17"/>
        <v>1.0393885358781185</v>
      </c>
      <c r="BJ10" s="11">
        <f t="shared" si="81"/>
        <v>6.3298761834977402</v>
      </c>
      <c r="BK10" s="11">
        <f t="shared" si="18"/>
        <v>6.6520360454345422</v>
      </c>
      <c r="BL10" s="12">
        <f t="shared" si="19"/>
        <v>-1.3044795019343303E-2</v>
      </c>
      <c r="BM10" s="11">
        <f t="shared" si="20"/>
        <v>6.6257731350779281E-2</v>
      </c>
      <c r="BN10" s="14">
        <f t="shared" si="94"/>
        <v>6.2798175781440158</v>
      </c>
      <c r="BO10" s="14">
        <f t="shared" si="95"/>
        <v>3.082042943176079</v>
      </c>
      <c r="BP10" s="14">
        <f t="shared" si="96"/>
        <v>2.7566281834403976</v>
      </c>
      <c r="BQ10" s="14">
        <f t="shared" si="82"/>
        <v>249.62568595641619</v>
      </c>
      <c r="BR10" s="14">
        <f t="shared" si="83"/>
        <v>60.127422362114409</v>
      </c>
      <c r="BS10" s="14">
        <f t="shared" si="84"/>
        <v>48.100722419731305</v>
      </c>
      <c r="BT10" s="14">
        <f t="shared" si="85"/>
        <v>141.39754117457048</v>
      </c>
      <c r="BU10" s="14">
        <f t="shared" si="86"/>
        <v>273.67908584118237</v>
      </c>
      <c r="BV10" s="18">
        <f t="shared" si="22"/>
        <v>273.54666754137003</v>
      </c>
      <c r="BW10" s="18">
        <f t="shared" si="23"/>
        <v>48.083272212395535</v>
      </c>
      <c r="BX10" s="18">
        <f t="shared" si="24"/>
        <v>141.61260176585176</v>
      </c>
      <c r="BY10" s="11">
        <f t="shared" si="87"/>
        <v>-0.13241829981234332</v>
      </c>
      <c r="BZ10" s="11">
        <f t="shared" si="88"/>
        <v>-1.7450207335770074E-2</v>
      </c>
      <c r="CA10" s="11">
        <f t="shared" si="89"/>
        <v>0.21506059128128641</v>
      </c>
      <c r="CB10" s="11">
        <f t="shared" si="25"/>
        <v>185.59062369102449</v>
      </c>
      <c r="CC10" s="11">
        <f t="shared" si="26"/>
        <v>6.5738245159552031</v>
      </c>
      <c r="CD10" s="11">
        <f t="shared" si="27"/>
        <v>2.756128106783073</v>
      </c>
      <c r="CE10" s="11">
        <f t="shared" si="28"/>
        <v>6.2807731211846969</v>
      </c>
      <c r="CF10" s="11">
        <f t="shared" si="29"/>
        <v>3.0789240514867817</v>
      </c>
      <c r="CG10" s="11">
        <f t="shared" si="30"/>
        <v>55.236776482540975</v>
      </c>
      <c r="CH10" s="11">
        <f t="shared" si="31"/>
        <v>53.931652698631581</v>
      </c>
      <c r="CI10" s="11">
        <f t="shared" si="32"/>
        <v>54.584214590586278</v>
      </c>
      <c r="CJ10" s="14"/>
      <c r="CK10" s="14">
        <f t="shared" si="33"/>
        <v>-1.0664055753784041E-4</v>
      </c>
      <c r="CL10" s="14">
        <f t="shared" si="34"/>
        <v>1.851821672002707E-3</v>
      </c>
      <c r="CM10" s="14">
        <f t="shared" si="35"/>
        <v>-2.6790111997114785E-3</v>
      </c>
      <c r="CN10" s="19"/>
      <c r="CO10" s="12"/>
      <c r="CP10" s="12"/>
      <c r="CS10" s="17"/>
      <c r="CT10" s="20"/>
      <c r="CU10" s="20"/>
      <c r="CV10" s="21"/>
      <c r="DC10" s="14"/>
      <c r="DD10" s="14"/>
      <c r="DE10" s="14"/>
      <c r="DF10" s="14"/>
      <c r="DK10" s="12"/>
      <c r="ET10" s="1">
        <f t="shared" si="36"/>
        <v>3.1069599326058051E-5</v>
      </c>
      <c r="EU10" s="1">
        <f t="shared" si="37"/>
        <v>1.456409535826162E-3</v>
      </c>
      <c r="EV10" s="1">
        <f t="shared" si="38"/>
        <v>0.20356191627977402</v>
      </c>
      <c r="EW10" s="1">
        <f t="shared" si="39"/>
        <v>2.8447655191737396E-3</v>
      </c>
      <c r="EX10" s="1">
        <f t="shared" si="40"/>
        <v>2.5485515383107473</v>
      </c>
      <c r="EY10" s="1">
        <f t="shared" si="41"/>
        <v>0.82922316616406933</v>
      </c>
      <c r="EZ10" s="1">
        <f t="shared" si="42"/>
        <v>7.3362028289187003E-2</v>
      </c>
      <c r="FA10" s="1">
        <f t="shared" si="43"/>
        <v>1.4034458435638077</v>
      </c>
      <c r="FB10" s="1">
        <f t="shared" si="44"/>
        <v>0.406209186114529</v>
      </c>
      <c r="FC10" s="1">
        <f t="shared" si="45"/>
        <v>0.20991833032027651</v>
      </c>
      <c r="FD10" s="1">
        <f t="shared" si="46"/>
        <v>0.13327161531729978</v>
      </c>
      <c r="FE10" s="1">
        <f t="shared" si="47"/>
        <v>0.75595203776233189</v>
      </c>
      <c r="FF10" s="1">
        <f t="shared" si="48"/>
        <v>0.16663580765864988</v>
      </c>
      <c r="FG10" s="1">
        <f t="shared" si="49"/>
        <v>-0.16663580765864988</v>
      </c>
      <c r="FH10" s="1">
        <f t="shared" si="50"/>
        <v>0.67797601888116588</v>
      </c>
      <c r="FI10" s="1">
        <f t="shared" si="51"/>
        <v>1.5964183468974376</v>
      </c>
      <c r="FJ10" s="1">
        <f t="shared" si="52"/>
        <v>0.91061691515371568</v>
      </c>
      <c r="FK10" s="1">
        <f t="shared" si="53"/>
        <v>0.27085425654618572</v>
      </c>
      <c r="FL10" s="1">
        <f t="shared" si="54"/>
        <v>1.1293669602049075</v>
      </c>
      <c r="FM10" s="1">
        <f t="shared" si="55"/>
        <v>0.31041175278751282</v>
      </c>
      <c r="FN10" s="1">
        <f t="shared" si="56"/>
        <v>0.30267931528674602</v>
      </c>
      <c r="FO10" s="1">
        <f t="shared" si="57"/>
        <v>0.30647170462351625</v>
      </c>
    </row>
    <row r="11" spans="1:171" x14ac:dyDescent="0.25">
      <c r="A11" s="11">
        <v>7.274487157386611</v>
      </c>
      <c r="B11" s="3">
        <v>270</v>
      </c>
      <c r="C11" s="12">
        <v>0.18989875578343543</v>
      </c>
      <c r="D11" s="12">
        <v>0.3872428491668079</v>
      </c>
      <c r="E11" s="11">
        <v>7.274487157386611</v>
      </c>
      <c r="F11" s="12">
        <v>0.20914572005565329</v>
      </c>
      <c r="G11" s="12">
        <v>0.5046336466040745</v>
      </c>
      <c r="H11" s="12">
        <f t="shared" si="90"/>
        <v>0.22024501494487403</v>
      </c>
      <c r="I11" s="12">
        <f t="shared" si="91"/>
        <v>0.44912514961026817</v>
      </c>
      <c r="J11" s="12">
        <f t="shared" si="0"/>
        <v>6.50221549004492E-2</v>
      </c>
      <c r="K11" s="13">
        <f t="shared" si="58"/>
        <v>4.5094393371439889E-2</v>
      </c>
      <c r="L11" s="13">
        <f>SUM(K$3:$K11)</f>
        <v>0.51184427775792474</v>
      </c>
      <c r="M11" s="72">
        <f t="shared" si="92"/>
        <v>0.6940257685658715</v>
      </c>
      <c r="N11" s="12">
        <f t="shared" si="59"/>
        <v>1.4137639436247103E-4</v>
      </c>
      <c r="O11" s="21">
        <f t="shared" si="60"/>
        <v>4.6994311607138134E-9</v>
      </c>
      <c r="P11" s="11">
        <f>SUM(O$2:$O11)</f>
        <v>7.9493921868911995E-8</v>
      </c>
      <c r="Q11" s="12">
        <f t="shared" si="61"/>
        <v>1.0142806575692159E-3</v>
      </c>
      <c r="R11" s="3">
        <f t="shared" si="1"/>
        <v>0.33429261858948089</v>
      </c>
      <c r="S11" s="1">
        <f t="shared" si="62"/>
        <v>1.465651071014774E-3</v>
      </c>
      <c r="T11" s="1">
        <f t="shared" si="63"/>
        <v>0.9580955207001608</v>
      </c>
      <c r="U11" s="1">
        <f t="shared" si="64"/>
        <v>4.2026301125735631E-3</v>
      </c>
      <c r="V11" s="11">
        <f t="shared" si="65"/>
        <v>6.3563599541197364</v>
      </c>
      <c r="W11" s="12">
        <f t="shared" si="66"/>
        <v>4.4114580764170713E-2</v>
      </c>
      <c r="X11" s="13">
        <f t="shared" si="2"/>
        <v>-1.4474828690472008E-2</v>
      </c>
      <c r="Y11" s="12" t="e">
        <f>(SQRT((Q11/M11)^2 + (0.0002/F11)^2))*#REF!</f>
        <v>#REF!</v>
      </c>
      <c r="Z11" s="12">
        <f t="shared" si="3"/>
        <v>4.1650641697307724E-3</v>
      </c>
      <c r="AA11" s="12">
        <f t="shared" si="67"/>
        <v>1.0843686537276222E-2</v>
      </c>
      <c r="AB11" s="12">
        <f t="shared" si="4"/>
        <v>4.7217187877818716E-3</v>
      </c>
      <c r="AC11" s="14">
        <f t="shared" si="68"/>
        <v>6.3023062632276323</v>
      </c>
      <c r="AD11" s="1">
        <f t="shared" si="69"/>
        <v>3.0905673804645217</v>
      </c>
      <c r="AE11" s="14">
        <f t="shared" si="70"/>
        <v>2.7506123431773082</v>
      </c>
      <c r="AF11" s="14">
        <f t="shared" si="5"/>
        <v>60.713450536357847</v>
      </c>
      <c r="AG11" s="14">
        <f t="shared" si="6"/>
        <v>252.4686693217576</v>
      </c>
      <c r="AH11" s="14">
        <f t="shared" si="7"/>
        <v>252.46866932175757</v>
      </c>
      <c r="AI11" s="14">
        <f t="shared" si="8"/>
        <v>60.713450536357847</v>
      </c>
      <c r="AJ11" s="14">
        <f t="shared" si="9"/>
        <v>48.091382041515033</v>
      </c>
      <c r="AK11" s="14">
        <f t="shared" si="71"/>
        <v>143.6638367438847</v>
      </c>
      <c r="AL11" s="14">
        <f t="shared" si="72"/>
        <v>277.71280631144322</v>
      </c>
      <c r="AM11" s="7"/>
      <c r="AN11" s="12">
        <f t="shared" si="73"/>
        <v>0.6940257685658715</v>
      </c>
      <c r="AO11" s="14">
        <f t="shared" si="10"/>
        <v>0.33429261858948089</v>
      </c>
      <c r="AP11" s="14">
        <f t="shared" si="74"/>
        <v>1.043737266686328</v>
      </c>
      <c r="AQ11" s="11">
        <f t="shared" si="93"/>
        <v>6.3563599541197364</v>
      </c>
      <c r="AR11" s="14">
        <f t="shared" si="11"/>
        <v>7.4242519800586546</v>
      </c>
      <c r="AS11" s="14">
        <f t="shared" si="12"/>
        <v>-1.4474828624401415E-2</v>
      </c>
      <c r="AT11" s="82">
        <f t="shared" si="13"/>
        <v>277.13489602883692</v>
      </c>
      <c r="AU11" s="82">
        <f t="shared" si="14"/>
        <v>48.180437433675351</v>
      </c>
      <c r="AV11" s="82">
        <f t="shared" si="15"/>
        <v>143.64340891554338</v>
      </c>
      <c r="AW11" s="14">
        <f t="shared" si="75"/>
        <v>-0.57791028260629673</v>
      </c>
      <c r="AX11" s="14">
        <f t="shared" si="76"/>
        <v>8.9055392160318547E-2</v>
      </c>
      <c r="AY11" s="14">
        <f t="shared" si="77"/>
        <v>-2.0427828341325949E-2</v>
      </c>
      <c r="AZ11" s="11">
        <f t="shared" si="78"/>
        <v>0.14976482267204361</v>
      </c>
      <c r="BA11" s="92"/>
      <c r="BB11" s="2"/>
      <c r="BC11" s="12">
        <v>0.20914572005565329</v>
      </c>
      <c r="BD11" s="12">
        <v>0.5046336466040745</v>
      </c>
      <c r="BE11" s="12">
        <f t="shared" si="79"/>
        <v>0.22024501494487403</v>
      </c>
      <c r="BF11" s="12">
        <f t="shared" si="80"/>
        <v>0.44912514961026817</v>
      </c>
      <c r="BG11" s="12">
        <v>0.69408563051305572</v>
      </c>
      <c r="BH11" s="14">
        <f t="shared" si="16"/>
        <v>0.3343791274804277</v>
      </c>
      <c r="BI11" s="14">
        <f t="shared" si="17"/>
        <v>1.0434672362150446</v>
      </c>
      <c r="BJ11" s="11">
        <f t="shared" si="81"/>
        <v>6.3547154685496219</v>
      </c>
      <c r="BK11" s="11">
        <f t="shared" si="18"/>
        <v>7.3844464084480181</v>
      </c>
      <c r="BL11" s="12">
        <f t="shared" si="19"/>
        <v>-1.4386089899365739E-2</v>
      </c>
      <c r="BM11" s="11">
        <f t="shared" si="20"/>
        <v>0.10995925106140714</v>
      </c>
      <c r="BN11" s="14">
        <f t="shared" si="94"/>
        <v>6.3028498573443859</v>
      </c>
      <c r="BO11" s="14">
        <f t="shared" si="95"/>
        <v>3.0908339518076593</v>
      </c>
      <c r="BP11" s="14">
        <f t="shared" si="96"/>
        <v>2.7508495923087803</v>
      </c>
      <c r="BQ11" s="14">
        <f t="shared" si="82"/>
        <v>252.44689496786785</v>
      </c>
      <c r="BR11" s="14">
        <f t="shared" si="83"/>
        <v>60.708214258282645</v>
      </c>
      <c r="BS11" s="14">
        <f t="shared" si="84"/>
        <v>48.087234363411326</v>
      </c>
      <c r="BT11" s="14">
        <f t="shared" si="85"/>
        <v>143.65144634617388</v>
      </c>
      <c r="BU11" s="14">
        <f t="shared" si="86"/>
        <v>277.6888547576105</v>
      </c>
      <c r="BV11" s="18">
        <f t="shared" si="22"/>
        <v>277.53827451293006</v>
      </c>
      <c r="BW11" s="18">
        <f t="shared" si="23"/>
        <v>48.178513831715598</v>
      </c>
      <c r="BX11" s="18">
        <f t="shared" si="24"/>
        <v>143.87879794768133</v>
      </c>
      <c r="BY11" s="11">
        <f t="shared" si="87"/>
        <v>-0.15058024468044096</v>
      </c>
      <c r="BZ11" s="11">
        <f t="shared" si="88"/>
        <v>9.1279468304271916E-2</v>
      </c>
      <c r="CA11" s="11">
        <f t="shared" si="89"/>
        <v>0.2273516015074506</v>
      </c>
      <c r="CB11" s="11">
        <f t="shared" si="25"/>
        <v>188.43195680276426</v>
      </c>
      <c r="CC11" s="11">
        <f t="shared" si="26"/>
        <v>6.6086596653570648</v>
      </c>
      <c r="CD11" s="11">
        <f t="shared" si="27"/>
        <v>2.7534591938635224</v>
      </c>
      <c r="CE11" s="11">
        <f t="shared" si="28"/>
        <v>6.3056341317309199</v>
      </c>
      <c r="CF11" s="11">
        <f t="shared" si="29"/>
        <v>3.088400916681501</v>
      </c>
      <c r="CG11" s="11">
        <f t="shared" si="30"/>
        <v>55.639003612079101</v>
      </c>
      <c r="CH11" s="11">
        <f t="shared" si="31"/>
        <v>54.232747616752107</v>
      </c>
      <c r="CI11" s="11">
        <f t="shared" si="32"/>
        <v>54.935875614415608</v>
      </c>
      <c r="CJ11" s="14"/>
      <c r="CK11" s="14">
        <f t="shared" si="33"/>
        <v>2.846850686214264E-3</v>
      </c>
      <c r="CL11" s="14">
        <f t="shared" si="34"/>
        <v>3.3278685032875899E-3</v>
      </c>
      <c r="CM11" s="14">
        <f t="shared" si="35"/>
        <v>-2.1664637830207667E-3</v>
      </c>
      <c r="CN11" s="19"/>
      <c r="CO11" s="12"/>
      <c r="CP11" s="12"/>
      <c r="CS11" s="17"/>
      <c r="CT11" s="20"/>
      <c r="CU11" s="20"/>
      <c r="CV11" s="21"/>
      <c r="DC11" s="14"/>
      <c r="DD11" s="14"/>
      <c r="DE11" s="14"/>
      <c r="DF11" s="14"/>
      <c r="DK11" s="12"/>
      <c r="ET11" s="1">
        <f t="shared" si="36"/>
        <v>3.1080172778361246E-5</v>
      </c>
      <c r="EU11" s="1">
        <f t="shared" si="37"/>
        <v>1.4531220429080973E-3</v>
      </c>
      <c r="EV11" s="1">
        <f t="shared" si="38"/>
        <v>0.21024360276771348</v>
      </c>
      <c r="EW11" s="1">
        <f t="shared" si="39"/>
        <v>2.923849839071345E-3</v>
      </c>
      <c r="EX11" s="1">
        <f t="shared" si="40"/>
        <v>2.6247912544174001</v>
      </c>
      <c r="EY11" s="1">
        <f t="shared" si="41"/>
        <v>0.85609352213999479</v>
      </c>
      <c r="EZ11" s="1">
        <f t="shared" si="42"/>
        <v>7.3334755950108424E-2</v>
      </c>
      <c r="FA11" s="1">
        <f t="shared" si="43"/>
        <v>1.4473167288407194</v>
      </c>
      <c r="FB11" s="1">
        <f t="shared" si="44"/>
        <v>0.41218788353538111</v>
      </c>
      <c r="FC11" s="1">
        <f t="shared" si="45"/>
        <v>0.21327955728855888</v>
      </c>
      <c r="FD11" s="1">
        <f t="shared" si="46"/>
        <v>0.13087075956264066</v>
      </c>
      <c r="FE11" s="1">
        <f t="shared" si="47"/>
        <v>0.76259917374567032</v>
      </c>
      <c r="FF11" s="1">
        <f t="shared" si="48"/>
        <v>0.16543537978132034</v>
      </c>
      <c r="FG11" s="1">
        <f t="shared" si="49"/>
        <v>-0.16543537978132034</v>
      </c>
      <c r="FH11" s="1">
        <f t="shared" si="50"/>
        <v>0.68129958687283509</v>
      </c>
      <c r="FI11" s="1">
        <f t="shared" si="51"/>
        <v>1.6201207530358348</v>
      </c>
      <c r="FJ11" s="1">
        <f t="shared" si="52"/>
        <v>0.92525322055099857</v>
      </c>
      <c r="FK11" s="1">
        <f t="shared" si="53"/>
        <v>0.27080390682209227</v>
      </c>
      <c r="FL11" s="1">
        <f t="shared" si="54"/>
        <v>1.1469007638142921</v>
      </c>
      <c r="FM11" s="1">
        <f t="shared" si="55"/>
        <v>0.31239168234175924</v>
      </c>
      <c r="FN11" s="1">
        <f t="shared" si="56"/>
        <v>0.30396063212775487</v>
      </c>
      <c r="FO11" s="1">
        <f t="shared" si="57"/>
        <v>0.30809592295961152</v>
      </c>
    </row>
    <row r="12" spans="1:171" x14ac:dyDescent="0.25">
      <c r="A12" s="11">
        <v>7.834063092570239</v>
      </c>
      <c r="B12" s="3">
        <v>300</v>
      </c>
      <c r="C12" s="12">
        <v>0.1891508537216991</v>
      </c>
      <c r="D12" s="12">
        <v>0.38607009792214575</v>
      </c>
      <c r="E12" s="11">
        <v>7.834063092570239</v>
      </c>
      <c r="F12" s="12">
        <v>0.20814572005565329</v>
      </c>
      <c r="G12" s="12">
        <v>0.50383364660407459</v>
      </c>
      <c r="H12" s="12">
        <f t="shared" si="90"/>
        <v>0.21937759640869217</v>
      </c>
      <c r="I12" s="12">
        <f t="shared" si="91"/>
        <v>0.44776499001184611</v>
      </c>
      <c r="J12" s="12">
        <f t="shared" si="0"/>
        <v>6.4407756455996668E-2</v>
      </c>
      <c r="K12" s="13">
        <f t="shared" si="58"/>
        <v>3.6212931844008638E-2</v>
      </c>
      <c r="L12" s="13">
        <f>SUM(K$3:$K12)</f>
        <v>0.54805720960193338</v>
      </c>
      <c r="M12" s="72">
        <f t="shared" si="92"/>
        <v>0.6933307872929303</v>
      </c>
      <c r="N12" s="12">
        <f t="shared" si="59"/>
        <v>1.4015569129308025E-4</v>
      </c>
      <c r="O12" s="21">
        <f t="shared" si="60"/>
        <v>3.0482080873313215E-9</v>
      </c>
      <c r="P12" s="11">
        <f>SUM(O$2:$O12)</f>
        <v>8.2542129956243318E-8</v>
      </c>
      <c r="Q12" s="12">
        <f t="shared" si="61"/>
        <v>1.0152823653699968E-3</v>
      </c>
      <c r="R12" s="3">
        <f t="shared" si="1"/>
        <v>0.33328936532078701</v>
      </c>
      <c r="S12" s="1">
        <f t="shared" si="62"/>
        <v>1.4641617884736504E-3</v>
      </c>
      <c r="T12" s="1">
        <f t="shared" si="63"/>
        <v>0.95522015819015638</v>
      </c>
      <c r="U12" s="1">
        <f t="shared" si="64"/>
        <v>4.1983617714485685E-3</v>
      </c>
      <c r="V12" s="11">
        <f t="shared" si="65"/>
        <v>6.3754935946270725</v>
      </c>
      <c r="W12" s="12">
        <f t="shared" si="66"/>
        <v>4.428255072125057E-2</v>
      </c>
      <c r="X12" s="13">
        <f t="shared" si="2"/>
        <v>-1.5506744712230458E-2</v>
      </c>
      <c r="Y12" s="12" t="e">
        <f>(SQRT((Q12/M12)^2 + (0.0002/F12)^2))*#REF!</f>
        <v>#REF!</v>
      </c>
      <c r="Z12" s="12">
        <f t="shared" si="3"/>
        <v>4.1756824562262313E-3</v>
      </c>
      <c r="AA12" s="12">
        <f t="shared" si="67"/>
        <v>1.090326493702074E-2</v>
      </c>
      <c r="AB12" s="12">
        <f t="shared" si="4"/>
        <v>4.7411600665294151E-3</v>
      </c>
      <c r="AC12" s="14">
        <f t="shared" si="68"/>
        <v>6.3208896317861125</v>
      </c>
      <c r="AD12" s="1">
        <f t="shared" si="69"/>
        <v>3.0968512624204383</v>
      </c>
      <c r="AE12" s="14">
        <f t="shared" si="70"/>
        <v>2.7522210633057123</v>
      </c>
      <c r="AF12" s="14">
        <f t="shared" si="5"/>
        <v>61.144093165633755</v>
      </c>
      <c r="AG12" s="14">
        <f t="shared" si="6"/>
        <v>254.72421247965286</v>
      </c>
      <c r="AH12" s="14">
        <f t="shared" si="7"/>
        <v>254.72421247965286</v>
      </c>
      <c r="AI12" s="14">
        <f t="shared" si="8"/>
        <v>61.144093165633755</v>
      </c>
      <c r="AJ12" s="14">
        <f t="shared" si="9"/>
        <v>48.292583822289842</v>
      </c>
      <c r="AK12" s="14">
        <f t="shared" si="71"/>
        <v>145.28753549172927</v>
      </c>
      <c r="AL12" s="14">
        <f t="shared" si="72"/>
        <v>280.42723116634073</v>
      </c>
      <c r="AM12" s="7"/>
      <c r="AN12" s="12">
        <f t="shared" si="73"/>
        <v>0.6933307872929303</v>
      </c>
      <c r="AO12" s="14">
        <f t="shared" si="10"/>
        <v>0.33328936532078701</v>
      </c>
      <c r="AP12" s="14">
        <f t="shared" si="74"/>
        <v>1.0468790795775158</v>
      </c>
      <c r="AQ12" s="11">
        <f t="shared" si="93"/>
        <v>6.3754935946270725</v>
      </c>
      <c r="AR12" s="14">
        <f t="shared" si="11"/>
        <v>7.9929798514619952</v>
      </c>
      <c r="AS12" s="14">
        <f t="shared" si="12"/>
        <v>-1.5506744641379022E-2</v>
      </c>
      <c r="AT12" s="82">
        <f t="shared" si="13"/>
        <v>280.17001734475076</v>
      </c>
      <c r="AU12" s="82">
        <f t="shared" si="14"/>
        <v>48.250341734456647</v>
      </c>
      <c r="AV12" s="82">
        <f t="shared" si="15"/>
        <v>145.37046141460965</v>
      </c>
      <c r="AW12" s="14">
        <f t="shared" si="75"/>
        <v>-0.2572138215899713</v>
      </c>
      <c r="AX12" s="14">
        <f t="shared" si="76"/>
        <v>-4.224208783319483E-2</v>
      </c>
      <c r="AY12" s="14">
        <f t="shared" si="77"/>
        <v>8.2925922880377811E-2</v>
      </c>
      <c r="AZ12" s="11">
        <f t="shared" si="78"/>
        <v>0.15891675889175616</v>
      </c>
      <c r="BA12" s="92"/>
      <c r="BB12" s="2"/>
      <c r="BC12" s="12">
        <v>0.20814572005565329</v>
      </c>
      <c r="BD12" s="12">
        <v>0.50383364660407459</v>
      </c>
      <c r="BE12" s="12">
        <f t="shared" si="79"/>
        <v>0.21937759640869217</v>
      </c>
      <c r="BF12" s="12">
        <f t="shared" si="80"/>
        <v>0.44776499001184611</v>
      </c>
      <c r="BG12" s="12">
        <v>0.69347278693382919</v>
      </c>
      <c r="BH12" s="14">
        <f t="shared" si="16"/>
        <v>0.33349418817587534</v>
      </c>
      <c r="BI12" s="14">
        <f t="shared" si="17"/>
        <v>1.0462361155631079</v>
      </c>
      <c r="BJ12" s="11">
        <f t="shared" si="81"/>
        <v>6.3715779437793261</v>
      </c>
      <c r="BK12" s="11">
        <f t="shared" si="18"/>
        <v>7.8863647498395801</v>
      </c>
      <c r="BL12" s="12">
        <f t="shared" si="19"/>
        <v>-1.5295649759448415E-2</v>
      </c>
      <c r="BM12" s="11">
        <f t="shared" si="20"/>
        <v>5.2301657269341106E-2</v>
      </c>
      <c r="BN12" s="14">
        <f t="shared" si="94"/>
        <v>6.3221842000850037</v>
      </c>
      <c r="BO12" s="14">
        <f t="shared" si="95"/>
        <v>3.0974855221060613</v>
      </c>
      <c r="BP12" s="14">
        <f t="shared" si="96"/>
        <v>2.7527847399948575</v>
      </c>
      <c r="BQ12" s="14">
        <f t="shared" si="82"/>
        <v>254.67205362442169</v>
      </c>
      <c r="BR12" s="14">
        <f t="shared" si="83"/>
        <v>61.131572934939491</v>
      </c>
      <c r="BS12" s="14">
        <f t="shared" si="84"/>
        <v>48.282695143613388</v>
      </c>
      <c r="BT12" s="14">
        <f t="shared" si="85"/>
        <v>145.25778554586881</v>
      </c>
      <c r="BU12" s="14">
        <f t="shared" si="86"/>
        <v>280.3698092070739</v>
      </c>
      <c r="BV12" s="18">
        <f t="shared" si="22"/>
        <v>280.26393800101209</v>
      </c>
      <c r="BW12" s="18">
        <f t="shared" si="23"/>
        <v>48.239178668326197</v>
      </c>
      <c r="BX12" s="18">
        <f t="shared" si="24"/>
        <v>145.42848544276725</v>
      </c>
      <c r="BY12" s="11">
        <f t="shared" si="87"/>
        <v>-0.10587120606180633</v>
      </c>
      <c r="BZ12" s="11">
        <f t="shared" si="88"/>
        <v>-4.351647528719127E-2</v>
      </c>
      <c r="CA12" s="11">
        <f t="shared" si="89"/>
        <v>0.17069989689844078</v>
      </c>
      <c r="CB12" s="11">
        <f t="shared" si="25"/>
        <v>190.37363629551555</v>
      </c>
      <c r="CC12" s="11">
        <f t="shared" si="26"/>
        <v>6.6322381110878696</v>
      </c>
      <c r="CD12" s="11">
        <f t="shared" si="27"/>
        <v>2.7515439383733344</v>
      </c>
      <c r="CE12" s="11">
        <f t="shared" si="28"/>
        <v>6.3224385580686269</v>
      </c>
      <c r="CF12" s="11">
        <f t="shared" si="29"/>
        <v>3.0947815562446825</v>
      </c>
      <c r="CG12" s="11">
        <f t="shared" si="30"/>
        <v>55.910597712644687</v>
      </c>
      <c r="CH12" s="11">
        <f t="shared" si="31"/>
        <v>54.433083715279587</v>
      </c>
      <c r="CI12" s="11">
        <f t="shared" si="32"/>
        <v>55.171840713962141</v>
      </c>
      <c r="CJ12" s="14"/>
      <c r="CK12" s="14">
        <f t="shared" si="33"/>
        <v>-6.7712493237781501E-4</v>
      </c>
      <c r="CL12" s="14">
        <f t="shared" si="34"/>
        <v>1.5489262825143513E-3</v>
      </c>
      <c r="CM12" s="14">
        <f t="shared" si="35"/>
        <v>-2.0697061757557478E-3</v>
      </c>
      <c r="CN12" s="19"/>
      <c r="CO12" s="12"/>
      <c r="CP12" s="12"/>
      <c r="CS12" s="17"/>
      <c r="CT12" s="20"/>
      <c r="CU12" s="20"/>
      <c r="CV12" s="21"/>
      <c r="DC12" s="14"/>
      <c r="DD12" s="14"/>
      <c r="DE12" s="14"/>
      <c r="DF12" s="14"/>
      <c r="DK12" s="12"/>
      <c r="ET12" s="1">
        <f t="shared" si="36"/>
        <v>3.1088685980358093E-5</v>
      </c>
      <c r="EU12" s="1">
        <f t="shared" si="37"/>
        <v>1.4699634407117264E-3</v>
      </c>
      <c r="EV12" s="1">
        <f t="shared" si="38"/>
        <v>0.21571278771972768</v>
      </c>
      <c r="EW12" s="1">
        <f t="shared" si="39"/>
        <v>2.9835184760632375E-3</v>
      </c>
      <c r="EX12" s="1">
        <f t="shared" si="40"/>
        <v>2.6783233218749731</v>
      </c>
      <c r="EY12" s="1">
        <f t="shared" si="41"/>
        <v>0.87640080185928915</v>
      </c>
      <c r="EZ12" s="1">
        <f t="shared" si="42"/>
        <v>7.3974177766644916E-2</v>
      </c>
      <c r="FA12" s="1">
        <f t="shared" si="43"/>
        <v>1.4793189937427569</v>
      </c>
      <c r="FB12" s="1">
        <f t="shared" si="44"/>
        <v>0.41808033051735144</v>
      </c>
      <c r="FC12" s="1">
        <f t="shared" si="45"/>
        <v>0.21665791000135762</v>
      </c>
      <c r="FD12" s="1">
        <f t="shared" si="46"/>
        <v>0.13017656393407717</v>
      </c>
      <c r="FE12" s="1">
        <f t="shared" si="47"/>
        <v>0.76453796448335687</v>
      </c>
      <c r="FF12" s="1">
        <f t="shared" si="48"/>
        <v>0.16508828196703859</v>
      </c>
      <c r="FG12" s="1">
        <f t="shared" si="49"/>
        <v>-0.16508828196703859</v>
      </c>
      <c r="FH12" s="1">
        <f t="shared" si="50"/>
        <v>0.68226898224167842</v>
      </c>
      <c r="FI12" s="1">
        <f t="shared" si="51"/>
        <v>1.6365583771668437</v>
      </c>
      <c r="FJ12" s="1">
        <f t="shared" si="52"/>
        <v>0.93616280734671853</v>
      </c>
      <c r="FK12" s="1">
        <f t="shared" si="53"/>
        <v>0.27198194382466812</v>
      </c>
      <c r="FL12" s="1">
        <f t="shared" si="54"/>
        <v>1.1595594232429238</v>
      </c>
      <c r="FM12" s="1">
        <f t="shared" si="55"/>
        <v>0.31434937628342868</v>
      </c>
      <c r="FN12" s="1">
        <f t="shared" si="56"/>
        <v>0.30566910513084888</v>
      </c>
      <c r="FO12" s="1">
        <f t="shared" si="57"/>
        <v>0.30992644298279709</v>
      </c>
    </row>
    <row r="13" spans="1:171" x14ac:dyDescent="0.25">
      <c r="A13" s="11">
        <v>8.5227719358730862</v>
      </c>
      <c r="B13" s="3">
        <v>330</v>
      </c>
      <c r="C13" s="12">
        <v>0.18825875165145373</v>
      </c>
      <c r="D13" s="12">
        <v>0.38477686045836157</v>
      </c>
      <c r="E13" s="11">
        <v>8.5227719358730862</v>
      </c>
      <c r="F13" s="12">
        <v>0.20734572005565327</v>
      </c>
      <c r="G13" s="12">
        <v>0.50403364660407457</v>
      </c>
      <c r="H13" s="12">
        <f t="shared" si="90"/>
        <v>0.21834293437005509</v>
      </c>
      <c r="I13" s="12">
        <f t="shared" si="91"/>
        <v>0.44626509021859395</v>
      </c>
      <c r="J13" s="12">
        <f t="shared" si="0"/>
        <v>6.3582325213876231E-2</v>
      </c>
      <c r="K13" s="13">
        <f t="shared" si="58"/>
        <v>4.407395055054756E-2</v>
      </c>
      <c r="L13" s="13">
        <f>SUM(K$3:$K13)</f>
        <v>0.59213116015248091</v>
      </c>
      <c r="M13" s="72">
        <f t="shared" si="92"/>
        <v>0.69248681671030432</v>
      </c>
      <c r="N13" s="12">
        <f t="shared" si="59"/>
        <v>1.3890838379065608E-4</v>
      </c>
      <c r="O13" s="21">
        <f t="shared" si="60"/>
        <v>4.5241558546774555E-9</v>
      </c>
      <c r="P13" s="11">
        <f>SUM(O$2:$O13)</f>
        <v>8.7066285810920778E-8</v>
      </c>
      <c r="Q13" s="12">
        <f t="shared" si="61"/>
        <v>1.0164996659044819E-3</v>
      </c>
      <c r="R13" s="3">
        <f t="shared" si="1"/>
        <v>0.33207373709915805</v>
      </c>
      <c r="S13" s="1">
        <f t="shared" si="62"/>
        <v>1.4623506238884507E-3</v>
      </c>
      <c r="T13" s="1">
        <f t="shared" si="63"/>
        <v>0.95173612088507398</v>
      </c>
      <c r="U13" s="1">
        <f t="shared" si="64"/>
        <v>4.1931709039874435E-3</v>
      </c>
      <c r="V13" s="11">
        <f t="shared" si="65"/>
        <v>6.3988324771540244</v>
      </c>
      <c r="W13" s="12">
        <f t="shared" si="66"/>
        <v>4.4487699609290852E-2</v>
      </c>
      <c r="X13" s="13">
        <f t="shared" si="2"/>
        <v>-1.6764061508428685E-2</v>
      </c>
      <c r="Y13" s="12" t="e">
        <f>(SQRT((Q13/M13)^2 + (0.0002/F13)^2))*#REF!</f>
        <v>#REF!</v>
      </c>
      <c r="Z13" s="12">
        <f t="shared" si="3"/>
        <v>4.1782275363312161E-3</v>
      </c>
      <c r="AA13" s="12">
        <f t="shared" si="67"/>
        <v>1.0975162054274496E-2</v>
      </c>
      <c r="AB13" s="12">
        <f t="shared" si="4"/>
        <v>4.7631798470375202E-3</v>
      </c>
      <c r="AC13" s="14">
        <f t="shared" si="68"/>
        <v>6.3431117540689819</v>
      </c>
      <c r="AD13" s="1">
        <f t="shared" si="69"/>
        <v>3.1034774258103122</v>
      </c>
      <c r="AE13" s="14">
        <f t="shared" si="70"/>
        <v>2.7477801189501236</v>
      </c>
      <c r="AF13" s="14">
        <f t="shared" si="5"/>
        <v>61.630816567583516</v>
      </c>
      <c r="AG13" s="14">
        <f t="shared" si="6"/>
        <v>257.45745167788135</v>
      </c>
      <c r="AH13" s="14">
        <f t="shared" si="7"/>
        <v>257.45745167788135</v>
      </c>
      <c r="AI13" s="14">
        <f t="shared" si="8"/>
        <v>61.630816567583516</v>
      </c>
      <c r="AJ13" s="14">
        <f t="shared" si="9"/>
        <v>48.313076582838384</v>
      </c>
      <c r="AK13" s="14">
        <f t="shared" si="71"/>
        <v>147.51355852745945</v>
      </c>
      <c r="AL13" s="14">
        <f t="shared" si="72"/>
        <v>284.09293164737159</v>
      </c>
      <c r="AM13" s="7"/>
      <c r="AN13" s="12">
        <f t="shared" si="73"/>
        <v>0.69248681671030432</v>
      </c>
      <c r="AO13" s="14">
        <f t="shared" si="10"/>
        <v>0.33207373709915805</v>
      </c>
      <c r="AP13" s="14">
        <f t="shared" si="74"/>
        <v>1.0507114083996756</v>
      </c>
      <c r="AQ13" s="11">
        <f t="shared" si="93"/>
        <v>6.3988324771540244</v>
      </c>
      <c r="AR13" s="14">
        <f t="shared" si="11"/>
        <v>8.6931989684029602</v>
      </c>
      <c r="AS13" s="14">
        <f t="shared" si="12"/>
        <v>-1.6764061431739696E-2</v>
      </c>
      <c r="AT13" s="82">
        <f t="shared" si="13"/>
        <v>283.89322808678025</v>
      </c>
      <c r="AU13" s="82">
        <f t="shared" si="14"/>
        <v>48.329800972057669</v>
      </c>
      <c r="AV13" s="82">
        <f t="shared" si="15"/>
        <v>147.4923111937787</v>
      </c>
      <c r="AW13" s="14">
        <f t="shared" si="75"/>
        <v>-0.1997035605913311</v>
      </c>
      <c r="AX13" s="14">
        <f t="shared" si="76"/>
        <v>1.6724389219284319E-2</v>
      </c>
      <c r="AY13" s="14">
        <f t="shared" si="77"/>
        <v>-2.1247333680747715E-2</v>
      </c>
      <c r="AZ13" s="11">
        <f t="shared" si="78"/>
        <v>0.17042703252987401</v>
      </c>
      <c r="BA13" s="92"/>
      <c r="BB13" s="2"/>
      <c r="BC13" s="12">
        <v>0.20734572005565327</v>
      </c>
      <c r="BD13" s="12">
        <v>0.50403364660407457</v>
      </c>
      <c r="BE13" s="12">
        <f t="shared" si="79"/>
        <v>0.21834293437005509</v>
      </c>
      <c r="BF13" s="12">
        <f t="shared" si="80"/>
        <v>0.44626509021859395</v>
      </c>
      <c r="BG13" s="12">
        <v>0.69264487091751414</v>
      </c>
      <c r="BH13" s="14">
        <f t="shared" si="16"/>
        <v>0.33230116799155507</v>
      </c>
      <c r="BI13" s="14">
        <f t="shared" si="17"/>
        <v>1.0499922889493638</v>
      </c>
      <c r="BJ13" s="11">
        <f t="shared" si="81"/>
        <v>6.3944530397016255</v>
      </c>
      <c r="BK13" s="11">
        <f t="shared" si="18"/>
        <v>8.5733569347771983</v>
      </c>
      <c r="BL13" s="12">
        <f t="shared" si="19"/>
        <v>-1.6528248192857586E-2</v>
      </c>
      <c r="BM13" s="11">
        <f t="shared" si="20"/>
        <v>5.0584998904112055E-2</v>
      </c>
      <c r="BN13" s="14">
        <f t="shared" si="94"/>
        <v>6.3445595152036924</v>
      </c>
      <c r="BO13" s="14">
        <f t="shared" si="95"/>
        <v>3.1041857680520608</v>
      </c>
      <c r="BP13" s="14">
        <f t="shared" si="96"/>
        <v>2.7484072763166001</v>
      </c>
      <c r="BQ13" s="14">
        <f t="shared" si="82"/>
        <v>257.39870262028523</v>
      </c>
      <c r="BR13" s="14">
        <f t="shared" si="83"/>
        <v>61.61675306944575</v>
      </c>
      <c r="BS13" s="14">
        <f t="shared" si="84"/>
        <v>48.302052051599105</v>
      </c>
      <c r="BT13" s="14">
        <f t="shared" si="85"/>
        <v>147.47989749924039</v>
      </c>
      <c r="BU13" s="14">
        <f t="shared" si="86"/>
        <v>284.02810465597855</v>
      </c>
      <c r="BV13" s="18">
        <f t="shared" si="22"/>
        <v>283.98206647326424</v>
      </c>
      <c r="BW13" s="18">
        <f t="shared" si="23"/>
        <v>48.316257899855501</v>
      </c>
      <c r="BX13" s="18">
        <f t="shared" si="24"/>
        <v>147.54532674212351</v>
      </c>
      <c r="BY13" s="11">
        <f t="shared" si="87"/>
        <v>-4.603818271431237E-2</v>
      </c>
      <c r="BZ13" s="11">
        <f t="shared" si="88"/>
        <v>1.420584825639537E-2</v>
      </c>
      <c r="CA13" s="11">
        <f t="shared" si="89"/>
        <v>6.5429242883112693E-2</v>
      </c>
      <c r="CB13" s="11">
        <f t="shared" si="25"/>
        <v>193.02423998583708</v>
      </c>
      <c r="CC13" s="11">
        <f t="shared" si="26"/>
        <v>6.6641345415568285</v>
      </c>
      <c r="CD13" s="11">
        <f t="shared" si="27"/>
        <v>2.7488114060043092</v>
      </c>
      <c r="CE13" s="11">
        <f t="shared" si="28"/>
        <v>6.345141442280033</v>
      </c>
      <c r="CF13" s="11">
        <f t="shared" si="29"/>
        <v>3.1033693153221487</v>
      </c>
      <c r="CG13" s="11">
        <f t="shared" si="30"/>
        <v>56.277102686141447</v>
      </c>
      <c r="CH13" s="11">
        <f t="shared" si="31"/>
        <v>54.6994976576919</v>
      </c>
      <c r="CI13" s="11">
        <f t="shared" si="32"/>
        <v>55.488300171916677</v>
      </c>
      <c r="CJ13" s="14"/>
      <c r="CK13" s="14">
        <f t="shared" si="33"/>
        <v>1.0312870541855368E-3</v>
      </c>
      <c r="CL13" s="14">
        <f t="shared" si="34"/>
        <v>2.029688211051095E-3</v>
      </c>
      <c r="CM13" s="14">
        <f t="shared" si="35"/>
        <v>-1.0811048816350421E-4</v>
      </c>
      <c r="CN13" s="19"/>
      <c r="CO13" s="12"/>
      <c r="CP13" s="12"/>
      <c r="CS13" s="17"/>
      <c r="CT13" s="20"/>
      <c r="CU13" s="20"/>
      <c r="CV13" s="21"/>
      <c r="DC13" s="14"/>
      <c r="DD13" s="14"/>
      <c r="DE13" s="14"/>
      <c r="DF13" s="14"/>
      <c r="DK13" s="12"/>
      <c r="ET13" s="1">
        <f t="shared" si="36"/>
        <v>3.109907364757218E-5</v>
      </c>
      <c r="EU13" s="1">
        <f t="shared" si="37"/>
        <v>1.4700439329710369E-3</v>
      </c>
      <c r="EV13" s="1">
        <f t="shared" si="38"/>
        <v>0.22246035707931158</v>
      </c>
      <c r="EW13" s="1">
        <f t="shared" si="39"/>
        <v>3.0516167976571097E-3</v>
      </c>
      <c r="EX13" s="1">
        <f t="shared" si="40"/>
        <v>2.7505157227678723</v>
      </c>
      <c r="EY13" s="1">
        <f t="shared" si="41"/>
        <v>0.90370563357697276</v>
      </c>
      <c r="EZ13" s="1">
        <f t="shared" si="42"/>
        <v>7.4060051457096182E-2</v>
      </c>
      <c r="FA13" s="1">
        <f t="shared" si="43"/>
        <v>1.522583484404483</v>
      </c>
      <c r="FB13" s="1">
        <f t="shared" si="44"/>
        <v>0.42390724839247501</v>
      </c>
      <c r="FC13" s="1">
        <f t="shared" si="45"/>
        <v>0.2201678868466726</v>
      </c>
      <c r="FD13" s="1">
        <f t="shared" si="46"/>
        <v>0.1283921736299462</v>
      </c>
      <c r="FE13" s="1">
        <f t="shared" si="47"/>
        <v>0.76955675776361787</v>
      </c>
      <c r="FF13" s="1">
        <f t="shared" si="48"/>
        <v>0.16419608681497311</v>
      </c>
      <c r="FG13" s="1">
        <f t="shared" si="49"/>
        <v>-0.16419608681497311</v>
      </c>
      <c r="FH13" s="1">
        <f t="shared" si="50"/>
        <v>0.68477837888180892</v>
      </c>
      <c r="FI13" s="1">
        <f t="shared" si="51"/>
        <v>1.6584678841532845</v>
      </c>
      <c r="FJ13" s="1">
        <f t="shared" si="52"/>
        <v>0.95063433221032612</v>
      </c>
      <c r="FK13" s="1">
        <f t="shared" si="53"/>
        <v>0.27213976456426975</v>
      </c>
      <c r="FL13" s="1">
        <f t="shared" si="54"/>
        <v>1.1764198133269383</v>
      </c>
      <c r="FM13" s="1">
        <f t="shared" si="55"/>
        <v>0.31610321225350174</v>
      </c>
      <c r="FN13" s="1">
        <f t="shared" si="56"/>
        <v>0.30685601754490727</v>
      </c>
      <c r="FO13" s="1">
        <f t="shared" si="57"/>
        <v>0.31139160515527381</v>
      </c>
    </row>
    <row r="14" spans="1:171" x14ac:dyDescent="0.25">
      <c r="A14" s="11">
        <v>9.1253921737631298</v>
      </c>
      <c r="B14" s="3">
        <v>360</v>
      </c>
      <c r="C14" s="12">
        <v>0.18750571978017941</v>
      </c>
      <c r="D14" s="12">
        <v>0.38374368110821533</v>
      </c>
      <c r="E14" s="11">
        <v>9.1253921737631298</v>
      </c>
      <c r="F14" s="12">
        <v>0.20634572005565327</v>
      </c>
      <c r="G14" s="12">
        <v>0.50443364660407453</v>
      </c>
      <c r="H14" s="12">
        <f t="shared" si="90"/>
        <v>0.21746956626893954</v>
      </c>
      <c r="I14" s="12">
        <f t="shared" si="91"/>
        <v>0.44506680642534358</v>
      </c>
      <c r="J14" s="12">
        <f t="shared" si="0"/>
        <v>6.2874177611697807E-2</v>
      </c>
      <c r="K14" s="13">
        <f t="shared" si="58"/>
        <v>3.8102623907745201E-2</v>
      </c>
      <c r="L14" s="13">
        <f>SUM(K$3:$K14)</f>
        <v>0.63023378406022612</v>
      </c>
      <c r="M14" s="72">
        <f t="shared" si="92"/>
        <v>0.69175884509037111</v>
      </c>
      <c r="N14" s="12">
        <f t="shared" si="59"/>
        <v>1.3732168282651387E-4</v>
      </c>
      <c r="O14" s="21">
        <f t="shared" si="60"/>
        <v>3.400095117608118E-9</v>
      </c>
      <c r="P14" s="11">
        <f>SUM(O$2:$O14)</f>
        <v>9.0466380928528898E-8</v>
      </c>
      <c r="Q14" s="12">
        <f t="shared" si="61"/>
        <v>1.0175503483713353E-3</v>
      </c>
      <c r="R14" s="3">
        <f t="shared" si="1"/>
        <v>0.33102756750325524</v>
      </c>
      <c r="S14" s="1">
        <f t="shared" si="62"/>
        <v>1.460786019683415E-3</v>
      </c>
      <c r="T14" s="1">
        <f t="shared" si="63"/>
        <v>0.94873775852829678</v>
      </c>
      <c r="U14" s="1">
        <f t="shared" si="64"/>
        <v>4.1886866880725413E-3</v>
      </c>
      <c r="V14" s="11">
        <f t="shared" si="65"/>
        <v>6.4190551553960971</v>
      </c>
      <c r="W14" s="12">
        <f t="shared" si="66"/>
        <v>4.4665688694352355E-2</v>
      </c>
      <c r="X14" s="13">
        <f t="shared" si="2"/>
        <v>-1.7852265922046695E-2</v>
      </c>
      <c r="Y14" s="12" t="e">
        <f>(SQRT((Q14/M14)^2 + (0.0002/F14)^2))*#REF!</f>
        <v>#REF!</v>
      </c>
      <c r="Z14" s="12">
        <f t="shared" si="3"/>
        <v>4.1784128206378921E-3</v>
      </c>
      <c r="AA14" s="12">
        <f t="shared" si="67"/>
        <v>1.103658370927338E-2</v>
      </c>
      <c r="AB14" s="12">
        <f t="shared" si="4"/>
        <v>4.7811870012114408E-3</v>
      </c>
      <c r="AC14" s="14">
        <f t="shared" si="68"/>
        <v>6.3618910632753929</v>
      </c>
      <c r="AD14" s="1">
        <f t="shared" si="69"/>
        <v>3.1085618388232157</v>
      </c>
      <c r="AE14" s="14">
        <f t="shared" si="70"/>
        <v>2.7427149229532919</v>
      </c>
      <c r="AF14" s="14">
        <f t="shared" si="5"/>
        <v>62.028335869688654</v>
      </c>
      <c r="AG14" s="14">
        <f t="shared" si="6"/>
        <v>259.80264240704486</v>
      </c>
      <c r="AH14" s="14">
        <f t="shared" si="7"/>
        <v>259.80264240704491</v>
      </c>
      <c r="AI14" s="14">
        <f t="shared" si="8"/>
        <v>62.028335869688654</v>
      </c>
      <c r="AJ14" s="14">
        <f t="shared" si="9"/>
        <v>48.287247074451592</v>
      </c>
      <c r="AK14" s="14">
        <f t="shared" si="71"/>
        <v>149.48705946290468</v>
      </c>
      <c r="AL14" s="14">
        <f t="shared" si="72"/>
        <v>287.28481999751904</v>
      </c>
      <c r="AM14" s="7"/>
      <c r="AN14" s="12">
        <f t="shared" si="73"/>
        <v>0.69175884509037111</v>
      </c>
      <c r="AO14" s="14">
        <f t="shared" si="10"/>
        <v>0.33102756750325524</v>
      </c>
      <c r="AP14" s="14">
        <f t="shared" si="74"/>
        <v>1.0540320452210339</v>
      </c>
      <c r="AQ14" s="11">
        <f t="shared" si="93"/>
        <v>6.4190551553960971</v>
      </c>
      <c r="AR14" s="14">
        <f t="shared" si="11"/>
        <v>9.3057088936920476</v>
      </c>
      <c r="AS14" s="14">
        <f t="shared" si="12"/>
        <v>-1.7852265840293979E-2</v>
      </c>
      <c r="AT14" s="82">
        <f t="shared" si="13"/>
        <v>287.13800368430714</v>
      </c>
      <c r="AU14" s="82">
        <f t="shared" si="14"/>
        <v>48.393432928766153</v>
      </c>
      <c r="AV14" s="82">
        <f t="shared" si="15"/>
        <v>149.34441361916609</v>
      </c>
      <c r="AW14" s="14">
        <f t="shared" si="75"/>
        <v>-0.14681631321190025</v>
      </c>
      <c r="AX14" s="14">
        <f t="shared" si="76"/>
        <v>0.1061858543145604</v>
      </c>
      <c r="AY14" s="14">
        <f t="shared" si="77"/>
        <v>-0.14264584373859179</v>
      </c>
      <c r="AZ14" s="11">
        <f t="shared" si="78"/>
        <v>0.18031671992891773</v>
      </c>
      <c r="BA14" s="92"/>
      <c r="BB14" s="2"/>
      <c r="BC14" s="12">
        <v>0.20634572005565327</v>
      </c>
      <c r="BD14" s="12">
        <v>0.50443364660407453</v>
      </c>
      <c r="BE14" s="12">
        <f t="shared" si="79"/>
        <v>0.21746956626893954</v>
      </c>
      <c r="BF14" s="12">
        <f t="shared" si="80"/>
        <v>0.44506680642534358</v>
      </c>
      <c r="BG14" s="12">
        <v>0.69192812221230304</v>
      </c>
      <c r="BH14" s="14">
        <f t="shared" si="16"/>
        <v>0.33127063967032588</v>
      </c>
      <c r="BI14" s="14">
        <f t="shared" si="17"/>
        <v>1.0532586417777081</v>
      </c>
      <c r="BJ14" s="11">
        <f t="shared" si="81"/>
        <v>6.4143451284262412</v>
      </c>
      <c r="BK14" s="11">
        <f t="shared" si="18"/>
        <v>9.1764895999053984</v>
      </c>
      <c r="BL14" s="12">
        <f t="shared" si="19"/>
        <v>-1.7598916350664462E-2</v>
      </c>
      <c r="BM14" s="11">
        <f t="shared" si="20"/>
        <v>5.1097426142268532E-2</v>
      </c>
      <c r="BN14" s="14">
        <f t="shared" si="94"/>
        <v>6.3634478523455709</v>
      </c>
      <c r="BO14" s="14">
        <f t="shared" si="95"/>
        <v>3.109322520678111</v>
      </c>
      <c r="BP14" s="14">
        <f t="shared" si="96"/>
        <v>2.743386080093865</v>
      </c>
      <c r="BQ14" s="14">
        <f t="shared" si="82"/>
        <v>259.7390828519911</v>
      </c>
      <c r="BR14" s="14">
        <f t="shared" si="83"/>
        <v>62.01316091460707</v>
      </c>
      <c r="BS14" s="14">
        <f t="shared" si="84"/>
        <v>48.275433815316141</v>
      </c>
      <c r="BT14" s="14">
        <f t="shared" si="85"/>
        <v>149.4504881220679</v>
      </c>
      <c r="BU14" s="14">
        <f t="shared" si="86"/>
        <v>287.21453705057297</v>
      </c>
      <c r="BV14" s="18">
        <f t="shared" si="22"/>
        <v>287.23461007291576</v>
      </c>
      <c r="BW14" s="18">
        <f t="shared" si="23"/>
        <v>48.378353640329379</v>
      </c>
      <c r="BX14" s="18">
        <f t="shared" si="24"/>
        <v>149.39980878834211</v>
      </c>
      <c r="BY14" s="11">
        <f t="shared" si="87"/>
        <v>2.0073022342785407E-2</v>
      </c>
      <c r="BZ14" s="11">
        <f t="shared" si="88"/>
        <v>0.10291982501323815</v>
      </c>
      <c r="CA14" s="11">
        <f t="shared" si="89"/>
        <v>-5.0679333725781817E-2</v>
      </c>
      <c r="CB14" s="11">
        <f t="shared" si="25"/>
        <v>195.34474254986665</v>
      </c>
      <c r="CC14" s="11">
        <f t="shared" si="26"/>
        <v>6.6917887497469497</v>
      </c>
      <c r="CD14" s="11">
        <f t="shared" si="27"/>
        <v>2.746308876081982</v>
      </c>
      <c r="CE14" s="11">
        <f t="shared" si="28"/>
        <v>6.3647968465918021</v>
      </c>
      <c r="CF14" s="11">
        <f t="shared" si="29"/>
        <v>3.1107738056250338</v>
      </c>
      <c r="CG14" s="11">
        <f t="shared" si="30"/>
        <v>56.593972441112349</v>
      </c>
      <c r="CH14" s="11">
        <f t="shared" si="31"/>
        <v>54.926071016339947</v>
      </c>
      <c r="CI14" s="11">
        <f t="shared" si="32"/>
        <v>55.760021728726144</v>
      </c>
      <c r="CJ14" s="14"/>
      <c r="CK14" s="14">
        <f t="shared" si="33"/>
        <v>3.5939531286901527E-3</v>
      </c>
      <c r="CL14" s="14">
        <f t="shared" si="34"/>
        <v>2.9057833164092273E-3</v>
      </c>
      <c r="CM14" s="14">
        <f t="shared" si="35"/>
        <v>2.2119668018181216E-3</v>
      </c>
      <c r="CN14" s="19"/>
      <c r="CO14" s="12"/>
      <c r="CP14" s="12"/>
      <c r="CS14" s="17"/>
      <c r="CT14" s="20"/>
      <c r="CU14" s="20"/>
      <c r="CV14" s="21"/>
      <c r="DC14" s="14"/>
      <c r="DD14" s="14"/>
      <c r="DE14" s="14"/>
      <c r="DF14" s="14"/>
      <c r="DK14" s="12"/>
      <c r="ET14" s="1">
        <f t="shared" si="36"/>
        <v>3.1108077125365428E-5</v>
      </c>
      <c r="EU14" s="1">
        <f t="shared" si="37"/>
        <v>1.4661445192291698E-3</v>
      </c>
      <c r="EV14" s="1">
        <f t="shared" si="38"/>
        <v>0.22835479420193555</v>
      </c>
      <c r="EW14" s="1">
        <f t="shared" si="39"/>
        <v>3.1077768813463215E-3</v>
      </c>
      <c r="EX14" s="1">
        <f t="shared" si="40"/>
        <v>2.8140799643124121</v>
      </c>
      <c r="EY14" s="1">
        <f t="shared" si="41"/>
        <v>0.92808165757041516</v>
      </c>
      <c r="EZ14" s="1">
        <f t="shared" si="42"/>
        <v>7.399954856896851E-2</v>
      </c>
      <c r="FA14" s="1">
        <f t="shared" si="43"/>
        <v>1.5610191929177766</v>
      </c>
      <c r="FB14" s="1">
        <f t="shared" si="44"/>
        <v>0.42860496331531633</v>
      </c>
      <c r="FC14" s="1">
        <f t="shared" si="45"/>
        <v>0.22308186641857225</v>
      </c>
      <c r="FD14" s="1">
        <f t="shared" si="46"/>
        <v>0.12675723112574541</v>
      </c>
      <c r="FE14" s="1">
        <f t="shared" si="47"/>
        <v>0.77420047549884308</v>
      </c>
      <c r="FF14" s="1">
        <f t="shared" si="48"/>
        <v>0.1633786155628727</v>
      </c>
      <c r="FG14" s="1">
        <f t="shared" si="49"/>
        <v>-0.1633786155628727</v>
      </c>
      <c r="FH14" s="1">
        <f t="shared" si="50"/>
        <v>0.68710023774942153</v>
      </c>
      <c r="FI14" s="1">
        <f t="shared" si="51"/>
        <v>1.6775219713352227</v>
      </c>
      <c r="FJ14" s="1">
        <f t="shared" si="52"/>
        <v>0.96336994844681301</v>
      </c>
      <c r="FK14" s="1">
        <f t="shared" si="53"/>
        <v>0.27202858042670536</v>
      </c>
      <c r="FL14" s="1">
        <f t="shared" si="54"/>
        <v>1.19119376939761</v>
      </c>
      <c r="FM14" s="1">
        <f t="shared" si="55"/>
        <v>0.31744339681577599</v>
      </c>
      <c r="FN14" s="1">
        <f t="shared" si="56"/>
        <v>0.3076626625590565</v>
      </c>
      <c r="FO14" s="1">
        <f t="shared" si="57"/>
        <v>0.31246020820900589</v>
      </c>
    </row>
    <row r="15" spans="1:171" x14ac:dyDescent="0.25">
      <c r="A15" s="11">
        <v>9.5558352008274561</v>
      </c>
      <c r="B15" s="3">
        <v>390</v>
      </c>
      <c r="C15" s="12">
        <v>0.18698292219101309</v>
      </c>
      <c r="D15" s="12">
        <v>0.38303388868104921</v>
      </c>
      <c r="E15" s="11">
        <v>9.5558352008274561</v>
      </c>
      <c r="F15" s="12">
        <v>0.20554572005565327</v>
      </c>
      <c r="G15" s="12">
        <v>0.50383364660407459</v>
      </c>
      <c r="H15" s="12">
        <f t="shared" si="90"/>
        <v>0.216863224419231</v>
      </c>
      <c r="I15" s="12">
        <f t="shared" si="91"/>
        <v>0.44424358753123327</v>
      </c>
      <c r="J15" s="12">
        <f t="shared" si="0"/>
        <v>6.2458237951210013E-2</v>
      </c>
      <c r="K15" s="13">
        <f t="shared" si="58"/>
        <v>2.6974232172091057E-2</v>
      </c>
      <c r="L15" s="13">
        <f>SUM(K$3:$K15)</f>
        <v>0.65720801623231717</v>
      </c>
      <c r="M15" s="72">
        <f t="shared" si="92"/>
        <v>0.69124441213842269</v>
      </c>
      <c r="N15" s="12">
        <f t="shared" si="59"/>
        <v>1.3635898908012113E-4</v>
      </c>
      <c r="O15" s="21">
        <f t="shared" si="60"/>
        <v>1.7104900764775685E-9</v>
      </c>
      <c r="P15" s="11">
        <f>SUM(O$2:$O15)</f>
        <v>9.2176871005006468E-8</v>
      </c>
      <c r="Q15" s="12">
        <f t="shared" si="61"/>
        <v>1.0182931896831821E-3</v>
      </c>
      <c r="R15" s="3">
        <f t="shared" si="1"/>
        <v>0.33028960130680834</v>
      </c>
      <c r="S15" s="1">
        <f t="shared" si="62"/>
        <v>1.4596790038132509E-3</v>
      </c>
      <c r="T15" s="1">
        <f t="shared" si="63"/>
        <v>0.94662271898531436</v>
      </c>
      <c r="U15" s="1">
        <f t="shared" si="64"/>
        <v>4.1855139379501378E-3</v>
      </c>
      <c r="V15" s="11">
        <f t="shared" si="65"/>
        <v>6.4333972530554471</v>
      </c>
      <c r="W15" s="12">
        <f t="shared" si="66"/>
        <v>4.479204980597197E-2</v>
      </c>
      <c r="X15" s="13">
        <f t="shared" si="2"/>
        <v>-1.8623337328145362E-2</v>
      </c>
      <c r="Y15" s="12" t="e">
        <f>(SQRT((Q15/M15)^2 + (0.0002/F15)^2))*#REF!</f>
        <v>#REF!</v>
      </c>
      <c r="Z15" s="12">
        <f t="shared" si="3"/>
        <v>4.1863623830211503E-3</v>
      </c>
      <c r="AA15" s="12">
        <f t="shared" si="67"/>
        <v>1.1079629417478146E-2</v>
      </c>
      <c r="AB15" s="12">
        <f t="shared" si="4"/>
        <v>4.7936983856971468E-3</v>
      </c>
      <c r="AC15" s="14">
        <f t="shared" si="68"/>
        <v>6.3749343761682491</v>
      </c>
      <c r="AD15" s="1">
        <f t="shared" si="69"/>
        <v>3.1120062575571725</v>
      </c>
      <c r="AE15" s="14">
        <f t="shared" si="70"/>
        <v>2.7439390632107599</v>
      </c>
      <c r="AF15" s="14">
        <f t="shared" si="5"/>
        <v>62.304769328699919</v>
      </c>
      <c r="AG15" s="14">
        <f t="shared" si="6"/>
        <v>261.45190241688061</v>
      </c>
      <c r="AH15" s="14">
        <f t="shared" si="7"/>
        <v>261.45190241688061</v>
      </c>
      <c r="AI15" s="14">
        <f t="shared" si="8"/>
        <v>62.304769328699919</v>
      </c>
      <c r="AJ15" s="14">
        <f t="shared" si="9"/>
        <v>48.43834477928926</v>
      </c>
      <c r="AK15" s="14">
        <f t="shared" si="71"/>
        <v>150.70878830889143</v>
      </c>
      <c r="AL15" s="14">
        <f t="shared" si="72"/>
        <v>289.18475151570192</v>
      </c>
      <c r="AM15" s="7"/>
      <c r="AN15" s="12">
        <f t="shared" si="73"/>
        <v>0.69124441213842269</v>
      </c>
      <c r="AO15" s="14">
        <f t="shared" si="10"/>
        <v>0.33028960130680834</v>
      </c>
      <c r="AP15" s="14">
        <f t="shared" si="74"/>
        <v>1.0563870694672328</v>
      </c>
      <c r="AQ15" s="11">
        <f t="shared" si="93"/>
        <v>6.4333972530554471</v>
      </c>
      <c r="AR15" s="14">
        <f t="shared" si="11"/>
        <v>9.7433673303536743</v>
      </c>
      <c r="AS15" s="14">
        <f t="shared" si="12"/>
        <v>-1.8623337242798632E-2</v>
      </c>
      <c r="AT15" s="82">
        <f t="shared" si="13"/>
        <v>289.44974500948018</v>
      </c>
      <c r="AU15" s="82">
        <f t="shared" si="14"/>
        <v>48.435596026719821</v>
      </c>
      <c r="AV15" s="82">
        <f t="shared" si="15"/>
        <v>150.66559032645046</v>
      </c>
      <c r="AW15" s="14">
        <f t="shared" si="75"/>
        <v>0.2649934937782632</v>
      </c>
      <c r="AX15" s="14">
        <f t="shared" si="76"/>
        <v>-2.7487525694382953E-3</v>
      </c>
      <c r="AY15" s="14">
        <f t="shared" si="77"/>
        <v>-4.3197982440972282E-2</v>
      </c>
      <c r="AZ15" s="11">
        <f t="shared" si="78"/>
        <v>0.18753212952621823</v>
      </c>
      <c r="BA15" s="92"/>
      <c r="BB15" s="2"/>
      <c r="BC15" s="12">
        <v>0.20554572005565327</v>
      </c>
      <c r="BD15" s="12">
        <v>0.50383364660407459</v>
      </c>
      <c r="BE15" s="12">
        <f t="shared" si="79"/>
        <v>0.216863224419231</v>
      </c>
      <c r="BF15" s="12">
        <f t="shared" si="80"/>
        <v>0.44424358753123327</v>
      </c>
      <c r="BG15" s="12">
        <v>0.69150540494087287</v>
      </c>
      <c r="BH15" s="14">
        <f t="shared" si="16"/>
        <v>0.33066386441381823</v>
      </c>
      <c r="BI15" s="14">
        <f t="shared" si="17"/>
        <v>1.0551913938903905</v>
      </c>
      <c r="BJ15" s="11">
        <f t="shared" si="81"/>
        <v>6.4261155887924781</v>
      </c>
      <c r="BK15" s="11">
        <f t="shared" si="18"/>
        <v>9.5358866370102735</v>
      </c>
      <c r="BL15" s="12">
        <f t="shared" si="19"/>
        <v>-1.8231926232503581E-2</v>
      </c>
      <c r="BM15" s="11">
        <f t="shared" si="20"/>
        <v>-1.9948563817182574E-2</v>
      </c>
      <c r="BN15" s="14">
        <f t="shared" si="94"/>
        <v>6.3773413569105957</v>
      </c>
      <c r="BO15" s="14">
        <f t="shared" si="95"/>
        <v>3.1131812561830414</v>
      </c>
      <c r="BP15" s="14">
        <f t="shared" si="96"/>
        <v>2.7449750908925523</v>
      </c>
      <c r="BQ15" s="14">
        <f t="shared" si="82"/>
        <v>261.35322341273951</v>
      </c>
      <c r="BR15" s="14">
        <f t="shared" si="83"/>
        <v>62.281253827249138</v>
      </c>
      <c r="BS15" s="14">
        <f t="shared" si="84"/>
        <v>48.420062840696055</v>
      </c>
      <c r="BT15" s="14">
        <f t="shared" si="85"/>
        <v>150.6519067447943</v>
      </c>
      <c r="BU15" s="14">
        <f t="shared" si="86"/>
        <v>289.07560538584568</v>
      </c>
      <c r="BV15" s="18">
        <f t="shared" si="22"/>
        <v>289.16764005133132</v>
      </c>
      <c r="BW15" s="18">
        <f t="shared" si="23"/>
        <v>48.412916119410035</v>
      </c>
      <c r="BX15" s="18">
        <f t="shared" si="24"/>
        <v>150.50314454441909</v>
      </c>
      <c r="BY15" s="11">
        <f t="shared" si="87"/>
        <v>9.2034665485641654E-2</v>
      </c>
      <c r="BZ15" s="11">
        <f t="shared" si="88"/>
        <v>-7.146721286019897E-3</v>
      </c>
      <c r="CA15" s="11">
        <f t="shared" si="89"/>
        <v>-0.14876220037521648</v>
      </c>
      <c r="CB15" s="11">
        <f t="shared" si="25"/>
        <v>196.72464304672317</v>
      </c>
      <c r="CC15" s="11">
        <f t="shared" si="26"/>
        <v>6.70811622781045</v>
      </c>
      <c r="CD15" s="11">
        <f t="shared" si="27"/>
        <v>2.7447725065226192</v>
      </c>
      <c r="CE15" s="11">
        <f t="shared" si="28"/>
        <v>6.3763893898526751</v>
      </c>
      <c r="CF15" s="11">
        <f t="shared" si="29"/>
        <v>3.1151274929516788</v>
      </c>
      <c r="CG15" s="11">
        <f t="shared" si="30"/>
        <v>56.780648773028474</v>
      </c>
      <c r="CH15" s="11">
        <f t="shared" si="31"/>
        <v>55.057869145048976</v>
      </c>
      <c r="CI15" s="11">
        <f t="shared" si="32"/>
        <v>55.919258959038729</v>
      </c>
      <c r="CJ15" s="14"/>
      <c r="CK15" s="14">
        <f t="shared" si="33"/>
        <v>8.3344331185930542E-4</v>
      </c>
      <c r="CL15" s="14">
        <f t="shared" si="34"/>
        <v>1.4550136844260209E-3</v>
      </c>
      <c r="CM15" s="14">
        <f t="shared" si="35"/>
        <v>3.121235394506261E-3</v>
      </c>
      <c r="CN15" s="19"/>
      <c r="CO15" s="12"/>
      <c r="CP15" s="12"/>
      <c r="CS15" s="17"/>
      <c r="CT15" s="20"/>
      <c r="CU15" s="20"/>
      <c r="CV15" s="21"/>
      <c r="DC15" s="14"/>
      <c r="DD15" s="14"/>
      <c r="DE15" s="14"/>
      <c r="DF15" s="14"/>
      <c r="DK15" s="12"/>
      <c r="ET15" s="1">
        <f t="shared" si="36"/>
        <v>3.1114463895057283E-5</v>
      </c>
      <c r="EU15" s="1">
        <f t="shared" si="37"/>
        <v>1.4788503800757663E-3</v>
      </c>
      <c r="EV15" s="1">
        <f t="shared" si="38"/>
        <v>0.23255826227459997</v>
      </c>
      <c r="EW15" s="1">
        <f t="shared" si="39"/>
        <v>3.1471702139435906E-3</v>
      </c>
      <c r="EX15" s="1">
        <f t="shared" si="40"/>
        <v>2.8530971465064581</v>
      </c>
      <c r="EY15" s="1">
        <f t="shared" si="41"/>
        <v>0.94389142229262279</v>
      </c>
      <c r="EZ15" s="1">
        <f t="shared" si="42"/>
        <v>7.4481884548238536E-2</v>
      </c>
      <c r="FA15" s="1">
        <f t="shared" si="43"/>
        <v>1.5852734547656508</v>
      </c>
      <c r="FB15" s="1">
        <f t="shared" si="44"/>
        <v>0.4328822188739111</v>
      </c>
      <c r="FC15" s="1">
        <f t="shared" si="45"/>
        <v>0.22565935742797905</v>
      </c>
      <c r="FD15" s="1">
        <f t="shared" si="46"/>
        <v>0.12644902988939771</v>
      </c>
      <c r="FE15" s="1">
        <f t="shared" si="47"/>
        <v>0.77508077756364535</v>
      </c>
      <c r="FF15" s="1">
        <f t="shared" si="48"/>
        <v>0.16322451494469886</v>
      </c>
      <c r="FG15" s="1">
        <f t="shared" si="49"/>
        <v>-0.16322451494469886</v>
      </c>
      <c r="FH15" s="1">
        <f t="shared" si="50"/>
        <v>0.68754038878182266</v>
      </c>
      <c r="FI15" s="1">
        <f t="shared" si="51"/>
        <v>1.6891113481669757</v>
      </c>
      <c r="FJ15" s="1">
        <f t="shared" si="52"/>
        <v>0.97154074659410083</v>
      </c>
      <c r="FK15" s="1">
        <f t="shared" si="53"/>
        <v>0.27291369432155388</v>
      </c>
      <c r="FL15" s="1">
        <f t="shared" si="54"/>
        <v>1.200451611998101</v>
      </c>
      <c r="FM15" s="1">
        <f t="shared" si="55"/>
        <v>0.31875481416772472</v>
      </c>
      <c r="FN15" s="1">
        <f t="shared" si="56"/>
        <v>0.30883732252568319</v>
      </c>
      <c r="FO15" s="1">
        <f t="shared" si="57"/>
        <v>0.31370177324927867</v>
      </c>
    </row>
    <row r="16" spans="1:171" s="39" customFormat="1" x14ac:dyDescent="0.25">
      <c r="A16" s="34">
        <v>10.115411136011028</v>
      </c>
      <c r="B16" s="35">
        <v>420</v>
      </c>
      <c r="C16" s="36">
        <v>0.18631788772602825</v>
      </c>
      <c r="D16" s="36">
        <v>0.38210920584357133</v>
      </c>
      <c r="E16" s="34">
        <v>10.115411136011028</v>
      </c>
      <c r="F16" s="12">
        <v>0.20474572005565328</v>
      </c>
      <c r="G16" s="12">
        <v>0.50323364660407455</v>
      </c>
      <c r="H16" s="12">
        <f t="shared" si="90"/>
        <v>0.2160919159128894</v>
      </c>
      <c r="I16" s="12">
        <f t="shared" si="91"/>
        <v>0.44317113824361481</v>
      </c>
      <c r="J16" s="12">
        <f t="shared" si="0"/>
        <v>6.1918629238749787E-2</v>
      </c>
      <c r="K16" s="13">
        <f t="shared" si="58"/>
        <v>3.4799150886512351E-2</v>
      </c>
      <c r="L16" s="13">
        <f>SUM(K$3:$K16)</f>
        <v>0.69200716711882948</v>
      </c>
      <c r="M16" s="72">
        <f t="shared" si="92"/>
        <v>0.69058187719080544</v>
      </c>
      <c r="N16" s="12">
        <f t="shared" si="59"/>
        <v>1.3540186741751415E-4</v>
      </c>
      <c r="O16" s="21">
        <f t="shared" si="60"/>
        <v>2.8387457116006314E-9</v>
      </c>
      <c r="P16" s="11">
        <f>SUM(O$2:$O16)</f>
        <v>9.5015616716607097E-8</v>
      </c>
      <c r="Q16" s="12">
        <f t="shared" si="61"/>
        <v>1.0192502984531226E-3</v>
      </c>
      <c r="R16" s="3">
        <f t="shared" si="1"/>
        <v>0.32934079625144491</v>
      </c>
      <c r="S16" s="1">
        <f t="shared" si="62"/>
        <v>1.458251581568771E-3</v>
      </c>
      <c r="T16" s="1">
        <f t="shared" si="63"/>
        <v>0.94390340715187626</v>
      </c>
      <c r="U16" s="1">
        <f t="shared" si="64"/>
        <v>4.1814228908179738E-3</v>
      </c>
      <c r="V16" s="11">
        <f t="shared" si="65"/>
        <v>6.4519313669773659</v>
      </c>
      <c r="W16" s="36">
        <f t="shared" si="66"/>
        <v>4.4955503426311751E-2</v>
      </c>
      <c r="X16" s="37">
        <f t="shared" si="2"/>
        <v>-1.9618935168832841E-2</v>
      </c>
      <c r="Y16" s="36" t="e">
        <f>(SQRT((Q16/M16)^2 + (0.0002/F16)^2))*#REF!</f>
        <v>#REF!</v>
      </c>
      <c r="Z16" s="36">
        <f t="shared" si="3"/>
        <v>4.1950926500362818E-3</v>
      </c>
      <c r="AA16" s="36">
        <f t="shared" si="67"/>
        <v>1.1134851581915821E-2</v>
      </c>
      <c r="AB16" s="36">
        <f t="shared" si="4"/>
        <v>4.8100286202378871E-3</v>
      </c>
      <c r="AC16" s="40">
        <f t="shared" si="68"/>
        <v>6.3915567990909166</v>
      </c>
      <c r="AD16" s="39">
        <f t="shared" si="69"/>
        <v>3.1165471647261782</v>
      </c>
      <c r="AE16" s="40">
        <f t="shared" si="70"/>
        <v>2.7445775212011192</v>
      </c>
      <c r="AF16" s="40">
        <f t="shared" si="5"/>
        <v>62.666746292352052</v>
      </c>
      <c r="AG16" s="40">
        <f t="shared" si="6"/>
        <v>263.57428933874127</v>
      </c>
      <c r="AH16" s="14">
        <f t="shared" si="7"/>
        <v>263.57428933874127</v>
      </c>
      <c r="AI16" s="14">
        <f t="shared" si="8"/>
        <v>62.666746292352052</v>
      </c>
      <c r="AJ16" s="14">
        <f t="shared" si="9"/>
        <v>48.600500634916159</v>
      </c>
      <c r="AK16" s="14">
        <f t="shared" si="71"/>
        <v>152.30704241147305</v>
      </c>
      <c r="AL16" s="14">
        <f t="shared" si="72"/>
        <v>291.70678065361307</v>
      </c>
      <c r="AM16" s="7"/>
      <c r="AN16" s="12">
        <f t="shared" si="73"/>
        <v>0.69058187719080544</v>
      </c>
      <c r="AO16" s="40">
        <f t="shared" si="10"/>
        <v>0.32934079625144491</v>
      </c>
      <c r="AP16" s="14">
        <f t="shared" si="74"/>
        <v>1.0594304379273183</v>
      </c>
      <c r="AQ16" s="11">
        <f t="shared" si="93"/>
        <v>6.4519313669773659</v>
      </c>
      <c r="AR16" s="14">
        <f t="shared" si="11"/>
        <v>10.312963351256142</v>
      </c>
      <c r="AS16" s="28">
        <f t="shared" si="12"/>
        <v>-1.961893507883794E-2</v>
      </c>
      <c r="AT16" s="82">
        <f t="shared" si="13"/>
        <v>292.45011105155879</v>
      </c>
      <c r="AU16" s="82">
        <f t="shared" si="14"/>
        <v>48.486405477747581</v>
      </c>
      <c r="AV16" s="82">
        <f t="shared" si="15"/>
        <v>152.38235351079001</v>
      </c>
      <c r="AW16" s="14">
        <f t="shared" si="75"/>
        <v>0.74333039794572642</v>
      </c>
      <c r="AX16" s="14">
        <f t="shared" si="76"/>
        <v>-0.11409515716857754</v>
      </c>
      <c r="AY16" s="14">
        <f t="shared" si="77"/>
        <v>7.5311099316962782E-2</v>
      </c>
      <c r="AZ16" s="11">
        <f t="shared" si="78"/>
        <v>0.19755221524511413</v>
      </c>
      <c r="BA16" s="92"/>
      <c r="BB16" s="2"/>
      <c r="BC16" s="55">
        <v>0.20474572005565328</v>
      </c>
      <c r="BD16" s="55">
        <v>0.50323364660407455</v>
      </c>
      <c r="BE16" s="12">
        <f t="shared" si="79"/>
        <v>0.2160919159128894</v>
      </c>
      <c r="BF16" s="12">
        <f t="shared" si="80"/>
        <v>0.44317113824361481</v>
      </c>
      <c r="BG16" s="36">
        <v>0.69094946540396363</v>
      </c>
      <c r="BH16" s="40">
        <f t="shared" si="16"/>
        <v>0.32986698836543504</v>
      </c>
      <c r="BI16" s="40">
        <f t="shared" si="17"/>
        <v>1.0577404720882968</v>
      </c>
      <c r="BJ16" s="11">
        <f t="shared" si="81"/>
        <v>6.4416394750177277</v>
      </c>
      <c r="BK16" s="34">
        <f t="shared" si="18"/>
        <v>10.012753316614637</v>
      </c>
      <c r="BL16" s="12">
        <f t="shared" si="19"/>
        <v>-1.9066202939787003E-2</v>
      </c>
      <c r="BM16" s="34">
        <f t="shared" si="20"/>
        <v>-0.1026578193963914</v>
      </c>
      <c r="BN16" s="14">
        <f t="shared" si="94"/>
        <v>6.394958945919087</v>
      </c>
      <c r="BO16" s="14">
        <f t="shared" si="95"/>
        <v>3.1182060643314866</v>
      </c>
      <c r="BP16" s="14">
        <f t="shared" si="96"/>
        <v>2.7460384259543633</v>
      </c>
      <c r="BQ16" s="14">
        <f t="shared" si="82"/>
        <v>263.43406663519556</v>
      </c>
      <c r="BR16" s="14">
        <f t="shared" si="83"/>
        <v>62.633407302386175</v>
      </c>
      <c r="BS16" s="14">
        <f t="shared" si="84"/>
        <v>48.574644950699756</v>
      </c>
      <c r="BT16" s="14">
        <f t="shared" si="85"/>
        <v>152.22601438210964</v>
      </c>
      <c r="BU16" s="14">
        <f t="shared" si="86"/>
        <v>291.55159133856841</v>
      </c>
      <c r="BV16" s="44">
        <f t="shared" si="22"/>
        <v>291.72669586140762</v>
      </c>
      <c r="BW16" s="44">
        <f t="shared" si="23"/>
        <v>48.456001301168399</v>
      </c>
      <c r="BX16" s="44">
        <f t="shared" si="24"/>
        <v>151.96516449155112</v>
      </c>
      <c r="BY16" s="11">
        <f t="shared" si="87"/>
        <v>0.17510452283920586</v>
      </c>
      <c r="BZ16" s="11">
        <f t="shared" si="88"/>
        <v>-0.1186436495313572</v>
      </c>
      <c r="CA16" s="11">
        <f t="shared" si="89"/>
        <v>-0.26084989055851793</v>
      </c>
      <c r="CB16" s="34">
        <f t="shared" si="25"/>
        <v>198.55234161483659</v>
      </c>
      <c r="CC16" s="34">
        <f t="shared" si="26"/>
        <v>6.729609735244706</v>
      </c>
      <c r="CD16" s="34">
        <f t="shared" si="27"/>
        <v>2.742682773987795</v>
      </c>
      <c r="CE16" s="34">
        <f t="shared" si="28"/>
        <v>6.3916357795933747</v>
      </c>
      <c r="CF16" s="34">
        <f t="shared" si="29"/>
        <v>3.1208381534527354</v>
      </c>
      <c r="CG16" s="34">
        <f t="shared" si="30"/>
        <v>57.025907054672345</v>
      </c>
      <c r="CH16" s="34">
        <f t="shared" si="31"/>
        <v>55.229081385302692</v>
      </c>
      <c r="CI16" s="34">
        <f t="shared" si="32"/>
        <v>56.127494219987518</v>
      </c>
      <c r="CJ16" s="40"/>
      <c r="CK16" s="40">
        <f t="shared" si="33"/>
        <v>-1.8947472133241661E-3</v>
      </c>
      <c r="CL16" s="40">
        <f t="shared" si="34"/>
        <v>7.8980502458136925E-5</v>
      </c>
      <c r="CM16" s="40">
        <f t="shared" si="35"/>
        <v>4.2909887265571989E-3</v>
      </c>
      <c r="CN16" s="19"/>
      <c r="CO16" s="36"/>
      <c r="CP16" s="36"/>
      <c r="CS16" s="43"/>
      <c r="CT16" s="45"/>
      <c r="CU16" s="45"/>
      <c r="CV16" s="38"/>
      <c r="DC16" s="40"/>
      <c r="DD16" s="40"/>
      <c r="DE16" s="40"/>
      <c r="DF16" s="40"/>
      <c r="DK16" s="36"/>
      <c r="DN16" s="1"/>
      <c r="ET16" s="39">
        <f t="shared" si="36"/>
        <v>3.1122719042489427E-5</v>
      </c>
      <c r="EU16" s="39">
        <f t="shared" si="37"/>
        <v>1.4923205765752321E-3</v>
      </c>
      <c r="EV16" s="39">
        <f t="shared" si="38"/>
        <v>0.23803950090007767</v>
      </c>
      <c r="EW16" s="39">
        <f t="shared" si="39"/>
        <v>3.1992732695843916E-3</v>
      </c>
      <c r="EX16" s="39">
        <f t="shared" si="40"/>
        <v>2.9051266111118723</v>
      </c>
      <c r="EY16" s="39">
        <f t="shared" si="41"/>
        <v>0.9646983519903185</v>
      </c>
      <c r="EZ16" s="39">
        <f t="shared" si="42"/>
        <v>7.5004452538822305E-2</v>
      </c>
      <c r="FA16" s="39">
        <f t="shared" si="43"/>
        <v>1.6173767868806741</v>
      </c>
      <c r="FB16" s="39">
        <f t="shared" si="44"/>
        <v>0.43824512137083099</v>
      </c>
      <c r="FC16" s="39">
        <f t="shared" si="45"/>
        <v>0.22888422399111397</v>
      </c>
      <c r="FD16" s="39">
        <f t="shared" si="46"/>
        <v>0.1258797207249133</v>
      </c>
      <c r="FE16" s="39">
        <f t="shared" si="47"/>
        <v>0.77671101595529013</v>
      </c>
      <c r="FF16" s="39">
        <f t="shared" si="48"/>
        <v>0.16293986036245667</v>
      </c>
      <c r="FG16" s="39">
        <f t="shared" si="49"/>
        <v>-0.16293986036245667</v>
      </c>
      <c r="FH16" s="39">
        <f t="shared" si="50"/>
        <v>0.68835550797764511</v>
      </c>
      <c r="FI16" s="39">
        <f t="shared" si="51"/>
        <v>1.7044431967982601</v>
      </c>
      <c r="FJ16" s="39">
        <f t="shared" si="52"/>
        <v>0.98219058842483242</v>
      </c>
      <c r="FK16" s="39">
        <f t="shared" si="53"/>
        <v>0.27386940781843871</v>
      </c>
      <c r="FL16" s="39">
        <f t="shared" si="54"/>
        <v>1.2125925928721595</v>
      </c>
      <c r="FM16" s="39">
        <f t="shared" si="55"/>
        <v>0.32039206272743687</v>
      </c>
      <c r="FN16" s="39">
        <f t="shared" si="56"/>
        <v>0.31024373699033475</v>
      </c>
      <c r="FO16" s="39">
        <f t="shared" si="57"/>
        <v>0.31522125204581608</v>
      </c>
    </row>
    <row r="17" spans="1:171" x14ac:dyDescent="0.25">
      <c r="A17" s="11">
        <v>10.631942768488157</v>
      </c>
      <c r="B17" s="3">
        <v>450</v>
      </c>
      <c r="C17" s="12">
        <v>0.18571014495393662</v>
      </c>
      <c r="D17" s="12">
        <v>0.38121999542129603</v>
      </c>
      <c r="E17" s="11">
        <v>10.631942768488157</v>
      </c>
      <c r="F17" s="12">
        <v>0.20394572005565328</v>
      </c>
      <c r="G17" s="12">
        <v>0.50443364660407453</v>
      </c>
      <c r="H17" s="12">
        <f t="shared" si="90"/>
        <v>0.21538705444410439</v>
      </c>
      <c r="I17" s="12">
        <f t="shared" si="91"/>
        <v>0.44213982994496276</v>
      </c>
      <c r="J17" s="12">
        <f t="shared" si="0"/>
        <v>6.129087648946549E-2</v>
      </c>
      <c r="K17" s="13">
        <f t="shared" si="58"/>
        <v>3.1820803565247607E-2</v>
      </c>
      <c r="L17" s="13">
        <f>SUM(K$3:$K17)</f>
        <v>0.72382797068407712</v>
      </c>
      <c r="M17" s="72">
        <f t="shared" si="92"/>
        <v>0.68997715714342744</v>
      </c>
      <c r="N17" s="12">
        <f t="shared" si="59"/>
        <v>1.3390192775030208E-4</v>
      </c>
      <c r="O17" s="21">
        <f t="shared" si="60"/>
        <v>2.3727186493252283E-9</v>
      </c>
      <c r="P17" s="11">
        <f>SUM(O$2:$O17)</f>
        <v>9.7388335365932324E-8</v>
      </c>
      <c r="Q17" s="12">
        <f t="shared" si="61"/>
        <v>1.0201242601241022E-3</v>
      </c>
      <c r="R17" s="13">
        <f t="shared" si="1"/>
        <v>0.32847637462806339</v>
      </c>
      <c r="S17" s="1">
        <f t="shared" si="62"/>
        <v>1.4569470097662023E-3</v>
      </c>
      <c r="T17" s="1">
        <f t="shared" si="63"/>
        <v>0.94142594148466319</v>
      </c>
      <c r="U17" s="1">
        <f t="shared" si="64"/>
        <v>4.1776839377841123E-3</v>
      </c>
      <c r="V17" s="11">
        <f t="shared" si="65"/>
        <v>6.4689103323367592</v>
      </c>
      <c r="W17" s="12">
        <f t="shared" si="66"/>
        <v>4.5105398503328419E-2</v>
      </c>
      <c r="X17" s="13">
        <f t="shared" si="2"/>
        <v>-2.0530158631359652E-2</v>
      </c>
      <c r="Y17" s="12" t="e">
        <f>(SQRT((Q17/M17)^2 + (0.0002/F17)^2))*#REF!</f>
        <v>#REF!</v>
      </c>
      <c r="Z17" s="12">
        <f t="shared" si="3"/>
        <v>4.1875408237733412E-3</v>
      </c>
      <c r="AA17" s="12">
        <f t="shared" si="67"/>
        <v>1.1185717118330208E-2</v>
      </c>
      <c r="AB17" s="12">
        <f t="shared" si="4"/>
        <v>4.8256285200498194E-3</v>
      </c>
      <c r="AC17" s="14">
        <f t="shared" si="68"/>
        <v>6.4068581923291505</v>
      </c>
      <c r="AD17" s="1">
        <f t="shared" si="69"/>
        <v>3.1210812074058802</v>
      </c>
      <c r="AE17" s="14">
        <f t="shared" si="70"/>
        <v>2.7356508107199455</v>
      </c>
      <c r="AF17" s="14">
        <f t="shared" si="5"/>
        <v>63.014612319974304</v>
      </c>
      <c r="AG17" s="14">
        <f t="shared" si="6"/>
        <v>265.53474387603615</v>
      </c>
      <c r="AH17" s="14">
        <f t="shared" si="7"/>
        <v>265.53474387603615</v>
      </c>
      <c r="AI17" s="14">
        <f t="shared" si="8"/>
        <v>63.014612319974304</v>
      </c>
      <c r="AJ17" s="14">
        <f t="shared" si="9"/>
        <v>48.411936428603283</v>
      </c>
      <c r="AK17" s="14">
        <f t="shared" si="71"/>
        <v>154.10819512745854</v>
      </c>
      <c r="AL17" s="14">
        <f t="shared" si="72"/>
        <v>294.74009565877822</v>
      </c>
      <c r="AM17" s="7"/>
      <c r="AN17" s="12">
        <f t="shared" si="73"/>
        <v>0.68997715714342744</v>
      </c>
      <c r="AO17" s="14">
        <f t="shared" si="10"/>
        <v>0.32847637462806339</v>
      </c>
      <c r="AP17" s="14">
        <f t="shared" si="74"/>
        <v>1.0622184453754944</v>
      </c>
      <c r="AQ17" s="11">
        <f t="shared" si="93"/>
        <v>6.4689103323367592</v>
      </c>
      <c r="AR17" s="14">
        <f t="shared" si="11"/>
        <v>10.83874620747282</v>
      </c>
      <c r="AS17" s="14">
        <f t="shared" si="12"/>
        <v>-2.0530158537102716E-2</v>
      </c>
      <c r="AT17" s="82">
        <f t="shared" si="13"/>
        <v>295.2115233749546</v>
      </c>
      <c r="AU17" s="82">
        <f t="shared" si="14"/>
        <v>48.529282231500432</v>
      </c>
      <c r="AV17" s="82">
        <f t="shared" si="15"/>
        <v>153.96441119619919</v>
      </c>
      <c r="AW17" s="14">
        <f t="shared" si="75"/>
        <v>0.47142771617637891</v>
      </c>
      <c r="AX17" s="14">
        <f t="shared" si="76"/>
        <v>0.11734580289714813</v>
      </c>
      <c r="AY17" s="14">
        <f t="shared" si="77"/>
        <v>-0.14378393125934963</v>
      </c>
      <c r="AZ17" s="11">
        <f t="shared" si="78"/>
        <v>0.20680343898466269</v>
      </c>
      <c r="BA17" s="92"/>
      <c r="BB17" s="2"/>
      <c r="BC17" s="12">
        <v>0.20394572005565328</v>
      </c>
      <c r="BD17" s="12">
        <v>0.50443364660407453</v>
      </c>
      <c r="BE17" s="12">
        <f t="shared" si="79"/>
        <v>0.21538705444410439</v>
      </c>
      <c r="BF17" s="12">
        <f t="shared" si="80"/>
        <v>0.44213982994496276</v>
      </c>
      <c r="BG17" s="12">
        <v>0.68997715714342744</v>
      </c>
      <c r="BH17" s="14">
        <f t="shared" si="16"/>
        <v>0.32847637462806339</v>
      </c>
      <c r="BI17" s="14">
        <f t="shared" si="17"/>
        <v>1.0622184453754944</v>
      </c>
      <c r="BJ17" s="11">
        <f t="shared" si="81"/>
        <v>6.4689103323367592</v>
      </c>
      <c r="BK17" s="11">
        <f t="shared" si="18"/>
        <v>10.858368637810534</v>
      </c>
      <c r="BL17" s="12">
        <f t="shared" si="19"/>
        <v>-2.0530158537102716E-2</v>
      </c>
      <c r="BM17" s="11">
        <f t="shared" si="20"/>
        <v>0.22642586932237663</v>
      </c>
      <c r="BN17" s="14">
        <f t="shared" si="94"/>
        <v>6.4068581923291505</v>
      </c>
      <c r="BO17" s="14">
        <f t="shared" si="95"/>
        <v>3.1210812074058802</v>
      </c>
      <c r="BP17" s="14">
        <f t="shared" si="96"/>
        <v>2.7356508107199455</v>
      </c>
      <c r="BQ17" s="14">
        <f t="shared" si="82"/>
        <v>265.53474387603615</v>
      </c>
      <c r="BR17" s="14">
        <f t="shared" si="83"/>
        <v>63.014612319974304</v>
      </c>
      <c r="BS17" s="14">
        <f t="shared" si="84"/>
        <v>48.411936428603283</v>
      </c>
      <c r="BT17" s="14">
        <f t="shared" si="85"/>
        <v>154.10819512745854</v>
      </c>
      <c r="BU17" s="14">
        <f t="shared" si="86"/>
        <v>294.74009565877822</v>
      </c>
      <c r="BV17" s="18">
        <f t="shared" si="22"/>
        <v>296.24868556193735</v>
      </c>
      <c r="BW17" s="18">
        <f t="shared" si="23"/>
        <v>48.524744142376989</v>
      </c>
      <c r="BX17" s="18">
        <f t="shared" si="24"/>
        <v>154.55240238992062</v>
      </c>
      <c r="BY17" s="11">
        <f t="shared" si="87"/>
        <v>1.5085899031591339</v>
      </c>
      <c r="BZ17" s="11">
        <f t="shared" si="88"/>
        <v>0.11280771377370513</v>
      </c>
      <c r="CA17" s="11">
        <f t="shared" si="89"/>
        <v>0.44420726246207209</v>
      </c>
      <c r="CB17" s="11">
        <f t="shared" si="25"/>
        <v>201.78449678059283</v>
      </c>
      <c r="CC17" s="11">
        <f t="shared" si="26"/>
        <v>6.7672566947181068</v>
      </c>
      <c r="CD17" s="11">
        <f t="shared" si="27"/>
        <v>2.7388362126268162</v>
      </c>
      <c r="CE17" s="11">
        <f t="shared" si="28"/>
        <v>6.418301804272101</v>
      </c>
      <c r="CF17" s="11">
        <f t="shared" si="29"/>
        <v>3.1307840443961621</v>
      </c>
      <c r="CG17" s="11">
        <f t="shared" si="30"/>
        <v>57.45410311982954</v>
      </c>
      <c r="CH17" s="11">
        <f t="shared" si="31"/>
        <v>55.522537727492626</v>
      </c>
      <c r="CI17" s="11">
        <f t="shared" si="32"/>
        <v>56.488320423661079</v>
      </c>
      <c r="CJ17" s="14"/>
      <c r="CK17" s="14">
        <f t="shared" si="33"/>
        <v>3.1854019068706663E-3</v>
      </c>
      <c r="CL17" s="14">
        <f t="shared" si="34"/>
        <v>1.1443611942950405E-2</v>
      </c>
      <c r="CM17" s="14">
        <f t="shared" si="35"/>
        <v>9.702836990281849E-3</v>
      </c>
      <c r="CN17" s="19"/>
      <c r="CO17" s="12"/>
      <c r="CP17" s="12"/>
      <c r="CS17" s="17"/>
      <c r="CT17" s="20"/>
      <c r="CU17" s="20"/>
      <c r="CV17" s="21"/>
      <c r="DC17" s="14"/>
      <c r="DD17" s="14"/>
      <c r="DE17" s="14"/>
      <c r="DF17" s="14"/>
      <c r="DK17" s="12"/>
      <c r="ET17" s="1">
        <f t="shared" si="36"/>
        <v>3.1130282975062905E-5</v>
      </c>
      <c r="EU17" s="1">
        <f t="shared" si="37"/>
        <v>1.4737261751521587E-3</v>
      </c>
      <c r="EV17" s="1">
        <f t="shared" si="38"/>
        <v>0.24317756043889166</v>
      </c>
      <c r="EW17" s="1">
        <f t="shared" si="39"/>
        <v>3.2499990974193234E-3</v>
      </c>
      <c r="EX17" s="1">
        <f t="shared" si="40"/>
        <v>2.9664138118366186</v>
      </c>
      <c r="EY17" s="1">
        <f t="shared" si="41"/>
        <v>0.98722482980469217</v>
      </c>
      <c r="EZ17" s="1">
        <f t="shared" si="42"/>
        <v>7.4434255666538954E-2</v>
      </c>
      <c r="FA17" s="1">
        <f t="shared" si="43"/>
        <v>1.6536204995755388</v>
      </c>
      <c r="FB17" s="1">
        <f t="shared" si="44"/>
        <v>0.44124864943795183</v>
      </c>
      <c r="FC17" s="1">
        <f t="shared" si="45"/>
        <v>0.23077923342383905</v>
      </c>
      <c r="FD17" s="1">
        <f t="shared" si="46"/>
        <v>0.12371360986077691</v>
      </c>
      <c r="FE17" s="1">
        <f t="shared" si="47"/>
        <v>0.78296351692190669</v>
      </c>
      <c r="FF17" s="1">
        <f t="shared" si="48"/>
        <v>0.16185680493038845</v>
      </c>
      <c r="FG17" s="1">
        <f t="shared" si="49"/>
        <v>-0.16185680493038845</v>
      </c>
      <c r="FH17" s="1">
        <f t="shared" si="50"/>
        <v>0.69148175846095339</v>
      </c>
      <c r="FI17" s="1">
        <f t="shared" si="51"/>
        <v>1.7223280209752783</v>
      </c>
      <c r="FJ17" s="1">
        <f t="shared" si="52"/>
        <v>0.99359188292009115</v>
      </c>
      <c r="FK17" s="1">
        <f t="shared" si="53"/>
        <v>0.27282642039681376</v>
      </c>
      <c r="FL17" s="1">
        <f t="shared" si="54"/>
        <v>1.2260956610022791</v>
      </c>
      <c r="FM17" s="1">
        <f t="shared" si="55"/>
        <v>0.32119292891181522</v>
      </c>
      <c r="FN17" s="1">
        <f t="shared" si="56"/>
        <v>0.31031794049619482</v>
      </c>
      <c r="FO17" s="1">
        <f t="shared" si="57"/>
        <v>0.31565251112835263</v>
      </c>
    </row>
    <row r="18" spans="1:171" x14ac:dyDescent="0.25">
      <c r="A18" s="11">
        <v>10.933252887433179</v>
      </c>
      <c r="B18" s="3">
        <v>480</v>
      </c>
      <c r="C18" s="12">
        <v>0.18535279504154922</v>
      </c>
      <c r="D18" s="12">
        <v>0.38067451549496861</v>
      </c>
      <c r="E18" s="11">
        <v>10.933252887433179</v>
      </c>
      <c r="F18" s="12">
        <v>0.2033457200556533</v>
      </c>
      <c r="G18" s="12">
        <v>0.50523364660407455</v>
      </c>
      <c r="H18" s="12">
        <f t="shared" si="90"/>
        <v>0.21497259919151673</v>
      </c>
      <c r="I18" s="12">
        <f t="shared" si="91"/>
        <v>0.44150718106829961</v>
      </c>
      <c r="J18" s="12">
        <f t="shared" si="0"/>
        <v>6.091833382282659E-2</v>
      </c>
      <c r="K18" s="13">
        <f t="shared" si="58"/>
        <v>1.8411435847686956E-2</v>
      </c>
      <c r="L18" s="13">
        <f>SUM(K$3:$K18)</f>
        <v>0.74223940653176412</v>
      </c>
      <c r="M18" s="72">
        <f t="shared" si="92"/>
        <v>0.68962775108165864</v>
      </c>
      <c r="N18" s="12">
        <f t="shared" si="59"/>
        <v>1.3282548711181843E-4</v>
      </c>
      <c r="O18" s="21">
        <f t="shared" si="60"/>
        <v>7.919065595810542E-10</v>
      </c>
      <c r="P18" s="11">
        <f>SUM(O$2:$O18)</f>
        <v>9.8180241925513379E-8</v>
      </c>
      <c r="Q18" s="12">
        <f t="shared" si="61"/>
        <v>1.0206293849027404E-3</v>
      </c>
      <c r="R18" s="3">
        <f t="shared" si="1"/>
        <v>0.32797760365671319</v>
      </c>
      <c r="S18" s="1">
        <f t="shared" si="62"/>
        <v>1.4561924720560835E-3</v>
      </c>
      <c r="T18" s="1">
        <f t="shared" si="63"/>
        <v>0.93999644466980015</v>
      </c>
      <c r="U18" s="1">
        <f t="shared" si="64"/>
        <v>4.1755214036446669E-3</v>
      </c>
      <c r="V18" s="11">
        <f t="shared" si="65"/>
        <v>6.4787479086043573</v>
      </c>
      <c r="W18" s="12">
        <f t="shared" si="66"/>
        <v>4.5192315565787469E-2</v>
      </c>
      <c r="X18" s="13">
        <f t="shared" si="2"/>
        <v>-2.1057754767198733E-2</v>
      </c>
      <c r="Y18" s="12" t="e">
        <f>(SQRT((Q18/M18)^2 + (0.0002/F18)^2))*#REF!</f>
        <v>#REF!</v>
      </c>
      <c r="Z18" s="12">
        <f t="shared" si="3"/>
        <v>4.1822564039299022E-3</v>
      </c>
      <c r="AA18" s="12">
        <f t="shared" si="67"/>
        <v>1.1215766633482843E-2</v>
      </c>
      <c r="AB18" s="12">
        <f t="shared" si="4"/>
        <v>4.8351143544802105E-3</v>
      </c>
      <c r="AC18" s="14">
        <f t="shared" si="68"/>
        <v>6.4159595564760963</v>
      </c>
      <c r="AD18" s="1">
        <f t="shared" si="69"/>
        <v>3.1239707105691474</v>
      </c>
      <c r="AE18" s="14">
        <f t="shared" si="70"/>
        <v>2.7299359641504011</v>
      </c>
      <c r="AF18" s="14">
        <f t="shared" si="5"/>
        <v>63.227351241616162</v>
      </c>
      <c r="AG18" s="14">
        <f t="shared" si="6"/>
        <v>266.69465819396208</v>
      </c>
      <c r="AH18" s="14">
        <f t="shared" si="7"/>
        <v>266.69465819396208</v>
      </c>
      <c r="AI18" s="14">
        <f t="shared" si="8"/>
        <v>63.227351241616162</v>
      </c>
      <c r="AJ18" s="14">
        <f t="shared" si="9"/>
        <v>48.283195112792512</v>
      </c>
      <c r="AK18" s="14">
        <f t="shared" si="71"/>
        <v>155.1841118395534</v>
      </c>
      <c r="AL18" s="14">
        <f t="shared" si="72"/>
        <v>296.58297045160936</v>
      </c>
      <c r="AM18" s="7"/>
      <c r="AN18" s="12">
        <f t="shared" si="73"/>
        <v>0.68962775108165864</v>
      </c>
      <c r="AO18" s="14">
        <f t="shared" si="10"/>
        <v>0.32797760365671319</v>
      </c>
      <c r="AP18" s="14">
        <f t="shared" si="74"/>
        <v>1.0638338109366763</v>
      </c>
      <c r="AQ18" s="11">
        <f t="shared" si="93"/>
        <v>6.4787479086043573</v>
      </c>
      <c r="AR18" s="14">
        <f t="shared" si="11"/>
        <v>11.145127629413176</v>
      </c>
      <c r="AS18" s="14">
        <f t="shared" si="12"/>
        <v>-2.1057754670470885E-2</v>
      </c>
      <c r="AT18" s="82">
        <f t="shared" si="13"/>
        <v>296.81708047778187</v>
      </c>
      <c r="AU18" s="82">
        <f t="shared" si="14"/>
        <v>48.552507414887636</v>
      </c>
      <c r="AV18" s="82">
        <f t="shared" si="15"/>
        <v>154.88514747439064</v>
      </c>
      <c r="AW18" s="14">
        <f t="shared" si="75"/>
        <v>0.23411002617251597</v>
      </c>
      <c r="AX18" s="14">
        <f t="shared" si="76"/>
        <v>0.26931230209512336</v>
      </c>
      <c r="AY18" s="14">
        <f t="shared" si="77"/>
        <v>-0.29896436516276026</v>
      </c>
      <c r="AZ18" s="11">
        <f t="shared" si="78"/>
        <v>0.21187474197999734</v>
      </c>
      <c r="BA18" s="92"/>
      <c r="BB18" s="2"/>
      <c r="BC18" s="12">
        <v>0.2033457200556533</v>
      </c>
      <c r="BD18" s="12">
        <v>0.50523364660407455</v>
      </c>
      <c r="BE18" s="12">
        <f t="shared" si="79"/>
        <v>0.21497259919151673</v>
      </c>
      <c r="BF18" s="12">
        <f t="shared" si="80"/>
        <v>0.44150718106829961</v>
      </c>
      <c r="BG18" s="12">
        <v>0.68962775108165864</v>
      </c>
      <c r="BH18" s="14">
        <f t="shared" si="16"/>
        <v>0.32797760365671319</v>
      </c>
      <c r="BI18" s="14">
        <f t="shared" si="17"/>
        <v>1.0638338109366763</v>
      </c>
      <c r="BJ18" s="11">
        <f t="shared" si="81"/>
        <v>6.4787479086043573</v>
      </c>
      <c r="BK18" s="11">
        <f t="shared" si="18"/>
        <v>11.165889032788291</v>
      </c>
      <c r="BL18" s="12">
        <f t="shared" si="19"/>
        <v>-2.1057754670470885E-2</v>
      </c>
      <c r="BM18" s="11">
        <f t="shared" si="20"/>
        <v>0.23263614535511223</v>
      </c>
      <c r="BN18" s="14">
        <f t="shared" si="94"/>
        <v>6.4159595564760963</v>
      </c>
      <c r="BO18" s="14">
        <f t="shared" si="95"/>
        <v>3.1239707105691474</v>
      </c>
      <c r="BP18" s="14">
        <f t="shared" si="96"/>
        <v>2.7299359641504011</v>
      </c>
      <c r="BQ18" s="14">
        <f t="shared" si="82"/>
        <v>266.69465819396208</v>
      </c>
      <c r="BR18" s="14">
        <f t="shared" si="83"/>
        <v>63.227351241616162</v>
      </c>
      <c r="BS18" s="14">
        <f t="shared" si="84"/>
        <v>48.283195112792512</v>
      </c>
      <c r="BT18" s="14">
        <f t="shared" si="85"/>
        <v>155.1841118395534</v>
      </c>
      <c r="BU18" s="14">
        <f t="shared" si="86"/>
        <v>296.58297045160936</v>
      </c>
      <c r="BV18" s="18">
        <f t="shared" si="22"/>
        <v>297.8882201103919</v>
      </c>
      <c r="BW18" s="18">
        <f t="shared" si="23"/>
        <v>48.54735081254362</v>
      </c>
      <c r="BX18" s="18">
        <f t="shared" si="24"/>
        <v>155.49163839038201</v>
      </c>
      <c r="BY18" s="11">
        <f t="shared" si="87"/>
        <v>1.3052496587825431</v>
      </c>
      <c r="BZ18" s="11">
        <f t="shared" si="88"/>
        <v>0.26415569975110742</v>
      </c>
      <c r="CA18" s="11">
        <f t="shared" si="89"/>
        <v>0.30752655082861224</v>
      </c>
      <c r="CB18" s="11">
        <f t="shared" si="25"/>
        <v>202.95716563038528</v>
      </c>
      <c r="CC18" s="11">
        <f t="shared" si="26"/>
        <v>6.7808029494455209</v>
      </c>
      <c r="CD18" s="11">
        <f t="shared" si="27"/>
        <v>2.7373934710039398</v>
      </c>
      <c r="CE18" s="11">
        <f t="shared" si="28"/>
        <v>6.4278846817916717</v>
      </c>
      <c r="CF18" s="11">
        <f t="shared" si="29"/>
        <v>3.1343450626078053</v>
      </c>
      <c r="CG18" s="11">
        <f t="shared" si="30"/>
        <v>57.607726831528154</v>
      </c>
      <c r="CH18" s="11">
        <f t="shared" si="31"/>
        <v>55.626076486113</v>
      </c>
      <c r="CI18" s="11">
        <f t="shared" si="32"/>
        <v>56.616901658820581</v>
      </c>
      <c r="CJ18" s="14"/>
      <c r="CK18" s="14">
        <f t="shared" si="33"/>
        <v>7.4575068535387423E-3</v>
      </c>
      <c r="CL18" s="14">
        <f t="shared" si="34"/>
        <v>1.1925125315575436E-2</v>
      </c>
      <c r="CM18" s="14">
        <f t="shared" si="35"/>
        <v>1.0374352038657886E-2</v>
      </c>
      <c r="CN18" s="19"/>
      <c r="CO18" s="12"/>
      <c r="CP18" s="12"/>
      <c r="CS18" s="17"/>
      <c r="CT18" s="20"/>
      <c r="CU18" s="20"/>
      <c r="CV18" s="21"/>
      <c r="DC18" s="14"/>
      <c r="DD18" s="14"/>
      <c r="DE18" s="14"/>
      <c r="DF18" s="14"/>
      <c r="DK18" s="12"/>
      <c r="ET18" s="1">
        <f t="shared" si="36"/>
        <v>3.1134666083992965E-5</v>
      </c>
      <c r="EU18" s="1">
        <f t="shared" si="37"/>
        <v>1.4612598627119255E-3</v>
      </c>
      <c r="EV18" s="1">
        <f t="shared" si="38"/>
        <v>0.24625349427500126</v>
      </c>
      <c r="EW18" s="1">
        <f t="shared" si="39"/>
        <v>3.2813640530475422E-3</v>
      </c>
      <c r="EX18" s="1">
        <f t="shared" si="40"/>
        <v>3.0038746242968526</v>
      </c>
      <c r="EY18" s="1">
        <f t="shared" si="41"/>
        <v>1.0007845270361917</v>
      </c>
      <c r="EZ18" s="1">
        <f t="shared" si="42"/>
        <v>7.4044477290257441E-2</v>
      </c>
      <c r="FA18" s="1">
        <f t="shared" si="43"/>
        <v>1.6755851982217924</v>
      </c>
      <c r="FB18" s="1">
        <f t="shared" si="44"/>
        <v>0.44292507133204861</v>
      </c>
      <c r="FC18" s="1">
        <f t="shared" si="45"/>
        <v>0.23182409137881224</v>
      </c>
      <c r="FD18" s="1">
        <f t="shared" si="46"/>
        <v>0.12234553918857653</v>
      </c>
      <c r="FE18" s="1">
        <f t="shared" si="47"/>
        <v>0.78695374621294201</v>
      </c>
      <c r="FF18" s="1">
        <f t="shared" si="48"/>
        <v>0.16117276959428828</v>
      </c>
      <c r="FG18" s="1">
        <f t="shared" si="49"/>
        <v>-0.16117276959428828</v>
      </c>
      <c r="FH18" s="1">
        <f t="shared" si="50"/>
        <v>0.69347687310647099</v>
      </c>
      <c r="FI18" s="1">
        <f t="shared" si="51"/>
        <v>1.7331689543425512</v>
      </c>
      <c r="FJ18" s="1">
        <f t="shared" si="52"/>
        <v>1.0003921866129262</v>
      </c>
      <c r="FK18" s="1">
        <f t="shared" si="53"/>
        <v>0.27211114877979081</v>
      </c>
      <c r="FL18" s="1">
        <f t="shared" si="54"/>
        <v>1.2342048058625885</v>
      </c>
      <c r="FM18" s="1">
        <f t="shared" si="55"/>
        <v>0.32165167061410976</v>
      </c>
      <c r="FN18" s="1">
        <f t="shared" si="56"/>
        <v>0.31030128538757645</v>
      </c>
      <c r="FO18" s="1">
        <f t="shared" si="57"/>
        <v>0.31586949510768025</v>
      </c>
    </row>
    <row r="19" spans="1:171" x14ac:dyDescent="0.25">
      <c r="A19" s="11">
        <v>11.148474400965315</v>
      </c>
      <c r="B19" s="3">
        <v>510</v>
      </c>
      <c r="C19" s="12">
        <v>0.18509361736470731</v>
      </c>
      <c r="D19" s="12">
        <v>0.3802705460036464</v>
      </c>
      <c r="E19" s="11">
        <v>11.148474400965315</v>
      </c>
      <c r="F19" s="12">
        <v>0.20234572005565329</v>
      </c>
      <c r="G19" s="12">
        <v>0.5056336466040745</v>
      </c>
      <c r="H19" s="12">
        <f t="shared" si="90"/>
        <v>0.2146720043241416</v>
      </c>
      <c r="I19" s="12">
        <f t="shared" si="91"/>
        <v>0.44103865632053879</v>
      </c>
      <c r="J19" s="12">
        <f t="shared" si="0"/>
        <v>6.0663700156712796E-2</v>
      </c>
      <c r="K19" s="13">
        <f t="shared" si="58"/>
        <v>1.3083534685696003E-2</v>
      </c>
      <c r="L19" s="13">
        <f>SUM(K$3:$K19)</f>
        <v>0.75532294121746013</v>
      </c>
      <c r="M19" s="72">
        <f t="shared" si="92"/>
        <v>0.68937967115441801</v>
      </c>
      <c r="N19" s="12">
        <f t="shared" si="59"/>
        <v>1.3133100972784838E-4</v>
      </c>
      <c r="O19" s="21">
        <f t="shared" si="60"/>
        <v>3.9732652985210963E-10</v>
      </c>
      <c r="P19" s="11">
        <f>SUM(O$2:$O19)</f>
        <v>9.8577568455365487E-8</v>
      </c>
      <c r="Q19" s="12">
        <f t="shared" si="61"/>
        <v>1.0209880895701263E-3</v>
      </c>
      <c r="R19" s="3">
        <f t="shared" si="1"/>
        <v>0.32762378062345249</v>
      </c>
      <c r="S19" s="1">
        <f t="shared" si="62"/>
        <v>1.4556564047631501E-3</v>
      </c>
      <c r="T19" s="1">
        <f t="shared" si="63"/>
        <v>0.93898237422840658</v>
      </c>
      <c r="U19" s="1">
        <f t="shared" si="64"/>
        <v>4.1739850141356179E-3</v>
      </c>
      <c r="V19" s="11">
        <f t="shared" si="65"/>
        <v>6.4857447457460076</v>
      </c>
      <c r="W19" s="12">
        <f t="shared" si="66"/>
        <v>4.525416445164096E-2</v>
      </c>
      <c r="X19" s="13">
        <f t="shared" si="2"/>
        <v>-2.1432837568130414E-2</v>
      </c>
      <c r="Y19" s="12" t="e">
        <f>(SQRT((Q19/M19)^2 + (0.0002/F19)^2))*#REF!</f>
        <v>#REF!</v>
      </c>
      <c r="Z19" s="12">
        <f t="shared" si="3"/>
        <v>4.17999780480326E-3</v>
      </c>
      <c r="AA19" s="12">
        <f t="shared" si="67"/>
        <v>1.1237609903760975E-2</v>
      </c>
      <c r="AB19" s="12">
        <f t="shared" si="4"/>
        <v>4.8420973806595049E-3</v>
      </c>
      <c r="AC19" s="14">
        <f t="shared" si="68"/>
        <v>6.4226322693991982</v>
      </c>
      <c r="AD19" s="1">
        <f t="shared" si="69"/>
        <v>3.126164390694087</v>
      </c>
      <c r="AE19" s="14">
        <f t="shared" si="70"/>
        <v>2.7267950848778142</v>
      </c>
      <c r="AF19" s="14">
        <f t="shared" si="5"/>
        <v>63.384559456249036</v>
      </c>
      <c r="AG19" s="14">
        <f t="shared" si="6"/>
        <v>267.53830207740759</v>
      </c>
      <c r="AH19" s="14">
        <f t="shared" si="7"/>
        <v>267.53830207740765</v>
      </c>
      <c r="AI19" s="14">
        <f t="shared" si="8"/>
        <v>63.384559456249036</v>
      </c>
      <c r="AJ19" s="14">
        <f t="shared" si="9"/>
        <v>48.224180646451998</v>
      </c>
      <c r="AK19" s="14">
        <f t="shared" si="71"/>
        <v>155.92956197470662</v>
      </c>
      <c r="AL19" s="14">
        <f t="shared" si="72"/>
        <v>297.85905969700173</v>
      </c>
      <c r="AM19" s="7"/>
      <c r="AN19" s="12">
        <f t="shared" si="73"/>
        <v>0.68937967115441801</v>
      </c>
      <c r="AO19" s="14">
        <f t="shared" si="10"/>
        <v>0.32762378062345249</v>
      </c>
      <c r="AP19" s="14">
        <f t="shared" si="74"/>
        <v>1.0649827168712658</v>
      </c>
      <c r="AQ19" s="11">
        <f t="shared" si="93"/>
        <v>6.4857447457460076</v>
      </c>
      <c r="AR19" s="14">
        <f t="shared" si="11"/>
        <v>11.363816604720922</v>
      </c>
      <c r="AS19" s="14">
        <f t="shared" si="12"/>
        <v>-2.1432837469644528E-2</v>
      </c>
      <c r="AT19" s="82">
        <f t="shared" si="13"/>
        <v>297.96151122930951</v>
      </c>
      <c r="AU19" s="82">
        <f t="shared" si="14"/>
        <v>48.568299767112983</v>
      </c>
      <c r="AV19" s="82">
        <f t="shared" si="15"/>
        <v>155.54183919746117</v>
      </c>
      <c r="AW19" s="14">
        <f t="shared" si="75"/>
        <v>0.10245153230778214</v>
      </c>
      <c r="AX19" s="14">
        <f t="shared" si="76"/>
        <v>0.34411912066098438</v>
      </c>
      <c r="AY19" s="14">
        <f t="shared" si="77"/>
        <v>-0.38772277724544324</v>
      </c>
      <c r="AZ19" s="11">
        <f t="shared" si="78"/>
        <v>0.21534220375560764</v>
      </c>
      <c r="BA19" s="92"/>
      <c r="BB19" s="2"/>
      <c r="BC19" s="12">
        <v>0.20234572005565329</v>
      </c>
      <c r="BD19" s="12">
        <v>0.5056336466040745</v>
      </c>
      <c r="BE19" s="12">
        <f t="shared" si="79"/>
        <v>0.2146720043241416</v>
      </c>
      <c r="BF19" s="12">
        <f t="shared" si="80"/>
        <v>0.44103865632053879</v>
      </c>
      <c r="BG19" s="12">
        <v>0.68937967115441801</v>
      </c>
      <c r="BH19" s="14">
        <f t="shared" si="16"/>
        <v>0.32762378062345249</v>
      </c>
      <c r="BI19" s="14">
        <f t="shared" si="17"/>
        <v>1.0649827168712658</v>
      </c>
      <c r="BJ19" s="11">
        <f t="shared" si="81"/>
        <v>6.4857447457460076</v>
      </c>
      <c r="BK19" s="11">
        <f t="shared" si="18"/>
        <v>11.385408956665469</v>
      </c>
      <c r="BL19" s="12">
        <f t="shared" si="19"/>
        <v>-2.1432837469644528E-2</v>
      </c>
      <c r="BM19" s="11">
        <f t="shared" si="20"/>
        <v>0.23693455570015409</v>
      </c>
      <c r="BN19" s="14">
        <f t="shared" si="94"/>
        <v>6.4226322693991982</v>
      </c>
      <c r="BO19" s="14">
        <f t="shared" si="95"/>
        <v>3.126164390694087</v>
      </c>
      <c r="BP19" s="14">
        <f t="shared" si="96"/>
        <v>2.7267950848778142</v>
      </c>
      <c r="BQ19" s="14">
        <f t="shared" si="82"/>
        <v>267.53830207740765</v>
      </c>
      <c r="BR19" s="14">
        <f t="shared" si="83"/>
        <v>63.384559456249036</v>
      </c>
      <c r="BS19" s="14">
        <f t="shared" si="84"/>
        <v>48.224180646451998</v>
      </c>
      <c r="BT19" s="14">
        <f t="shared" si="85"/>
        <v>155.92956197470662</v>
      </c>
      <c r="BU19" s="14">
        <f t="shared" si="86"/>
        <v>297.85905969700173</v>
      </c>
      <c r="BV19" s="18">
        <f t="shared" si="22"/>
        <v>299.05699225477065</v>
      </c>
      <c r="BW19" s="18">
        <f t="shared" si="23"/>
        <v>48.562717322664383</v>
      </c>
      <c r="BX19" s="18">
        <f t="shared" si="24"/>
        <v>156.1615726069696</v>
      </c>
      <c r="BY19" s="11">
        <f t="shared" si="87"/>
        <v>1.1979325577689224</v>
      </c>
      <c r="BZ19" s="11">
        <f t="shared" si="88"/>
        <v>0.33853667621238515</v>
      </c>
      <c r="CA19" s="11">
        <f t="shared" si="89"/>
        <v>0.23201063226298402</v>
      </c>
      <c r="CB19" s="11">
        <f t="shared" si="25"/>
        <v>203.7933791562366</v>
      </c>
      <c r="CC19" s="11">
        <f t="shared" si="26"/>
        <v>6.7904265244344062</v>
      </c>
      <c r="CD19" s="11">
        <f t="shared" si="27"/>
        <v>2.736349479626091</v>
      </c>
      <c r="CE19" s="11">
        <f t="shared" si="28"/>
        <v>6.4346886386801678</v>
      </c>
      <c r="CF19" s="11">
        <f t="shared" si="29"/>
        <v>3.1368691573259349</v>
      </c>
      <c r="CG19" s="11">
        <f t="shared" si="30"/>
        <v>57.71671432315884</v>
      </c>
      <c r="CH19" s="11">
        <f t="shared" si="31"/>
        <v>55.698958663227074</v>
      </c>
      <c r="CI19" s="11">
        <f t="shared" si="32"/>
        <v>56.707836493192957</v>
      </c>
      <c r="CJ19" s="14"/>
      <c r="CK19" s="14">
        <f t="shared" si="33"/>
        <v>9.5543947482767955E-3</v>
      </c>
      <c r="CL19" s="14">
        <f t="shared" si="34"/>
        <v>1.2056369280969648E-2</v>
      </c>
      <c r="CM19" s="14">
        <f t="shared" si="35"/>
        <v>1.0704766631847829E-2</v>
      </c>
      <c r="CN19" s="19"/>
      <c r="CO19" s="12"/>
      <c r="CP19" s="12"/>
      <c r="CS19" s="17"/>
      <c r="CT19" s="20"/>
      <c r="CU19" s="20"/>
      <c r="CV19" s="21"/>
      <c r="DC19" s="14"/>
      <c r="DD19" s="14"/>
      <c r="DE19" s="14"/>
      <c r="DF19" s="14"/>
      <c r="DK19" s="12"/>
      <c r="ET19" s="1">
        <f t="shared" si="36"/>
        <v>3.1137783750945637E-5</v>
      </c>
      <c r="EU19" s="1">
        <f t="shared" si="37"/>
        <v>1.4553845701772998E-3</v>
      </c>
      <c r="EV19" s="1">
        <f t="shared" si="38"/>
        <v>0.24850841150930053</v>
      </c>
      <c r="EW19" s="1">
        <f t="shared" si="39"/>
        <v>3.3047120372318942E-3</v>
      </c>
      <c r="EX19" s="1">
        <f t="shared" si="40"/>
        <v>3.0300935777528877</v>
      </c>
      <c r="EY19" s="1">
        <f t="shared" si="41"/>
        <v>1.0103534633624947</v>
      </c>
      <c r="EZ19" s="1">
        <f t="shared" si="42"/>
        <v>7.3868530117853839E-2</v>
      </c>
      <c r="FA19" s="1">
        <f t="shared" si="43"/>
        <v>1.6910051413658915</v>
      </c>
      <c r="FB19" s="1">
        <f t="shared" si="44"/>
        <v>0.44435264007466446</v>
      </c>
      <c r="FC19" s="1">
        <f t="shared" si="45"/>
        <v>0.23268752703760381</v>
      </c>
      <c r="FD19" s="1">
        <f t="shared" si="46"/>
        <v>0.12151229805382094</v>
      </c>
      <c r="FE19" s="1">
        <f t="shared" si="47"/>
        <v>0.78939998615989426</v>
      </c>
      <c r="FF19" s="1">
        <f t="shared" si="48"/>
        <v>0.16075614902691049</v>
      </c>
      <c r="FG19" s="1">
        <f t="shared" si="49"/>
        <v>-0.16075614902691049</v>
      </c>
      <c r="FH19" s="1">
        <f t="shared" si="50"/>
        <v>0.69469999307994712</v>
      </c>
      <c r="FI19" s="1">
        <f t="shared" si="51"/>
        <v>1.7407163978525875</v>
      </c>
      <c r="FJ19" s="1">
        <f t="shared" si="52"/>
        <v>1.0051634013246278</v>
      </c>
      <c r="FK19" s="1">
        <f t="shared" si="53"/>
        <v>0.27178765630148444</v>
      </c>
      <c r="FL19" s="1">
        <f t="shared" si="54"/>
        <v>1.239871319338621</v>
      </c>
      <c r="FM19" s="1">
        <f t="shared" si="55"/>
        <v>0.32207106095808413</v>
      </c>
      <c r="FN19" s="1">
        <f t="shared" si="56"/>
        <v>0.31041894767302924</v>
      </c>
      <c r="FO19" s="1">
        <f t="shared" si="57"/>
        <v>0.31613541754380375</v>
      </c>
    </row>
    <row r="20" spans="1:171" x14ac:dyDescent="0.25">
      <c r="A20" s="11">
        <v>11.535873125323196</v>
      </c>
      <c r="B20" s="3">
        <v>540</v>
      </c>
      <c r="C20" s="12">
        <v>0.18461246669301723</v>
      </c>
      <c r="D20" s="12">
        <v>0.37951268340633953</v>
      </c>
      <c r="E20" s="11">
        <v>11.535873125323196</v>
      </c>
      <c r="F20" s="12">
        <v>0.20174572005565328</v>
      </c>
      <c r="G20" s="12">
        <v>0.50523364660407455</v>
      </c>
      <c r="H20" s="12">
        <f t="shared" si="90"/>
        <v>0.21411396466537747</v>
      </c>
      <c r="I20" s="12">
        <f t="shared" si="91"/>
        <v>0.44015968553222901</v>
      </c>
      <c r="J20" s="12">
        <f t="shared" si="0"/>
        <v>6.0279752024753046E-2</v>
      </c>
      <c r="K20" s="13">
        <f t="shared" si="58"/>
        <v>2.3426669547269144E-2</v>
      </c>
      <c r="L20" s="13">
        <f>SUM(K$3:$K20)</f>
        <v>0.77874961076472926</v>
      </c>
      <c r="M20" s="72">
        <f t="shared" si="92"/>
        <v>0.68893591827363032</v>
      </c>
      <c r="N20" s="12">
        <f t="shared" si="59"/>
        <v>1.30626905590321E-4</v>
      </c>
      <c r="O20" s="21">
        <f t="shared" si="60"/>
        <v>1.2682190157043404E-9</v>
      </c>
      <c r="P20" s="11">
        <f>SUM(O$2:$O20)</f>
        <v>9.9845787471069831E-8</v>
      </c>
      <c r="Q20" s="12">
        <f t="shared" si="61"/>
        <v>1.0216298479723681E-3</v>
      </c>
      <c r="R20" s="3">
        <f t="shared" si="1"/>
        <v>0.32699151466413368</v>
      </c>
      <c r="S20" s="1">
        <f t="shared" si="62"/>
        <v>1.4546967978604807E-3</v>
      </c>
      <c r="T20" s="1">
        <f t="shared" si="63"/>
        <v>0.93717027563624944</v>
      </c>
      <c r="U20" s="1">
        <f t="shared" si="64"/>
        <v>4.1712347437917506E-3</v>
      </c>
      <c r="V20" s="11">
        <f t="shared" si="65"/>
        <v>6.4982854859171351</v>
      </c>
      <c r="W20" s="12">
        <f t="shared" si="66"/>
        <v>4.5365081924775078E-2</v>
      </c>
      <c r="X20" s="13">
        <f t="shared" si="2"/>
        <v>-2.2104777696867473E-2</v>
      </c>
      <c r="Y20" s="12" t="e">
        <f>(SQRT((Q20/M20)^2 + (0.0002/F20)^2))*#REF!</f>
        <v>#REF!</v>
      </c>
      <c r="Z20" s="12">
        <f t="shared" si="3"/>
        <v>4.1858026911558693E-3</v>
      </c>
      <c r="AA20" s="12">
        <f t="shared" si="67"/>
        <v>1.1278238236576511E-2</v>
      </c>
      <c r="AB20" s="12">
        <f t="shared" si="4"/>
        <v>4.855117333371131E-3</v>
      </c>
      <c r="AC20" s="14">
        <f t="shared" si="68"/>
        <v>6.4352263931062712</v>
      </c>
      <c r="AD20" s="1">
        <f t="shared" si="69"/>
        <v>3.1303908145998784</v>
      </c>
      <c r="AE20" s="14">
        <f t="shared" si="70"/>
        <v>2.7271972993260039</v>
      </c>
      <c r="AF20" s="14">
        <f t="shared" si="5"/>
        <v>63.678952121015435</v>
      </c>
      <c r="AG20" s="14">
        <f t="shared" si="6"/>
        <v>269.10790005340004</v>
      </c>
      <c r="AH20" s="14">
        <f t="shared" si="7"/>
        <v>269.10790005340004</v>
      </c>
      <c r="AI20" s="14">
        <f t="shared" si="8"/>
        <v>63.678952121015435</v>
      </c>
      <c r="AJ20" s="14">
        <f t="shared" si="9"/>
        <v>48.331681332728877</v>
      </c>
      <c r="AK20" s="14">
        <f t="shared" si="71"/>
        <v>157.09726659965571</v>
      </c>
      <c r="AL20" s="14">
        <f t="shared" si="72"/>
        <v>299.80244162997315</v>
      </c>
      <c r="AM20" s="7"/>
      <c r="AN20" s="12">
        <f t="shared" si="73"/>
        <v>0.68893591827363032</v>
      </c>
      <c r="AO20" s="14">
        <f t="shared" si="10"/>
        <v>0.32699151466413368</v>
      </c>
      <c r="AP20" s="14">
        <f t="shared" si="74"/>
        <v>1.0670419517105312</v>
      </c>
      <c r="AQ20" s="11">
        <f t="shared" si="93"/>
        <v>6.4982854859171351</v>
      </c>
      <c r="AR20" s="14">
        <f t="shared" si="11"/>
        <v>11.757405579104518</v>
      </c>
      <c r="AS20" s="14">
        <f t="shared" si="12"/>
        <v>-2.2104777595228886E-2</v>
      </c>
      <c r="AT20" s="82">
        <f t="shared" si="13"/>
        <v>300.01792787256772</v>
      </c>
      <c r="AU20" s="82">
        <f t="shared" si="14"/>
        <v>48.595087138881055</v>
      </c>
      <c r="AV20" s="82">
        <f t="shared" si="15"/>
        <v>156.72267013519306</v>
      </c>
      <c r="AW20" s="14">
        <f t="shared" si="75"/>
        <v>0.21548624259457938</v>
      </c>
      <c r="AX20" s="14">
        <f t="shared" si="76"/>
        <v>0.26340580615217846</v>
      </c>
      <c r="AY20" s="14">
        <f t="shared" si="77"/>
        <v>-0.37459646446265538</v>
      </c>
      <c r="AZ20" s="11">
        <f t="shared" si="78"/>
        <v>0.22153245378132169</v>
      </c>
      <c r="BA20" s="92"/>
      <c r="BB20" s="2"/>
      <c r="BC20" s="12">
        <v>0.20174572005565328</v>
      </c>
      <c r="BD20" s="12">
        <v>0.50523364660407455</v>
      </c>
      <c r="BE20" s="12">
        <f t="shared" si="79"/>
        <v>0.21411396466537747</v>
      </c>
      <c r="BF20" s="12">
        <f t="shared" si="80"/>
        <v>0.44015968553222901</v>
      </c>
      <c r="BG20" s="12">
        <v>0.68893591827363032</v>
      </c>
      <c r="BH20" s="14">
        <f t="shared" si="16"/>
        <v>0.32699151466413368</v>
      </c>
      <c r="BI20" s="14">
        <f t="shared" si="17"/>
        <v>1.0670419517105312</v>
      </c>
      <c r="BJ20" s="11">
        <f t="shared" si="81"/>
        <v>6.4982854859171351</v>
      </c>
      <c r="BK20" s="11">
        <f t="shared" si="18"/>
        <v>11.780530920235039</v>
      </c>
      <c r="BL20" s="12">
        <f t="shared" si="19"/>
        <v>-2.2104777595228886E-2</v>
      </c>
      <c r="BM20" s="11">
        <f t="shared" si="20"/>
        <v>0.24465779491184314</v>
      </c>
      <c r="BN20" s="14">
        <f t="shared" si="94"/>
        <v>6.4352263931062712</v>
      </c>
      <c r="BO20" s="14">
        <f t="shared" si="95"/>
        <v>3.1303908145998784</v>
      </c>
      <c r="BP20" s="14">
        <f t="shared" si="96"/>
        <v>2.7271972993260039</v>
      </c>
      <c r="BQ20" s="14">
        <f t="shared" si="82"/>
        <v>269.10790005340004</v>
      </c>
      <c r="BR20" s="14">
        <f t="shared" si="83"/>
        <v>63.678952121015435</v>
      </c>
      <c r="BS20" s="14">
        <f t="shared" si="84"/>
        <v>48.331681332728877</v>
      </c>
      <c r="BT20" s="14">
        <f t="shared" si="85"/>
        <v>157.09726659965571</v>
      </c>
      <c r="BU20" s="14">
        <f t="shared" si="86"/>
        <v>299.80244162997315</v>
      </c>
      <c r="BV20" s="18">
        <f t="shared" si="22"/>
        <v>301.15740322147087</v>
      </c>
      <c r="BW20" s="18">
        <f t="shared" si="23"/>
        <v>48.588770893853308</v>
      </c>
      <c r="BX20" s="18">
        <f t="shared" si="24"/>
        <v>157.3663156690246</v>
      </c>
      <c r="BY20" s="11">
        <f t="shared" si="87"/>
        <v>1.3549615914977267</v>
      </c>
      <c r="BZ20" s="11">
        <f t="shared" si="88"/>
        <v>0.25708956112443104</v>
      </c>
      <c r="CA20" s="11">
        <f t="shared" si="89"/>
        <v>0.26904906936889006</v>
      </c>
      <c r="CB20" s="11">
        <f t="shared" si="25"/>
        <v>205.29667818650668</v>
      </c>
      <c r="CC20" s="11">
        <f t="shared" si="26"/>
        <v>6.8076524914608481</v>
      </c>
      <c r="CD20" s="11">
        <f t="shared" si="27"/>
        <v>2.7344410370542431</v>
      </c>
      <c r="CE20" s="11">
        <f t="shared" si="28"/>
        <v>6.4468593435758139</v>
      </c>
      <c r="CF20" s="11">
        <f t="shared" si="29"/>
        <v>3.1413752877863441</v>
      </c>
      <c r="CG20" s="11">
        <f t="shared" si="30"/>
        <v>57.911480046801238</v>
      </c>
      <c r="CH20" s="11">
        <f t="shared" si="31"/>
        <v>55.827998297722928</v>
      </c>
      <c r="CI20" s="11">
        <f t="shared" si="32"/>
        <v>56.869739172262086</v>
      </c>
      <c r="CJ20" s="14"/>
      <c r="CK20" s="14">
        <f t="shared" si="33"/>
        <v>7.2437377282392745E-3</v>
      </c>
      <c r="CL20" s="14">
        <f t="shared" si="34"/>
        <v>1.1632950469542713E-2</v>
      </c>
      <c r="CM20" s="14">
        <f t="shared" si="35"/>
        <v>1.0984473186465671E-2</v>
      </c>
      <c r="CN20" s="19"/>
      <c r="CO20" s="12"/>
      <c r="CP20" s="12"/>
      <c r="CS20" s="17"/>
      <c r="CT20" s="20"/>
      <c r="CU20" s="20"/>
      <c r="CV20" s="21"/>
      <c r="DC20" s="14"/>
      <c r="DD20" s="14"/>
      <c r="DE20" s="14"/>
      <c r="DF20" s="14"/>
      <c r="DK20" s="12"/>
      <c r="ET20" s="1">
        <f t="shared" si="36"/>
        <v>3.1143372156623765E-5</v>
      </c>
      <c r="EU20" s="1">
        <f t="shared" si="37"/>
        <v>1.4641961448434344E-3</v>
      </c>
      <c r="EV20" s="1">
        <f t="shared" si="38"/>
        <v>0.25274518508152927</v>
      </c>
      <c r="EW20" s="1">
        <f t="shared" si="39"/>
        <v>3.3488159037599529E-3</v>
      </c>
      <c r="EX20" s="1">
        <f t="shared" si="40"/>
        <v>3.0712103625721525</v>
      </c>
      <c r="EY20" s="1">
        <f t="shared" si="41"/>
        <v>1.0261626439719065</v>
      </c>
      <c r="EZ20" s="1">
        <f t="shared" si="42"/>
        <v>7.4213600571663513E-2</v>
      </c>
      <c r="FA20" s="1">
        <f t="shared" si="43"/>
        <v>1.715770975155406</v>
      </c>
      <c r="FB20" s="1">
        <f t="shared" si="44"/>
        <v>0.44833770218233815</v>
      </c>
      <c r="FC20" s="1">
        <f t="shared" si="45"/>
        <v>0.23500042223927031</v>
      </c>
      <c r="FD20" s="1">
        <f t="shared" si="46"/>
        <v>0.12097405804769863</v>
      </c>
      <c r="FE20" s="1">
        <f t="shared" si="47"/>
        <v>0.79098664507303695</v>
      </c>
      <c r="FF20" s="1">
        <f t="shared" si="48"/>
        <v>0.16048702902384931</v>
      </c>
      <c r="FG20" s="1">
        <f t="shared" si="49"/>
        <v>-0.16048702902384931</v>
      </c>
      <c r="FH20" s="1">
        <f t="shared" si="50"/>
        <v>0.69549332253651852</v>
      </c>
      <c r="FI20" s="1">
        <f t="shared" si="51"/>
        <v>1.7524869079602714</v>
      </c>
      <c r="FJ20" s="1">
        <f t="shared" si="52"/>
        <v>1.012996862765086</v>
      </c>
      <c r="FK20" s="1">
        <f t="shared" si="53"/>
        <v>0.27242173292831007</v>
      </c>
      <c r="FL20" s="1">
        <f t="shared" si="54"/>
        <v>1.248952665195096</v>
      </c>
      <c r="FM20" s="1">
        <f t="shared" si="55"/>
        <v>0.3233436030625394</v>
      </c>
      <c r="FN20" s="1">
        <f t="shared" si="56"/>
        <v>0.31145582165021812</v>
      </c>
      <c r="FO20" s="1">
        <f t="shared" si="57"/>
        <v>0.31728780163263665</v>
      </c>
    </row>
    <row r="21" spans="1:171" x14ac:dyDescent="0.25">
      <c r="A21" s="11">
        <v>12.052404757800351</v>
      </c>
      <c r="B21" s="3">
        <v>570</v>
      </c>
      <c r="C21" s="12">
        <v>0.18392145983988545</v>
      </c>
      <c r="D21" s="12">
        <v>0.37845132044607521</v>
      </c>
      <c r="E21" s="11">
        <v>12.052404757800351</v>
      </c>
      <c r="F21" s="12">
        <v>0.20094572005565328</v>
      </c>
      <c r="G21" s="12">
        <v>0.50583364660407459</v>
      </c>
      <c r="H21" s="12">
        <f t="shared" si="90"/>
        <v>0.21331253332335973</v>
      </c>
      <c r="I21" s="12">
        <f t="shared" si="91"/>
        <v>0.43892871432296038</v>
      </c>
      <c r="J21" s="12">
        <f t="shared" si="0"/>
        <v>5.9644822037137113E-2</v>
      </c>
      <c r="K21" s="13">
        <f t="shared" si="58"/>
        <v>3.0972418007157838E-2</v>
      </c>
      <c r="L21" s="13">
        <f>SUM(K$3:$K21)</f>
        <v>0.80972202877188715</v>
      </c>
      <c r="M21" s="72">
        <f t="shared" si="92"/>
        <v>0.6883501084388236</v>
      </c>
      <c r="N21" s="12">
        <f t="shared" si="59"/>
        <v>1.2937642711028898E-4</v>
      </c>
      <c r="O21" s="21">
        <f t="shared" si="60"/>
        <v>2.2135021076904881E-9</v>
      </c>
      <c r="P21" s="11">
        <f>SUM(O$2:$O21)</f>
        <v>1.0205928957876032E-7</v>
      </c>
      <c r="Q21" s="12">
        <f t="shared" si="61"/>
        <v>1.0224772813077893E-3</v>
      </c>
      <c r="R21" s="3">
        <f t="shared" si="1"/>
        <v>0.32615809022621112</v>
      </c>
      <c r="S21" s="1">
        <f t="shared" si="62"/>
        <v>1.4534285675964654E-3</v>
      </c>
      <c r="T21" s="1">
        <f t="shared" si="63"/>
        <v>0.93478164909646866</v>
      </c>
      <c r="U21" s="1">
        <f t="shared" si="64"/>
        <v>4.167599947007136E-3</v>
      </c>
      <c r="V21" s="11">
        <f t="shared" si="65"/>
        <v>6.514890408777716</v>
      </c>
      <c r="W21" s="12">
        <f t="shared" si="66"/>
        <v>4.5512069384984796E-2</v>
      </c>
      <c r="X21" s="13">
        <f t="shared" si="2"/>
        <v>-2.2993814416954583E-2</v>
      </c>
      <c r="Y21" s="12" t="e">
        <f>(SQRT((Q21/M21)^2 + (0.0002/F21)^2))*#REF!</f>
        <v>#REF!</v>
      </c>
      <c r="Z21" s="12">
        <f t="shared" si="3"/>
        <v>4.1835099222671986E-3</v>
      </c>
      <c r="AA21" s="12">
        <f t="shared" si="67"/>
        <v>1.1336676488148838E-2</v>
      </c>
      <c r="AB21" s="12">
        <f t="shared" si="4"/>
        <v>4.8732412647962946E-3</v>
      </c>
      <c r="AC21" s="14">
        <f t="shared" si="68"/>
        <v>6.4539115232892206</v>
      </c>
      <c r="AD21" s="1">
        <f t="shared" si="69"/>
        <v>3.136500693515079</v>
      </c>
      <c r="AE21" s="14">
        <f t="shared" si="70"/>
        <v>2.7216461896517852</v>
      </c>
      <c r="AF21" s="14">
        <f t="shared" si="5"/>
        <v>64.091124333120604</v>
      </c>
      <c r="AG21" s="14">
        <f t="shared" si="6"/>
        <v>271.3645604868247</v>
      </c>
      <c r="AH21" s="14">
        <f t="shared" si="7"/>
        <v>271.3645604868247</v>
      </c>
      <c r="AI21" s="14">
        <f t="shared" si="8"/>
        <v>64.091124333120604</v>
      </c>
      <c r="AJ21" s="14">
        <f t="shared" si="9"/>
        <v>48.258125469009116</v>
      </c>
      <c r="AK21" s="14">
        <f t="shared" si="71"/>
        <v>159.01531068469498</v>
      </c>
      <c r="AL21" s="14">
        <f t="shared" si="72"/>
        <v>303.03055821504768</v>
      </c>
      <c r="AM21" s="7"/>
      <c r="AN21" s="12">
        <f t="shared" si="73"/>
        <v>0.6883501084388236</v>
      </c>
      <c r="AO21" s="14">
        <f t="shared" si="10"/>
        <v>0.32615809022621112</v>
      </c>
      <c r="AP21" s="14">
        <f t="shared" si="74"/>
        <v>1.0697685400291816</v>
      </c>
      <c r="AQ21" s="11">
        <f t="shared" si="93"/>
        <v>6.514890408777716</v>
      </c>
      <c r="AR21" s="14">
        <f t="shared" si="11"/>
        <v>12.281757929734466</v>
      </c>
      <c r="AS21" s="14">
        <f t="shared" si="12"/>
        <v>-2.2993814311138894E-2</v>
      </c>
      <c r="AT21" s="82">
        <f t="shared" si="13"/>
        <v>302.75106281463059</v>
      </c>
      <c r="AU21" s="82">
        <f t="shared" si="14"/>
        <v>48.627539677236918</v>
      </c>
      <c r="AV21" s="82">
        <f t="shared" si="15"/>
        <v>158.29372604431575</v>
      </c>
      <c r="AW21" s="14">
        <f t="shared" si="75"/>
        <v>-0.27949540041709042</v>
      </c>
      <c r="AX21" s="14">
        <f t="shared" si="76"/>
        <v>0.36941420822780202</v>
      </c>
      <c r="AY21" s="14">
        <f t="shared" si="77"/>
        <v>-0.72158464037923409</v>
      </c>
      <c r="AZ21" s="11">
        <f t="shared" si="78"/>
        <v>0.22935317193411464</v>
      </c>
      <c r="BA21" s="92"/>
      <c r="BB21" s="2"/>
      <c r="BC21" s="12">
        <v>0.20094572005565328</v>
      </c>
      <c r="BD21" s="12">
        <v>0.50583364660407459</v>
      </c>
      <c r="BE21" s="12">
        <f t="shared" si="79"/>
        <v>0.21331253332335973</v>
      </c>
      <c r="BF21" s="12">
        <f t="shared" si="80"/>
        <v>0.43892871432296038</v>
      </c>
      <c r="BG21" s="12">
        <v>0.6883501084388236</v>
      </c>
      <c r="BH21" s="14">
        <f t="shared" si="16"/>
        <v>0.32615809022621112</v>
      </c>
      <c r="BI21" s="14">
        <f t="shared" si="17"/>
        <v>1.0697685400291816</v>
      </c>
      <c r="BJ21" s="11">
        <f t="shared" si="81"/>
        <v>6.514890408777716</v>
      </c>
      <c r="BK21" s="11">
        <f t="shared" si="18"/>
        <v>12.306999834937182</v>
      </c>
      <c r="BL21" s="12">
        <f t="shared" si="19"/>
        <v>-2.2993814311138894E-2</v>
      </c>
      <c r="BM21" s="11">
        <f t="shared" si="20"/>
        <v>0.25459507713683038</v>
      </c>
      <c r="BN21" s="14">
        <f t="shared" si="94"/>
        <v>6.4539115232892206</v>
      </c>
      <c r="BO21" s="14">
        <f t="shared" si="95"/>
        <v>3.136500693515079</v>
      </c>
      <c r="BP21" s="14">
        <f t="shared" si="96"/>
        <v>2.7216461896517852</v>
      </c>
      <c r="BQ21" s="14">
        <f t="shared" si="82"/>
        <v>271.3645604868247</v>
      </c>
      <c r="BR21" s="14">
        <f t="shared" si="83"/>
        <v>64.091124333120604</v>
      </c>
      <c r="BS21" s="14">
        <f t="shared" si="84"/>
        <v>48.258125469009116</v>
      </c>
      <c r="BT21" s="14">
        <f t="shared" si="85"/>
        <v>159.01531068469498</v>
      </c>
      <c r="BU21" s="14">
        <f t="shared" si="86"/>
        <v>303.03055821504768</v>
      </c>
      <c r="BV21" s="18">
        <f t="shared" si="22"/>
        <v>303.94951648184639</v>
      </c>
      <c r="BW21" s="18">
        <f t="shared" si="23"/>
        <v>48.620310475625971</v>
      </c>
      <c r="BX21" s="18">
        <f t="shared" si="24"/>
        <v>158.96938412997963</v>
      </c>
      <c r="BY21" s="11">
        <f t="shared" si="87"/>
        <v>0.91895826679871107</v>
      </c>
      <c r="BZ21" s="11">
        <f t="shared" si="88"/>
        <v>0.36218500661685482</v>
      </c>
      <c r="CA21" s="11">
        <f t="shared" si="89"/>
        <v>-4.5926554715350676E-2</v>
      </c>
      <c r="CB21" s="11">
        <f t="shared" si="25"/>
        <v>207.29609491393521</v>
      </c>
      <c r="CC21" s="11">
        <f t="shared" si="26"/>
        <v>6.830416257404897</v>
      </c>
      <c r="CD21" s="11">
        <f t="shared" si="27"/>
        <v>2.7318402948770539</v>
      </c>
      <c r="CE21" s="11">
        <f t="shared" si="28"/>
        <v>6.4629264302873546</v>
      </c>
      <c r="CF21" s="11">
        <f t="shared" si="29"/>
        <v>3.1473064513282529</v>
      </c>
      <c r="CG21" s="11">
        <f t="shared" si="30"/>
        <v>58.168212755748939</v>
      </c>
      <c r="CH21" s="11">
        <f t="shared" si="31"/>
        <v>55.995684064925399</v>
      </c>
      <c r="CI21" s="11">
        <f t="shared" si="32"/>
        <v>57.081948410337169</v>
      </c>
      <c r="CJ21" s="14"/>
      <c r="CK21" s="14">
        <f t="shared" si="33"/>
        <v>1.0194105225268757E-2</v>
      </c>
      <c r="CL21" s="14">
        <f t="shared" si="34"/>
        <v>9.0149069981340091E-3</v>
      </c>
      <c r="CM21" s="14">
        <f t="shared" si="35"/>
        <v>1.0805757813173944E-2</v>
      </c>
      <c r="CN21" s="19"/>
      <c r="CO21" s="12"/>
      <c r="CP21" s="12"/>
      <c r="CS21" s="17"/>
      <c r="CT21" s="20"/>
      <c r="CU21" s="20"/>
      <c r="CV21" s="21"/>
      <c r="DC21" s="14"/>
      <c r="DD21" s="14"/>
      <c r="DE21" s="14"/>
      <c r="DF21" s="14"/>
      <c r="DK21" s="12"/>
      <c r="ET21" s="1">
        <f t="shared" si="36"/>
        <v>3.1150772503988212E-5</v>
      </c>
      <c r="EU21" s="1">
        <f t="shared" si="37"/>
        <v>1.4562818979881635E-3</v>
      </c>
      <c r="EV21" s="1">
        <f t="shared" si="38"/>
        <v>0.2589366316878513</v>
      </c>
      <c r="EW21" s="1">
        <f t="shared" si="39"/>
        <v>3.411361765000382E-3</v>
      </c>
      <c r="EX21" s="1">
        <f t="shared" si="40"/>
        <v>3.1389053669222684</v>
      </c>
      <c r="EY21" s="1">
        <f t="shared" si="41"/>
        <v>1.0514786291369873</v>
      </c>
      <c r="EZ21" s="1">
        <f t="shared" si="42"/>
        <v>7.4001654829660396E-2</v>
      </c>
      <c r="FA21" s="1">
        <f t="shared" si="43"/>
        <v>1.7560731201774107</v>
      </c>
      <c r="FB21" s="1">
        <f t="shared" si="44"/>
        <v>0.45262657374306897</v>
      </c>
      <c r="FC21" s="1">
        <f t="shared" si="45"/>
        <v>0.2375879185004528</v>
      </c>
      <c r="FD21" s="1">
        <f t="shared" si="46"/>
        <v>0.11920710048199509</v>
      </c>
      <c r="FE21" s="1">
        <f t="shared" si="47"/>
        <v>0.79623165962593401</v>
      </c>
      <c r="FF21" s="1">
        <f t="shared" si="48"/>
        <v>0.15960355024099754</v>
      </c>
      <c r="FG21" s="1">
        <f t="shared" si="49"/>
        <v>-0.15960355024099754</v>
      </c>
      <c r="FH21" s="1">
        <f t="shared" si="50"/>
        <v>0.69811582981296705</v>
      </c>
      <c r="FI21" s="1">
        <f t="shared" si="51"/>
        <v>1.7716956191519662</v>
      </c>
      <c r="FJ21" s="1">
        <f t="shared" si="52"/>
        <v>1.0254163199096196</v>
      </c>
      <c r="FK21" s="1">
        <f t="shared" si="53"/>
        <v>0.27203245179511287</v>
      </c>
      <c r="FL21" s="1">
        <f t="shared" si="54"/>
        <v>1.2635537346960868</v>
      </c>
      <c r="FM21" s="1">
        <f t="shared" si="55"/>
        <v>0.32462190811016278</v>
      </c>
      <c r="FN21" s="1">
        <f t="shared" si="56"/>
        <v>0.31205020708112668</v>
      </c>
      <c r="FO21" s="1">
        <f t="shared" si="57"/>
        <v>0.31821815066443937</v>
      </c>
    </row>
    <row r="22" spans="1:171" x14ac:dyDescent="0.25">
      <c r="A22" s="11">
        <v>12.31067057403893</v>
      </c>
      <c r="B22" s="3">
        <v>600</v>
      </c>
      <c r="C22" s="12">
        <v>0.18354359518627872</v>
      </c>
      <c r="D22" s="12">
        <v>0.3779100638847388</v>
      </c>
      <c r="E22" s="11">
        <v>12.31067057403893</v>
      </c>
      <c r="F22" s="12">
        <v>0.20034572005565329</v>
      </c>
      <c r="G22" s="12">
        <v>0.50703364660407457</v>
      </c>
      <c r="H22" s="12">
        <f t="shared" si="90"/>
        <v>0.21287428502659014</v>
      </c>
      <c r="I22" s="12">
        <f t="shared" si="91"/>
        <v>0.43830096371475474</v>
      </c>
      <c r="J22" s="12">
        <f t="shared" si="0"/>
        <v>5.9237728976594045E-2</v>
      </c>
      <c r="K22" s="13">
        <f t="shared" si="58"/>
        <v>1.5351649537042876E-2</v>
      </c>
      <c r="L22" s="13">
        <f>SUM(K$3:$K22)</f>
        <v>0.82507367830892997</v>
      </c>
      <c r="M22" s="72">
        <f t="shared" si="92"/>
        <v>0.68806011768450803</v>
      </c>
      <c r="N22" s="12">
        <f t="shared" si="59"/>
        <v>1.2824611447049164E-4</v>
      </c>
      <c r="O22" s="21">
        <f t="shared" si="60"/>
        <v>5.4536668453315195E-10</v>
      </c>
      <c r="P22" s="11">
        <f>SUM(O$2:$O22)</f>
        <v>1.0260465626329348E-7</v>
      </c>
      <c r="Q22" s="12">
        <f t="shared" si="61"/>
        <v>1.0228968730074837E-3</v>
      </c>
      <c r="R22" s="3">
        <f t="shared" si="1"/>
        <v>0.32574604849556127</v>
      </c>
      <c r="S22" s="1">
        <f t="shared" si="62"/>
        <v>1.4528001514837225E-3</v>
      </c>
      <c r="T22" s="1">
        <f t="shared" si="63"/>
        <v>0.93360072162597019</v>
      </c>
      <c r="U22" s="1">
        <f t="shared" si="64"/>
        <v>4.1657988822235486E-3</v>
      </c>
      <c r="V22" s="11">
        <f t="shared" si="65"/>
        <v>6.5231312047334145</v>
      </c>
      <c r="W22" s="12">
        <f t="shared" si="66"/>
        <v>4.5585069560682416E-2</v>
      </c>
      <c r="X22" s="13">
        <f t="shared" si="2"/>
        <v>-2.3434750689034556E-2</v>
      </c>
      <c r="Y22" s="12" t="e">
        <f>(SQRT((Q22/M22)^2 + (0.0002/F22)^2))*#REF!</f>
        <v>#REF!</v>
      </c>
      <c r="Z22" s="12">
        <f t="shared" si="3"/>
        <v>4.1744398759688481E-3</v>
      </c>
      <c r="AA22" s="12">
        <f t="shared" si="67"/>
        <v>1.1368647682458207E-2</v>
      </c>
      <c r="AB22" s="12">
        <f t="shared" si="4"/>
        <v>4.8824754809146569E-3</v>
      </c>
      <c r="AC22" s="14">
        <f t="shared" si="68"/>
        <v>6.4644737864750779</v>
      </c>
      <c r="AD22" s="1">
        <f t="shared" si="69"/>
        <v>3.1396696546270704</v>
      </c>
      <c r="AE22" s="14">
        <f t="shared" si="70"/>
        <v>2.7140609791594006</v>
      </c>
      <c r="AF22" s="14">
        <f t="shared" si="5"/>
        <v>64.301932452644337</v>
      </c>
      <c r="AG22" s="14">
        <f t="shared" si="6"/>
        <v>272.5978783447668</v>
      </c>
      <c r="AH22" s="14">
        <f t="shared" si="7"/>
        <v>272.5978783447668</v>
      </c>
      <c r="AI22" s="14">
        <f t="shared" si="8"/>
        <v>64.301932452644337</v>
      </c>
      <c r="AJ22" s="14">
        <f t="shared" si="9"/>
        <v>48.050212882568793</v>
      </c>
      <c r="AK22" s="14">
        <f t="shared" si="71"/>
        <v>160.24573300955367</v>
      </c>
      <c r="AL22" s="14">
        <f t="shared" si="72"/>
        <v>305.10131748491784</v>
      </c>
      <c r="AM22" s="7"/>
      <c r="AN22" s="12">
        <f t="shared" si="73"/>
        <v>0.68806011768450803</v>
      </c>
      <c r="AO22" s="14">
        <f t="shared" si="10"/>
        <v>0.32574604849556127</v>
      </c>
      <c r="AP22" s="14">
        <f t="shared" si="74"/>
        <v>1.0711217084948135</v>
      </c>
      <c r="AQ22" s="11">
        <f t="shared" si="93"/>
        <v>6.5231312047334145</v>
      </c>
      <c r="AR22" s="14">
        <f t="shared" si="11"/>
        <v>12.543346395666788</v>
      </c>
      <c r="AS22" s="14">
        <f t="shared" si="12"/>
        <v>-2.3434750581144526E-2</v>
      </c>
      <c r="AT22" s="82">
        <f t="shared" si="13"/>
        <v>304.11182917886282</v>
      </c>
      <c r="AU22" s="82">
        <f t="shared" si="14"/>
        <v>48.642361673982045</v>
      </c>
      <c r="AV22" s="82">
        <f t="shared" si="15"/>
        <v>159.07661566029276</v>
      </c>
      <c r="AW22" s="14">
        <f t="shared" si="75"/>
        <v>-0.9894883060550228</v>
      </c>
      <c r="AX22" s="14">
        <f t="shared" si="76"/>
        <v>0.59214879141325127</v>
      </c>
      <c r="AY22" s="14">
        <f t="shared" si="77"/>
        <v>-1.1691173492609153</v>
      </c>
      <c r="AZ22" s="11">
        <f t="shared" si="78"/>
        <v>0.23267582162785772</v>
      </c>
      <c r="BA22" s="92"/>
      <c r="BB22" s="2"/>
      <c r="BC22" s="12">
        <v>0.20034572005565329</v>
      </c>
      <c r="BD22" s="12">
        <v>0.50703364660407457</v>
      </c>
      <c r="BE22" s="12">
        <f t="shared" si="79"/>
        <v>0.21287428502659014</v>
      </c>
      <c r="BF22" s="12">
        <f t="shared" si="80"/>
        <v>0.43830096371475474</v>
      </c>
      <c r="BG22" s="12">
        <v>0.68806011768450803</v>
      </c>
      <c r="BH22" s="14">
        <f t="shared" si="16"/>
        <v>0.32574604849556127</v>
      </c>
      <c r="BI22" s="14">
        <f t="shared" si="17"/>
        <v>1.0711217084948135</v>
      </c>
      <c r="BJ22" s="11">
        <f t="shared" si="81"/>
        <v>6.5231312047334145</v>
      </c>
      <c r="BK22" s="11">
        <f t="shared" si="18"/>
        <v>12.569675676229137</v>
      </c>
      <c r="BL22" s="12">
        <f t="shared" si="19"/>
        <v>-2.3434750581144526E-2</v>
      </c>
      <c r="BM22" s="11">
        <f t="shared" si="20"/>
        <v>0.25900510219020667</v>
      </c>
      <c r="BN22" s="14">
        <f t="shared" si="94"/>
        <v>6.4644737864750779</v>
      </c>
      <c r="BO22" s="14">
        <f t="shared" si="95"/>
        <v>3.1396696546270704</v>
      </c>
      <c r="BP22" s="14">
        <f t="shared" si="96"/>
        <v>2.7140609791594006</v>
      </c>
      <c r="BQ22" s="14">
        <f t="shared" si="82"/>
        <v>272.5978783447668</v>
      </c>
      <c r="BR22" s="14">
        <f t="shared" si="83"/>
        <v>64.301932452644337</v>
      </c>
      <c r="BS22" s="14">
        <f t="shared" si="84"/>
        <v>48.050212882568793</v>
      </c>
      <c r="BT22" s="14">
        <f t="shared" si="85"/>
        <v>160.24573300955367</v>
      </c>
      <c r="BU22" s="14">
        <f t="shared" si="86"/>
        <v>305.10131748491784</v>
      </c>
      <c r="BV22" s="18">
        <f t="shared" si="22"/>
        <v>305.33986165360045</v>
      </c>
      <c r="BW22" s="18">
        <f t="shared" si="23"/>
        <v>48.63470440565343</v>
      </c>
      <c r="BX22" s="18">
        <f t="shared" si="24"/>
        <v>159.76831024612238</v>
      </c>
      <c r="BY22" s="11">
        <f t="shared" si="87"/>
        <v>0.23854416868260842</v>
      </c>
      <c r="BZ22" s="11">
        <f t="shared" si="88"/>
        <v>0.58449152308463681</v>
      </c>
      <c r="CA22" s="11">
        <f t="shared" si="89"/>
        <v>-0.4774227634312922</v>
      </c>
      <c r="CB22" s="11">
        <f t="shared" si="25"/>
        <v>208.29216071528174</v>
      </c>
      <c r="CC22" s="11">
        <f t="shared" si="26"/>
        <v>6.8416947743990031</v>
      </c>
      <c r="CD22" s="11">
        <f t="shared" si="27"/>
        <v>2.7305182486608501</v>
      </c>
      <c r="CE22" s="11">
        <f t="shared" si="28"/>
        <v>6.4708801234237221</v>
      </c>
      <c r="CF22" s="11">
        <f t="shared" si="29"/>
        <v>3.1502351050275381</v>
      </c>
      <c r="CG22" s="11">
        <f t="shared" si="30"/>
        <v>58.295132924887675</v>
      </c>
      <c r="CH22" s="11">
        <f t="shared" si="31"/>
        <v>56.077547992583128</v>
      </c>
      <c r="CI22" s="11">
        <f t="shared" si="32"/>
        <v>57.186340458735401</v>
      </c>
      <c r="CJ22" s="14"/>
      <c r="CK22" s="14">
        <f t="shared" si="33"/>
        <v>1.6457269501449545E-2</v>
      </c>
      <c r="CL22" s="14">
        <f t="shared" si="34"/>
        <v>6.4063369486442312E-3</v>
      </c>
      <c r="CM22" s="14">
        <f t="shared" si="35"/>
        <v>1.0565450400467746E-2</v>
      </c>
      <c r="CN22" s="19"/>
      <c r="CO22" s="12"/>
      <c r="CP22" s="12"/>
      <c r="CS22" s="12"/>
      <c r="CT22" s="14"/>
      <c r="CU22" s="11"/>
      <c r="CV22" s="12"/>
      <c r="ET22" s="1">
        <f t="shared" si="36"/>
        <v>3.1154445526522732E-5</v>
      </c>
      <c r="EU22" s="1">
        <f t="shared" si="37"/>
        <v>1.4369347743651737E-3</v>
      </c>
      <c r="EV22" s="1">
        <f t="shared" si="38"/>
        <v>0.26237262521293558</v>
      </c>
      <c r="EW22" s="1">
        <f t="shared" si="39"/>
        <v>3.4436831159087807E-3</v>
      </c>
      <c r="EX22" s="1">
        <f t="shared" si="40"/>
        <v>3.181963170625945</v>
      </c>
      <c r="EY22" s="1">
        <f t="shared" si="41"/>
        <v>1.0672587460456782</v>
      </c>
      <c r="EZ22" s="1">
        <f t="shared" si="42"/>
        <v>7.3367033851636135E-2</v>
      </c>
      <c r="FA22" s="1">
        <f t="shared" si="43"/>
        <v>1.7815368653646853</v>
      </c>
      <c r="FB22" s="1">
        <f t="shared" si="44"/>
        <v>0.45385601110612511</v>
      </c>
      <c r="FC22" s="1">
        <f t="shared" si="45"/>
        <v>0.23844736043691736</v>
      </c>
      <c r="FD22" s="1">
        <f t="shared" si="46"/>
        <v>0.11754591607734446</v>
      </c>
      <c r="FE22" s="1">
        <f t="shared" si="47"/>
        <v>0.80121424418160037</v>
      </c>
      <c r="FF22" s="1">
        <f t="shared" si="48"/>
        <v>0.15877295803867225</v>
      </c>
      <c r="FG22" s="1">
        <f t="shared" si="49"/>
        <v>-0.15877295803867225</v>
      </c>
      <c r="FH22" s="1">
        <f t="shared" si="50"/>
        <v>0.70060712209080012</v>
      </c>
      <c r="FI22" s="1">
        <f t="shared" si="51"/>
        <v>1.7838058107949826</v>
      </c>
      <c r="FJ22" s="1">
        <f t="shared" si="52"/>
        <v>1.0330821584199767</v>
      </c>
      <c r="FK22" s="1">
        <f t="shared" si="53"/>
        <v>0.27086349671307897</v>
      </c>
      <c r="FL22" s="1">
        <f t="shared" si="54"/>
        <v>1.2726676102784784</v>
      </c>
      <c r="FM22" s="1">
        <f t="shared" si="55"/>
        <v>0.32489403777984138</v>
      </c>
      <c r="FN22" s="1">
        <f t="shared" si="56"/>
        <v>0.31169251994219732</v>
      </c>
      <c r="FO22" s="1">
        <f t="shared" si="57"/>
        <v>0.31817018441347655</v>
      </c>
    </row>
    <row r="23" spans="1:171" x14ac:dyDescent="0.25">
      <c r="A23" s="11">
        <v>12.482847784864649</v>
      </c>
      <c r="B23" s="3">
        <v>630</v>
      </c>
      <c r="C23" s="12">
        <v>0.18327562531204289</v>
      </c>
      <c r="D23" s="12">
        <v>0.37755099650116486</v>
      </c>
      <c r="E23" s="11">
        <v>12.482847784864649</v>
      </c>
      <c r="F23" s="12">
        <v>0.19974572005565328</v>
      </c>
      <c r="G23" s="12">
        <v>0.50683364660407459</v>
      </c>
      <c r="H23" s="12">
        <f t="shared" si="90"/>
        <v>0.21256349294839896</v>
      </c>
      <c r="I23" s="12">
        <f t="shared" si="91"/>
        <v>0.43788451653512361</v>
      </c>
      <c r="J23" s="12">
        <f t="shared" si="0"/>
        <v>5.9026242943168272E-2</v>
      </c>
      <c r="K23" s="13">
        <f t="shared" si="58"/>
        <v>1.0181180413157921E-2</v>
      </c>
      <c r="L23" s="13">
        <f>SUM(K$3:$K23)</f>
        <v>0.83525485872208793</v>
      </c>
      <c r="M23" s="72">
        <f t="shared" si="92"/>
        <v>0.68786793116786382</v>
      </c>
      <c r="N23" s="12">
        <f t="shared" si="59"/>
        <v>1.2750677771652236E-4</v>
      </c>
      <c r="O23" s="21">
        <f t="shared" si="60"/>
        <v>1.2049190933788425E-10</v>
      </c>
      <c r="P23" s="11">
        <f>SUM(O$2:$O23)</f>
        <v>1.0272514817263136E-7</v>
      </c>
      <c r="Q23" s="12">
        <f t="shared" si="61"/>
        <v>1.0231749814907439E-3</v>
      </c>
      <c r="R23" s="3">
        <f t="shared" si="1"/>
        <v>0.32547316603051257</v>
      </c>
      <c r="S23" s="1">
        <f t="shared" si="62"/>
        <v>1.4523834541767698E-3</v>
      </c>
      <c r="T23" s="1">
        <f t="shared" si="63"/>
        <v>0.9328186299706297</v>
      </c>
      <c r="U23" s="12">
        <f t="shared" si="64"/>
        <v>4.1646046116920491E-3</v>
      </c>
      <c r="V23" s="11">
        <f t="shared" si="65"/>
        <v>6.5286003134304327</v>
      </c>
      <c r="W23" s="12">
        <f t="shared" si="66"/>
        <v>4.5633536161135038E-2</v>
      </c>
      <c r="X23" s="13">
        <f t="shared" si="2"/>
        <v>-2.3727281131313616E-2</v>
      </c>
      <c r="Y23" s="12" t="e">
        <f>(SQRT((Q23/M23)^2 + (0.0002/F23)^2))*#REF!</f>
        <v>#REF!</v>
      </c>
      <c r="Z23" s="12">
        <f t="shared" si="3"/>
        <v>4.1771795090154449E-3</v>
      </c>
      <c r="AA23" s="12">
        <f t="shared" si="67"/>
        <v>1.1391324983349136E-2</v>
      </c>
      <c r="AB23" s="12">
        <f t="shared" si="4"/>
        <v>4.8886158180107215E-3</v>
      </c>
      <c r="AC23" s="14">
        <f t="shared" si="68"/>
        <v>6.4721173107072323</v>
      </c>
      <c r="AD23" s="1">
        <f t="shared" si="69"/>
        <v>3.1417778212885885</v>
      </c>
      <c r="AE23" s="14">
        <f t="shared" si="70"/>
        <v>2.7143735850086865</v>
      </c>
      <c r="AF23" s="14">
        <f t="shared" si="5"/>
        <v>64.44229826433525</v>
      </c>
      <c r="AG23" s="14">
        <f t="shared" si="6"/>
        <v>273.47198472321389</v>
      </c>
      <c r="AH23" s="14">
        <f t="shared" si="7"/>
        <v>273.47198472321389</v>
      </c>
      <c r="AI23" s="14">
        <f t="shared" si="8"/>
        <v>64.44229826433525</v>
      </c>
      <c r="AJ23" s="14">
        <f t="shared" si="9"/>
        <v>48.101577807981357</v>
      </c>
      <c r="AK23" s="14">
        <f t="shared" si="71"/>
        <v>160.92810865089729</v>
      </c>
      <c r="AL23" s="14">
        <f t="shared" si="72"/>
        <v>306.15342563592168</v>
      </c>
      <c r="AM23" s="7"/>
      <c r="AN23" s="12">
        <f t="shared" si="73"/>
        <v>0.68786793116786382</v>
      </c>
      <c r="AO23" s="14">
        <f t="shared" si="10"/>
        <v>0.32547316603051257</v>
      </c>
      <c r="AP23" s="14">
        <f t="shared" si="74"/>
        <v>1.0720197558999069</v>
      </c>
      <c r="AQ23" s="11">
        <f t="shared" si="93"/>
        <v>6.5286003134304327</v>
      </c>
      <c r="AR23" s="14">
        <f t="shared" si="11"/>
        <v>12.717451274568617</v>
      </c>
      <c r="AS23" s="14">
        <f t="shared" si="12"/>
        <v>-2.3727281022046576E-2</v>
      </c>
      <c r="AT23" s="82">
        <f t="shared" si="13"/>
        <v>305.01651179676503</v>
      </c>
      <c r="AU23" s="82">
        <f t="shared" si="14"/>
        <v>48.651726049476181</v>
      </c>
      <c r="AV23" s="82">
        <f t="shared" si="15"/>
        <v>159.59736213108482</v>
      </c>
      <c r="AW23" s="14">
        <f t="shared" si="75"/>
        <v>-1.136913839156648</v>
      </c>
      <c r="AX23" s="14">
        <f t="shared" si="76"/>
        <v>0.55014824149482422</v>
      </c>
      <c r="AY23" s="14">
        <f t="shared" si="77"/>
        <v>-1.3307465198124646</v>
      </c>
      <c r="AZ23" s="11">
        <f t="shared" si="78"/>
        <v>0.23460348970396794</v>
      </c>
      <c r="BA23" s="92"/>
      <c r="BB23" s="2"/>
      <c r="BC23" s="12">
        <v>0.19974572005565328</v>
      </c>
      <c r="BD23" s="12">
        <v>0.50683364660407459</v>
      </c>
      <c r="BE23" s="12">
        <f t="shared" si="79"/>
        <v>0.21256349294839896</v>
      </c>
      <c r="BF23" s="12">
        <f t="shared" si="80"/>
        <v>0.43788451653512361</v>
      </c>
      <c r="BG23" s="12">
        <v>0.68786793116786382</v>
      </c>
      <c r="BH23" s="14">
        <f t="shared" si="16"/>
        <v>0.32547316603051257</v>
      </c>
      <c r="BI23" s="14">
        <f t="shared" si="17"/>
        <v>1.0720197558999069</v>
      </c>
      <c r="BJ23" s="11">
        <f t="shared" si="81"/>
        <v>6.5286003134304327</v>
      </c>
      <c r="BK23" s="11">
        <f t="shared" si="18"/>
        <v>12.744515811324852</v>
      </c>
      <c r="BL23" s="12">
        <f t="shared" si="19"/>
        <v>-2.3727281022046576E-2</v>
      </c>
      <c r="BM23" s="11">
        <f t="shared" si="20"/>
        <v>0.26166802646020315</v>
      </c>
      <c r="BN23" s="14">
        <f t="shared" si="94"/>
        <v>6.4721173107072323</v>
      </c>
      <c r="BO23" s="14">
        <f t="shared" si="95"/>
        <v>3.1417778212885885</v>
      </c>
      <c r="BP23" s="14">
        <f t="shared" si="96"/>
        <v>2.7143735850086865</v>
      </c>
      <c r="BQ23" s="14">
        <f t="shared" si="82"/>
        <v>273.47198472321389</v>
      </c>
      <c r="BR23" s="14">
        <f t="shared" si="83"/>
        <v>64.44229826433525</v>
      </c>
      <c r="BS23" s="14">
        <f t="shared" si="84"/>
        <v>48.101577807981357</v>
      </c>
      <c r="BT23" s="14">
        <f t="shared" si="85"/>
        <v>160.92810865089729</v>
      </c>
      <c r="BU23" s="14">
        <f t="shared" si="86"/>
        <v>306.15342563592168</v>
      </c>
      <c r="BV23" s="18">
        <f t="shared" si="22"/>
        <v>306.26428806755922</v>
      </c>
      <c r="BW23" s="18">
        <f t="shared" si="23"/>
        <v>48.643793913756909</v>
      </c>
      <c r="BX23" s="18">
        <f t="shared" si="24"/>
        <v>160.29975432734568</v>
      </c>
      <c r="BY23" s="11">
        <f t="shared" si="87"/>
        <v>0.11086243163754261</v>
      </c>
      <c r="BZ23" s="11">
        <f t="shared" si="88"/>
        <v>0.54221610577555168</v>
      </c>
      <c r="CA23" s="11">
        <f t="shared" si="89"/>
        <v>-0.62835432355160492</v>
      </c>
      <c r="CB23" s="11">
        <f t="shared" si="25"/>
        <v>208.95459890741685</v>
      </c>
      <c r="CC23" s="11">
        <f t="shared" si="26"/>
        <v>6.8491730423143062</v>
      </c>
      <c r="CD23" s="11">
        <f t="shared" si="27"/>
        <v>2.7296293496980626</v>
      </c>
      <c r="CE23" s="11">
        <f t="shared" si="28"/>
        <v>6.4761513237718766</v>
      </c>
      <c r="CF23" s="11">
        <f t="shared" si="29"/>
        <v>3.1521732964676454</v>
      </c>
      <c r="CG23" s="11">
        <f t="shared" si="30"/>
        <v>58.379183096296856</v>
      </c>
      <c r="CH23" s="11">
        <f t="shared" si="31"/>
        <v>56.131377212414918</v>
      </c>
      <c r="CI23" s="11">
        <f t="shared" si="32"/>
        <v>57.255280154355887</v>
      </c>
      <c r="CJ23" s="14"/>
      <c r="CK23" s="14">
        <f t="shared" si="33"/>
        <v>1.5255764689376061E-2</v>
      </c>
      <c r="CL23" s="14">
        <f t="shared" si="34"/>
        <v>4.0340130646443484E-3</v>
      </c>
      <c r="CM23" s="14">
        <f t="shared" si="35"/>
        <v>1.0395475179056923E-2</v>
      </c>
      <c r="CN23" s="12"/>
      <c r="CO23" s="12"/>
      <c r="CP23" s="12"/>
      <c r="CS23" s="12"/>
      <c r="CT23" s="14"/>
      <c r="CU23" s="11"/>
      <c r="CV23" s="12"/>
      <c r="ET23" s="1">
        <f t="shared" si="36"/>
        <v>3.1156883286291546E-5</v>
      </c>
      <c r="EU23" s="1">
        <f t="shared" si="37"/>
        <v>1.4411452364843666E-3</v>
      </c>
      <c r="EV23" s="1">
        <f t="shared" si="38"/>
        <v>0.26483068980183994</v>
      </c>
      <c r="EW23" s="1">
        <f t="shared" si="39"/>
        <v>3.4653160183752856E-3</v>
      </c>
      <c r="EX23" s="1">
        <f t="shared" si="40"/>
        <v>3.2047887135861153</v>
      </c>
      <c r="EY23" s="1">
        <f t="shared" si="41"/>
        <v>1.0766336326106429</v>
      </c>
      <c r="EZ23" s="1">
        <f t="shared" si="42"/>
        <v>7.3530751205557382E-2</v>
      </c>
      <c r="FA23" s="1">
        <f t="shared" si="43"/>
        <v>1.7958412265922756</v>
      </c>
      <c r="FB23" s="1">
        <f t="shared" si="44"/>
        <v>0.45594839296697037</v>
      </c>
      <c r="FC23" s="1">
        <f t="shared" si="45"/>
        <v>0.23974104609002128</v>
      </c>
      <c r="FD23" s="1">
        <f t="shared" si="46"/>
        <v>0.11730474582867323</v>
      </c>
      <c r="FE23" s="1">
        <f t="shared" si="47"/>
        <v>0.80194183155540688</v>
      </c>
      <c r="FF23" s="1">
        <f t="shared" si="48"/>
        <v>0.15865237291433662</v>
      </c>
      <c r="FG23" s="1">
        <f t="shared" si="49"/>
        <v>-0.15865237291433662</v>
      </c>
      <c r="FH23" s="1">
        <f t="shared" si="50"/>
        <v>0.70097091577770343</v>
      </c>
      <c r="FI23" s="1">
        <f t="shared" si="51"/>
        <v>1.7901923677599889</v>
      </c>
      <c r="FJ23" s="1">
        <f t="shared" si="52"/>
        <v>1.0376095761945545</v>
      </c>
      <c r="FK23" s="1">
        <f t="shared" si="53"/>
        <v>0.27116554206896826</v>
      </c>
      <c r="FL23" s="1">
        <f t="shared" si="54"/>
        <v>1.2777883736448601</v>
      </c>
      <c r="FM23" s="1">
        <f t="shared" si="55"/>
        <v>0.32550027558353428</v>
      </c>
      <c r="FN23" s="1">
        <f t="shared" si="56"/>
        <v>0.31218175277391841</v>
      </c>
      <c r="FO23" s="1">
        <f t="shared" si="57"/>
        <v>0.31871676587844833</v>
      </c>
    </row>
    <row r="24" spans="1:171" x14ac:dyDescent="0.25">
      <c r="BA24" s="6"/>
      <c r="BB24" s="2"/>
    </row>
    <row r="25" spans="1:171" x14ac:dyDescent="0.25">
      <c r="E25" s="1">
        <f>0.2/E5*100</f>
        <v>8.0109925013465677</v>
      </c>
      <c r="F25" s="1">
        <f>0.0002/F23*100</f>
        <v>0.10012730182367656</v>
      </c>
      <c r="M25" s="1">
        <f>0.001/0.704*100</f>
        <v>0.14204545454545456</v>
      </c>
      <c r="V25" s="1">
        <f>0.04/6.09*100</f>
        <v>0.65681444991789828</v>
      </c>
      <c r="BA25" s="6"/>
      <c r="BB25" s="2"/>
    </row>
    <row r="26" spans="1:171" x14ac:dyDescent="0.25">
      <c r="AG26" s="1" t="s">
        <v>65</v>
      </c>
      <c r="AY26" s="162" t="s">
        <v>201</v>
      </c>
      <c r="AZ26" s="162"/>
      <c r="BA26" s="6"/>
      <c r="BB26" s="2"/>
      <c r="BC26" s="163" t="s">
        <v>202</v>
      </c>
      <c r="BD26" s="163"/>
    </row>
    <row r="27" spans="1:171" ht="15.6" x14ac:dyDescent="0.3">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71" ht="15.6" x14ac:dyDescent="0.3">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71" ht="15.6" x14ac:dyDescent="0.3">
      <c r="A29" s="1" t="s">
        <v>80</v>
      </c>
      <c r="B29" s="1">
        <v>0.623</v>
      </c>
      <c r="C29" s="1">
        <v>0.60699999999999998</v>
      </c>
      <c r="J29" s="21">
        <f>12*$B$31*$B$38^2+$K$29*L2</f>
        <v>36.219617279999994</v>
      </c>
      <c r="K29" s="1">
        <f>C34</f>
        <v>1.016974</v>
      </c>
      <c r="L29" s="1" t="s">
        <v>81</v>
      </c>
      <c r="M29" s="1">
        <f>36*$B$40*($B$38^2)*(4*$B$40*$B$38^2 + $K$29*L2)/J29^2</f>
        <v>1.0000000000000002</v>
      </c>
      <c r="N29" s="1">
        <f t="shared" ref="N29" si="97">36*$B$40*($B$38^2)*(4*$B$40*$B$38^2 + $K$29*M2)/K29^2</f>
        <v>1343.6534708520289</v>
      </c>
      <c r="O29" s="14">
        <f t="shared" ref="O29:O50" si="98">-(12*$B$40*$K$29*$D$38^3)/(J29^2)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71" ht="15.6" x14ac:dyDescent="0.3">
      <c r="A30" s="1" t="s">
        <v>83</v>
      </c>
      <c r="B30" s="1">
        <f>0.000046</f>
        <v>4.6E-5</v>
      </c>
      <c r="F30" s="1" t="s">
        <v>84</v>
      </c>
      <c r="G30" s="1" t="s">
        <v>85</v>
      </c>
      <c r="H30" s="1" t="s">
        <v>86</v>
      </c>
      <c r="J30" s="21">
        <f t="shared" ref="J30:J50" si="99">12*$B$31*$B$38^2+$K$29*L3</f>
        <v>36.230004961873007</v>
      </c>
      <c r="M30" s="1">
        <f t="shared" ref="M30:M50" si="100">36*$B$40*($B$38^2)*(4*$B$40*$B$38^2 + $K$29*L3)/J30^2</f>
        <v>1.0002865504787488</v>
      </c>
      <c r="N30" s="14">
        <f t="shared" ref="N30:N50" si="101">(12*$K$29*L3*$D$38^3)/(J30^2)</f>
        <v>3.3134550026316022E-5</v>
      </c>
      <c r="O30" s="14">
        <f t="shared" si="98"/>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71" ht="15.6" x14ac:dyDescent="0.3">
      <c r="A31" s="1" t="s">
        <v>89</v>
      </c>
      <c r="B31" s="1">
        <v>6.09</v>
      </c>
      <c r="E31" s="1" t="s">
        <v>62</v>
      </c>
      <c r="F31" s="1">
        <v>231</v>
      </c>
      <c r="G31" s="1">
        <v>6.1588176205143972</v>
      </c>
      <c r="H31" s="1">
        <v>0.23121321132432957</v>
      </c>
      <c r="J31" s="21">
        <f t="shared" si="99"/>
        <v>36.344840316824367</v>
      </c>
      <c r="M31" s="1">
        <f t="shared" si="100"/>
        <v>1.0034216726563492</v>
      </c>
      <c r="N31" s="14">
        <f t="shared" si="101"/>
        <v>3.9691537765960033E-4</v>
      </c>
      <c r="O31" s="14">
        <f t="shared" si="98"/>
        <v>-1.9630928252146327E-2</v>
      </c>
      <c r="AK31" s="1">
        <f>330+642</f>
        <v>972</v>
      </c>
      <c r="AY31" s="46" t="s">
        <v>67</v>
      </c>
      <c r="AZ31" s="14">
        <v>3.1320661839907795</v>
      </c>
      <c r="BA31" s="6"/>
      <c r="BB31" s="2"/>
      <c r="BC31" s="46" t="s">
        <v>67</v>
      </c>
      <c r="BD31" s="14">
        <v>3.1848805484902285</v>
      </c>
      <c r="BJ31" s="49"/>
      <c r="CO31" s="21"/>
      <c r="CS31" s="14"/>
      <c r="CT31" s="14"/>
    </row>
    <row r="32" spans="1:171" ht="15.6" x14ac:dyDescent="0.3">
      <c r="A32" s="1" t="s">
        <v>90</v>
      </c>
      <c r="B32" s="1">
        <v>1.23</v>
      </c>
      <c r="E32" s="1" t="s">
        <v>91</v>
      </c>
      <c r="F32" s="1">
        <v>120</v>
      </c>
      <c r="G32" s="1">
        <v>5.9398554585183101</v>
      </c>
      <c r="H32" s="1">
        <v>0.23973647337795911</v>
      </c>
      <c r="J32" s="21">
        <f t="shared" si="99"/>
        <v>36.408431985393911</v>
      </c>
      <c r="M32" s="1">
        <f t="shared" si="100"/>
        <v>1.005132226330391</v>
      </c>
      <c r="N32" s="14">
        <f t="shared" si="101"/>
        <v>5.9639100951119049E-4</v>
      </c>
      <c r="O32" s="14">
        <f t="shared" si="98"/>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202" ht="15.6" x14ac:dyDescent="0.3">
      <c r="A33" s="1" t="s">
        <v>93</v>
      </c>
      <c r="B33" s="1">
        <v>300</v>
      </c>
      <c r="E33" s="1" t="s">
        <v>94</v>
      </c>
      <c r="F33" s="1">
        <v>120</v>
      </c>
      <c r="G33" s="1">
        <v>2.9070625361253621</v>
      </c>
      <c r="H33" s="1">
        <v>0.48984154358714227</v>
      </c>
      <c r="J33" s="21">
        <f t="shared" si="99"/>
        <v>36.476877100438806</v>
      </c>
      <c r="M33" s="1">
        <f t="shared" si="100"/>
        <v>1.0069532015102993</v>
      </c>
      <c r="N33" s="14">
        <f t="shared" si="101"/>
        <v>8.0953547660503897E-4</v>
      </c>
      <c r="O33" s="14">
        <f t="shared" si="98"/>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202" ht="15.6" x14ac:dyDescent="0.3">
      <c r="A34" s="1" t="s">
        <v>95</v>
      </c>
      <c r="B34" s="1">
        <f>C34/C35</f>
        <v>3.5853802171808245E-2</v>
      </c>
      <c r="C34" s="1">
        <f>1+B30*B32*B33</f>
        <v>1.016974</v>
      </c>
      <c r="E34" s="1" t="s">
        <v>71</v>
      </c>
      <c r="F34" s="1">
        <v>43.4</v>
      </c>
      <c r="G34" s="1">
        <v>2.6695386832951487</v>
      </c>
      <c r="H34" s="1">
        <v>0.53342549741301504</v>
      </c>
      <c r="J34" s="21">
        <f t="shared" si="99"/>
        <v>36.546902534855903</v>
      </c>
      <c r="M34" s="1">
        <f t="shared" si="100"/>
        <v>1.0087948202165875</v>
      </c>
      <c r="N34" s="14">
        <f t="shared" si="101"/>
        <v>1.0259460245183164E-3</v>
      </c>
      <c r="O34" s="14">
        <f t="shared" si="98"/>
        <v>-1.9414455551133209E-2</v>
      </c>
      <c r="AY34" s="49" t="s">
        <v>88</v>
      </c>
      <c r="AZ34" s="11">
        <f>(AZ30+2*AZ31)/3</f>
        <v>3.9602557432656993</v>
      </c>
      <c r="BA34" s="6"/>
      <c r="BB34" s="2"/>
      <c r="BC34" s="49" t="s">
        <v>88</v>
      </c>
      <c r="BD34" s="11">
        <f>(BD30+2*BD31)/3</f>
        <v>4.026352481374107</v>
      </c>
      <c r="CO34" s="21"/>
      <c r="CS34" s="14"/>
      <c r="CT34" s="14"/>
    </row>
    <row r="35" spans="1:202" ht="15.6" x14ac:dyDescent="0.3">
      <c r="C35" s="1">
        <f>12*B31*(B29^2)</f>
        <v>28.364467319999999</v>
      </c>
      <c r="J35" s="21">
        <f t="shared" si="99"/>
        <v>36.594740156054016</v>
      </c>
      <c r="M35" s="1">
        <f t="shared" si="100"/>
        <v>1.0100405770420833</v>
      </c>
      <c r="N35" s="14">
        <f t="shared" si="101"/>
        <v>1.1728310021441432E-3</v>
      </c>
      <c r="O35" s="14">
        <f t="shared" si="98"/>
        <v>-1.9363730538264741E-2</v>
      </c>
      <c r="AY35" s="47" t="s">
        <v>82</v>
      </c>
      <c r="AZ35" s="52">
        <f>AZ39+AZ37+AZ38+AZ36</f>
        <v>2.0863166379773621</v>
      </c>
      <c r="BA35" s="6"/>
      <c r="BB35" s="2"/>
      <c r="BC35" s="47" t="s">
        <v>82</v>
      </c>
      <c r="BD35" s="81">
        <f>BD39+BD37+BD38+BD36</f>
        <v>0.55468551990627613</v>
      </c>
      <c r="BJ35" s="11"/>
      <c r="CA35" s="21"/>
      <c r="CE35" s="14"/>
      <c r="CF35" s="14"/>
    </row>
    <row r="36" spans="1:202" ht="15.6" x14ac:dyDescent="0.3">
      <c r="B36" s="5" t="s">
        <v>96</v>
      </c>
      <c r="J36" s="21">
        <f t="shared" si="99"/>
        <v>36.639003272748873</v>
      </c>
      <c r="M36" s="1">
        <f t="shared" si="100"/>
        <v>1.0111843938589871</v>
      </c>
      <c r="N36" s="14">
        <f t="shared" si="101"/>
        <v>1.3080545127141447E-3</v>
      </c>
      <c r="O36" s="14">
        <f t="shared" si="98"/>
        <v>-1.9316972642979553E-2</v>
      </c>
      <c r="AY36" s="96" t="s">
        <v>92</v>
      </c>
      <c r="AZ36" s="51">
        <f>SUMSQ(AZ6:AZ16)</f>
        <v>0.24879468010011543</v>
      </c>
      <c r="BA36" s="6"/>
      <c r="BB36" s="2"/>
      <c r="BC36" s="96" t="s">
        <v>92</v>
      </c>
      <c r="BD36" s="51">
        <f>SUMSQ(BM6:BM16)</f>
        <v>4.5600920675480744E-2</v>
      </c>
      <c r="CA36" s="21"/>
      <c r="CE36" s="14"/>
      <c r="CF36" s="14"/>
    </row>
    <row r="37" spans="1:202" ht="15.6" x14ac:dyDescent="0.3">
      <c r="A37" s="1" t="s">
        <v>74</v>
      </c>
      <c r="B37" s="13">
        <v>2.34</v>
      </c>
      <c r="C37" s="13">
        <f>B37/2</f>
        <v>1.17</v>
      </c>
      <c r="J37" s="21">
        <f t="shared" si="99"/>
        <v>36.694289776924059</v>
      </c>
      <c r="M37" s="1">
        <f t="shared" si="100"/>
        <v>1.012601194845324</v>
      </c>
      <c r="N37" s="14">
        <f t="shared" si="101"/>
        <v>1.476033858530353E-3</v>
      </c>
      <c r="O37" s="14">
        <f t="shared" si="98"/>
        <v>-1.9258807552283427E-2</v>
      </c>
      <c r="AY37" s="96" t="s">
        <v>62</v>
      </c>
      <c r="AZ37" s="14">
        <f>SUMSQ(AW6:AW16)</f>
        <v>1.7155650201624399</v>
      </c>
      <c r="BA37" s="6"/>
      <c r="BB37" s="2"/>
      <c r="BC37" s="96" t="s">
        <v>62</v>
      </c>
      <c r="BD37" s="14">
        <f>SUMSQ(BY6:BY16)</f>
        <v>0.13108562776127544</v>
      </c>
      <c r="CA37" s="21"/>
      <c r="CE37" s="14"/>
      <c r="CF37" s="14"/>
    </row>
    <row r="38" spans="1:202" ht="15.6" x14ac:dyDescent="0.3">
      <c r="A38" s="1" t="s">
        <v>80</v>
      </c>
      <c r="B38" s="1">
        <v>0.70399999999999996</v>
      </c>
      <c r="C38" s="1" t="s">
        <v>97</v>
      </c>
      <c r="D38" s="1">
        <v>0.70399999999999996</v>
      </c>
      <c r="J38" s="21">
        <f t="shared" si="99"/>
        <v>36.740149602528582</v>
      </c>
      <c r="M38" s="1">
        <f t="shared" si="100"/>
        <v>1.0137664811955698</v>
      </c>
      <c r="N38" s="14">
        <f t="shared" si="101"/>
        <v>1.6146005086871489E-3</v>
      </c>
      <c r="O38" s="14">
        <f t="shared" si="98"/>
        <v>-1.9210759063238346E-2</v>
      </c>
      <c r="AY38" s="96" t="s">
        <v>66</v>
      </c>
      <c r="AZ38" s="12">
        <f>SUMSQ(AY6:AY16)</f>
        <v>7.1503159447260087E-2</v>
      </c>
      <c r="BA38" s="6"/>
      <c r="BB38" s="2"/>
      <c r="BC38" s="96" t="s">
        <v>66</v>
      </c>
      <c r="BD38" s="12">
        <f>SUMSQ(CA6:CA16)</f>
        <v>0.32601750641703903</v>
      </c>
      <c r="CA38" s="21"/>
      <c r="CE38" s="14"/>
      <c r="CF38" s="14"/>
    </row>
    <row r="39" spans="1:202" ht="15.6" x14ac:dyDescent="0.3">
      <c r="A39" s="1" t="s">
        <v>83</v>
      </c>
      <c r="B39" s="1">
        <f>0.000046</f>
        <v>4.6E-5</v>
      </c>
      <c r="C39" s="1" t="s">
        <v>98</v>
      </c>
      <c r="J39" s="21">
        <f t="shared" si="99"/>
        <v>36.776977212677714</v>
      </c>
      <c r="M39" s="1">
        <f t="shared" si="100"/>
        <v>1.0146957756533277</v>
      </c>
      <c r="N39" s="14">
        <f t="shared" si="101"/>
        <v>1.7253726409698147E-3</v>
      </c>
      <c r="O39" s="14">
        <f t="shared" si="98"/>
        <v>-1.9172303911735834E-2</v>
      </c>
      <c r="AY39" s="96" t="s">
        <v>71</v>
      </c>
      <c r="AZ39" s="12">
        <f>SUMSQ(AX6:AX16)</f>
        <v>5.045377826754642E-2</v>
      </c>
      <c r="BA39" s="6"/>
      <c r="BB39" s="2"/>
      <c r="BC39" s="96" t="s">
        <v>71</v>
      </c>
      <c r="BD39" s="12">
        <f>SUMSQ(BZ6:BZ16)</f>
        <v>5.1981465052480934E-2</v>
      </c>
      <c r="CA39" s="21"/>
      <c r="CE39" s="14"/>
      <c r="CF39" s="14"/>
    </row>
    <row r="40" spans="1:202" ht="15.6" x14ac:dyDescent="0.3">
      <c r="A40" s="1" t="s">
        <v>89</v>
      </c>
      <c r="B40" s="1">
        <v>6.09</v>
      </c>
      <c r="C40" s="1" t="s">
        <v>99</v>
      </c>
      <c r="J40" s="21">
        <f t="shared" si="99"/>
        <v>36.821799274464901</v>
      </c>
      <c r="M40" s="1">
        <f t="shared" si="100"/>
        <v>1.0158190499439517</v>
      </c>
      <c r="N40" s="14">
        <f t="shared" si="101"/>
        <v>1.8595890353232756E-3</v>
      </c>
      <c r="O40" s="14">
        <f t="shared" si="98"/>
        <v>-1.9125656589669172E-2</v>
      </c>
      <c r="AY40" s="46" t="s">
        <v>64</v>
      </c>
      <c r="AZ40" s="1">
        <f>3*AZ33*(AZ30-3)-7*AZ27</f>
        <v>-404.69878537779277</v>
      </c>
      <c r="BA40" s="6"/>
      <c r="BB40" s="2"/>
      <c r="BC40" s="46" t="s">
        <v>64</v>
      </c>
      <c r="BD40" s="1">
        <f>3*BD33*(BD30-3)-7*BD27</f>
        <v>-360.26312950080387</v>
      </c>
      <c r="CA40" s="21"/>
      <c r="CE40" s="14"/>
      <c r="CF40" s="14"/>
    </row>
    <row r="41" spans="1:202" ht="15.6" x14ac:dyDescent="0.3">
      <c r="A41" s="1" t="s">
        <v>90</v>
      </c>
      <c r="B41" s="1">
        <v>1.23</v>
      </c>
      <c r="J41" s="21">
        <f t="shared" si="99"/>
        <v>36.860548652310861</v>
      </c>
      <c r="M41" s="1">
        <f t="shared" si="100"/>
        <v>1.0167833187575375</v>
      </c>
      <c r="N41" s="14">
        <f t="shared" si="101"/>
        <v>1.9750912409634801E-3</v>
      </c>
      <c r="O41" s="14">
        <f t="shared" si="98"/>
        <v>-1.9085466316921772E-2</v>
      </c>
      <c r="AY41" s="46" t="s">
        <v>68</v>
      </c>
      <c r="AZ41" s="1">
        <f>3*AZ33*(AZ31-1)-7*AZ28</f>
        <v>173.85269566752868</v>
      </c>
      <c r="BA41" s="6"/>
      <c r="BB41" s="2"/>
      <c r="BC41" s="46" t="s">
        <v>68</v>
      </c>
      <c r="BD41" s="1">
        <f>3*BD33*(BD31-1)-7*BD28</f>
        <v>199.02204596129422</v>
      </c>
      <c r="CA41" s="21"/>
      <c r="CE41" s="14"/>
      <c r="CF41" s="14"/>
    </row>
    <row r="42" spans="1:202" ht="15.6" x14ac:dyDescent="0.3">
      <c r="A42" s="1" t="s">
        <v>93</v>
      </c>
      <c r="B42" s="1">
        <v>300</v>
      </c>
      <c r="J42" s="21">
        <f t="shared" si="99"/>
        <v>36.887980745099838</v>
      </c>
      <c r="M42" s="1">
        <f t="shared" si="100"/>
        <v>1.0174621558044163</v>
      </c>
      <c r="N42" s="14">
        <f t="shared" si="101"/>
        <v>2.0565636738822867E-3</v>
      </c>
      <c r="O42" s="14">
        <f t="shared" si="98"/>
        <v>-1.9057090699751658E-2</v>
      </c>
      <c r="AY42" s="46" t="s">
        <v>73</v>
      </c>
      <c r="AZ42" s="11">
        <f>3*AZ33*(AZ32-1)-7*AZ29</f>
        <v>-684.16939466518261</v>
      </c>
      <c r="BA42" s="6"/>
      <c r="BB42" s="2"/>
      <c r="BC42" s="46" t="s">
        <v>73</v>
      </c>
      <c r="BD42" s="11">
        <f>3*BD33*(BD32-1)-7*BD29</f>
        <v>-686.91187102084746</v>
      </c>
      <c r="CA42" s="21"/>
      <c r="CE42" s="14"/>
      <c r="CF42" s="14"/>
      <c r="GR42" s="1" t="s">
        <v>270</v>
      </c>
    </row>
    <row r="43" spans="1:202" x14ac:dyDescent="0.25">
      <c r="A43" s="1" t="s">
        <v>95</v>
      </c>
      <c r="B43" s="1">
        <f>C43/C44</f>
        <v>2.8077988570065868E-2</v>
      </c>
      <c r="C43" s="1">
        <f>1+B39*B41*B42</f>
        <v>1.016974</v>
      </c>
      <c r="J43" s="21">
        <f t="shared" si="99"/>
        <v>36.9233705767735</v>
      </c>
      <c r="M43" s="1">
        <f t="shared" si="100"/>
        <v>1.0183332790269639</v>
      </c>
      <c r="N43" s="14">
        <f t="shared" si="101"/>
        <v>2.1613096259587091E-3</v>
      </c>
      <c r="O43" s="14">
        <f t="shared" si="98"/>
        <v>-1.9020577022186149E-2</v>
      </c>
      <c r="CA43" s="21"/>
      <c r="CE43" s="14"/>
      <c r="CF43" s="14"/>
      <c r="GR43" s="1" t="s">
        <v>271</v>
      </c>
      <c r="GS43" s="1" t="s">
        <v>272</v>
      </c>
      <c r="GT43" s="1" t="s">
        <v>273</v>
      </c>
    </row>
    <row r="44" spans="1:202" x14ac:dyDescent="0.25">
      <c r="C44" s="1">
        <f>12*B40*(B38^2)</f>
        <v>36.219617279999994</v>
      </c>
      <c r="J44" s="21">
        <f t="shared" si="99"/>
        <v>36.955731506658466</v>
      </c>
      <c r="M44" s="1">
        <f t="shared" si="100"/>
        <v>1.0191252928224006</v>
      </c>
      <c r="N44" s="14">
        <f t="shared" si="101"/>
        <v>2.25673637139102E-3</v>
      </c>
      <c r="O44" s="14">
        <f t="shared" si="98"/>
        <v>-1.8987280208006538E-2</v>
      </c>
      <c r="CA44" s="21"/>
      <c r="CE44" s="14"/>
      <c r="CF44" s="14"/>
      <c r="GR44" s="1" t="s">
        <v>274</v>
      </c>
      <c r="GS44" s="1">
        <v>236.49329996378441</v>
      </c>
      <c r="GT44" s="1">
        <v>0.23940772339243804</v>
      </c>
    </row>
    <row r="45" spans="1:202" x14ac:dyDescent="0.25">
      <c r="A45" s="1" t="s">
        <v>100</v>
      </c>
      <c r="B45" s="1">
        <v>3</v>
      </c>
      <c r="J45" s="21">
        <f t="shared" si="99"/>
        <v>36.97445545821823</v>
      </c>
      <c r="M45" s="1">
        <f t="shared" si="100"/>
        <v>1.019581571540408</v>
      </c>
      <c r="N45" s="14">
        <f t="shared" si="101"/>
        <v>2.3117960002289376E-3</v>
      </c>
      <c r="O45" s="14">
        <f t="shared" si="98"/>
        <v>-1.8968054670096161E-2</v>
      </c>
      <c r="CA45" s="21"/>
      <c r="CE45" s="14"/>
      <c r="CF45" s="14"/>
      <c r="GR45" s="1" t="s">
        <v>275</v>
      </c>
      <c r="GS45" s="1">
        <v>120.75389469113649</v>
      </c>
      <c r="GT45" s="1">
        <v>0.24038831935653415</v>
      </c>
    </row>
    <row r="46" spans="1:202" x14ac:dyDescent="0.25">
      <c r="A46" s="1" t="s">
        <v>101</v>
      </c>
      <c r="B46" s="1">
        <v>1</v>
      </c>
      <c r="J46" s="21">
        <f t="shared" si="99"/>
        <v>36.987761072821677</v>
      </c>
      <c r="M46" s="1">
        <f t="shared" si="100"/>
        <v>1.0199049334084935</v>
      </c>
      <c r="N46" s="14">
        <f t="shared" si="101"/>
        <v>2.3508540201281703E-3</v>
      </c>
      <c r="O46" s="14">
        <f t="shared" si="98"/>
        <v>-1.8954410360559573E-2</v>
      </c>
      <c r="CA46" s="21"/>
      <c r="CE46" s="14"/>
      <c r="CF46" s="14"/>
      <c r="GR46" s="1" t="s">
        <v>276</v>
      </c>
      <c r="GS46" s="1">
        <v>46.785202663146464</v>
      </c>
      <c r="GT46" s="1">
        <v>0.24344262548602619</v>
      </c>
    </row>
    <row r="47" spans="1:202" x14ac:dyDescent="0.25">
      <c r="J47" s="21">
        <f t="shared" si="99"/>
        <v>37.011585386657842</v>
      </c>
      <c r="M47" s="1">
        <f t="shared" si="100"/>
        <v>1.0204821079602897</v>
      </c>
      <c r="N47" s="14">
        <f t="shared" si="101"/>
        <v>2.42064743271047E-3</v>
      </c>
      <c r="O47" s="14">
        <f t="shared" si="98"/>
        <v>-1.8930016351122701E-2</v>
      </c>
      <c r="BS47" s="1" t="s">
        <v>113</v>
      </c>
      <c r="BT47" s="1">
        <v>1.016974</v>
      </c>
      <c r="CA47" s="21"/>
      <c r="CE47" s="14"/>
      <c r="CF47" s="14"/>
      <c r="GR47" s="1" t="s">
        <v>63</v>
      </c>
      <c r="GS47" s="1">
        <v>5.6166348618155393</v>
      </c>
      <c r="GT47" s="1">
        <v>3.2511407632652888E-2</v>
      </c>
    </row>
    <row r="48" spans="1:202" x14ac:dyDescent="0.25">
      <c r="A48" s="1" t="s">
        <v>50</v>
      </c>
      <c r="B48" s="1">
        <v>151.13999999999999</v>
      </c>
      <c r="J48" s="21">
        <f t="shared" si="99"/>
        <v>37.043083530488254</v>
      </c>
      <c r="M48" s="1">
        <f t="shared" si="100"/>
        <v>1.021241617395958</v>
      </c>
      <c r="N48" s="14">
        <f t="shared" si="101"/>
        <v>2.5126428742143232E-3</v>
      </c>
      <c r="O48" s="14">
        <f t="shared" si="98"/>
        <v>-1.8897837233320558E-2</v>
      </c>
      <c r="BS48" s="1" t="s">
        <v>40</v>
      </c>
      <c r="BT48" s="1">
        <v>6.07</v>
      </c>
      <c r="CA48" s="21"/>
      <c r="CE48" s="14"/>
      <c r="CF48" s="14"/>
      <c r="GR48" s="1" t="s">
        <v>67</v>
      </c>
      <c r="GS48" s="1">
        <v>3.1320661839907795</v>
      </c>
      <c r="GT48" s="1">
        <v>3.3133936709499337E-2</v>
      </c>
    </row>
    <row r="49" spans="1:205" x14ac:dyDescent="0.25">
      <c r="A49" s="1" t="s">
        <v>102</v>
      </c>
      <c r="B49" s="1">
        <v>3.47</v>
      </c>
      <c r="J49" s="21">
        <f t="shared" si="99"/>
        <v>37.058695758924543</v>
      </c>
      <c r="M49" s="1">
        <f t="shared" si="100"/>
        <v>1.0216165689841386</v>
      </c>
      <c r="N49" s="14">
        <f t="shared" si="101"/>
        <v>2.5581237175965259E-3</v>
      </c>
      <c r="O49" s="14">
        <f t="shared" si="98"/>
        <v>-1.8881917881677535E-2</v>
      </c>
      <c r="BS49" s="1" t="s">
        <v>114</v>
      </c>
      <c r="BT49" s="1">
        <v>1.02</v>
      </c>
      <c r="CA49" s="21"/>
      <c r="CE49" s="14"/>
      <c r="CF49" s="14"/>
      <c r="GR49" s="1" t="s">
        <v>72</v>
      </c>
      <c r="GS49" s="1">
        <v>0.25382392640336077</v>
      </c>
      <c r="GT49" s="1">
        <v>3.1099265072560896E-2</v>
      </c>
    </row>
    <row r="50" spans="1:205" x14ac:dyDescent="0.25">
      <c r="J50" s="21">
        <f t="shared" si="99"/>
        <v>37.069049754694028</v>
      </c>
      <c r="M50" s="1">
        <f t="shared" si="100"/>
        <v>1.0218646879201123</v>
      </c>
      <c r="N50" s="14">
        <f t="shared" si="101"/>
        <v>2.5882437707631352E-3</v>
      </c>
      <c r="O50" s="14">
        <f t="shared" si="98"/>
        <v>-1.8871371293862869E-2</v>
      </c>
      <c r="CA50" s="21"/>
      <c r="CE50" s="14"/>
      <c r="CF50" s="14"/>
      <c r="GR50" s="1" t="s">
        <v>277</v>
      </c>
      <c r="GS50" s="1">
        <v>5.4903069420456897E-2</v>
      </c>
    </row>
    <row r="51" spans="1:205" x14ac:dyDescent="0.25">
      <c r="B51" s="1" t="s">
        <v>103</v>
      </c>
      <c r="J51" s="21"/>
      <c r="AU51" s="1" t="s">
        <v>62</v>
      </c>
      <c r="AV51" s="1">
        <v>246.36868691540607</v>
      </c>
      <c r="AW51" s="1" t="s">
        <v>63</v>
      </c>
      <c r="AX51" s="1">
        <v>5.434181546630243</v>
      </c>
      <c r="GR51" s="1" t="s">
        <v>278</v>
      </c>
      <c r="GS51" s="1">
        <v>0.2177528122132025</v>
      </c>
    </row>
    <row r="52" spans="1:205" x14ac:dyDescent="0.25">
      <c r="B52" s="1">
        <f>B38/B29</f>
        <v>1.130016051364366</v>
      </c>
      <c r="E52" s="1" t="s">
        <v>84</v>
      </c>
      <c r="F52" s="1" t="s">
        <v>85</v>
      </c>
      <c r="G52" s="1" t="s">
        <v>104</v>
      </c>
      <c r="H52" s="1" t="s">
        <v>105</v>
      </c>
      <c r="I52" s="1" t="s">
        <v>106</v>
      </c>
      <c r="J52" s="21" t="s">
        <v>107</v>
      </c>
      <c r="AU52" s="1" t="s">
        <v>66</v>
      </c>
      <c r="AV52" s="1">
        <v>125.61714953553738</v>
      </c>
      <c r="AW52" s="1" t="s">
        <v>67</v>
      </c>
      <c r="AX52" s="1">
        <v>3.0905172635997236</v>
      </c>
      <c r="GR52" s="1" t="s">
        <v>279</v>
      </c>
      <c r="GS52" s="1">
        <v>38</v>
      </c>
    </row>
    <row r="53" spans="1:205" x14ac:dyDescent="0.25">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c r="GR53" s="1" t="s">
        <v>280</v>
      </c>
      <c r="GS53" s="1">
        <v>44</v>
      </c>
    </row>
    <row r="54" spans="1:205" x14ac:dyDescent="0.25">
      <c r="D54" s="1" t="s">
        <v>91</v>
      </c>
      <c r="E54" s="1">
        <v>120</v>
      </c>
      <c r="F54" s="1">
        <v>5.9509029363680046</v>
      </c>
      <c r="G54" s="1">
        <v>0.20400265522410566</v>
      </c>
      <c r="H54" s="1">
        <v>1.9882247380219502E-3</v>
      </c>
      <c r="I54" s="1">
        <v>-1.2665075522852213E-2</v>
      </c>
      <c r="J54" s="1">
        <v>0.2020144304860837</v>
      </c>
      <c r="GR54" s="1" t="s">
        <v>281</v>
      </c>
      <c r="GS54" s="1">
        <v>0.17606648255233009</v>
      </c>
    </row>
    <row r="55" spans="1:205" x14ac:dyDescent="0.25">
      <c r="D55" s="1" t="s">
        <v>94</v>
      </c>
      <c r="E55" s="1">
        <v>120</v>
      </c>
      <c r="F55" s="1">
        <v>2.9407578825736391</v>
      </c>
      <c r="G55" s="1">
        <v>0.41281875233385534</v>
      </c>
      <c r="H55" s="1">
        <v>-4.6133080851788809E-4</v>
      </c>
      <c r="I55" s="1">
        <v>-1.249999999999964E-2</v>
      </c>
      <c r="J55" s="1">
        <v>0.41328008314237324</v>
      </c>
      <c r="GR55" s="1" t="s">
        <v>282</v>
      </c>
      <c r="GS55" s="1">
        <v>0.16190396048598918</v>
      </c>
    </row>
    <row r="56" spans="1:205" x14ac:dyDescent="0.25">
      <c r="D56" s="1" t="s">
        <v>71</v>
      </c>
      <c r="E56" s="1">
        <v>43</v>
      </c>
      <c r="F56" s="1">
        <v>2.6572081846587419</v>
      </c>
      <c r="G56" s="1">
        <v>0.53590080303884069</v>
      </c>
      <c r="H56" s="1">
        <v>-3.5202667063622783E-4</v>
      </c>
      <c r="I56" s="1">
        <v>-1.2499999999998837E-2</v>
      </c>
      <c r="J56" s="1">
        <v>0.53625282970947696</v>
      </c>
      <c r="GR56" s="1" t="s">
        <v>283</v>
      </c>
      <c r="GS56" s="1">
        <v>0.17955455592256025</v>
      </c>
    </row>
    <row r="57" spans="1:205" x14ac:dyDescent="0.25">
      <c r="GR57" s="1" t="s">
        <v>284</v>
      </c>
      <c r="GS57" s="1">
        <v>0.17030146557380829</v>
      </c>
    </row>
    <row r="59" spans="1:205" x14ac:dyDescent="0.25">
      <c r="GR59" s="1" t="s">
        <v>285</v>
      </c>
    </row>
    <row r="60" spans="1:205" x14ac:dyDescent="0.25">
      <c r="GR60" s="1">
        <v>5.7316058019950128E-2</v>
      </c>
      <c r="GS60" s="1">
        <v>-2.3668944617591561E-3</v>
      </c>
      <c r="GT60" s="1">
        <v>-3.0198677090458075E-4</v>
      </c>
      <c r="GU60" s="1">
        <v>-7.4267289346224901E-3</v>
      </c>
      <c r="GV60" s="1">
        <v>2.2853333315455402E-5</v>
      </c>
      <c r="GW60" s="1">
        <v>7.0079323630728042E-5</v>
      </c>
    </row>
    <row r="61" spans="1:205" x14ac:dyDescent="0.25">
      <c r="GR61" s="1">
        <v>-2.366894461759157E-3</v>
      </c>
      <c r="GS61" s="1">
        <v>5.7786544083059055E-2</v>
      </c>
      <c r="GT61" s="1">
        <v>-6.5317216555871044E-4</v>
      </c>
      <c r="GU61" s="1">
        <v>-6.422969345562348E-4</v>
      </c>
      <c r="GV61" s="1">
        <v>-7.6633804457769761E-3</v>
      </c>
      <c r="GW61" s="1">
        <v>1.5185443262478434E-4</v>
      </c>
    </row>
    <row r="62" spans="1:205" x14ac:dyDescent="0.25">
      <c r="GR62" s="1">
        <v>-3.0198677090458118E-4</v>
      </c>
      <c r="GS62" s="1">
        <v>-6.531721655587112E-4</v>
      </c>
      <c r="GT62" s="1">
        <v>5.9264311903529612E-2</v>
      </c>
      <c r="GU62" s="1">
        <v>5.2797387326057013E-5</v>
      </c>
      <c r="GV62" s="1">
        <v>9.4302635327832369E-5</v>
      </c>
      <c r="GW62" s="1">
        <v>-7.2399130928429362E-3</v>
      </c>
    </row>
    <row r="63" spans="1:205" x14ac:dyDescent="0.25">
      <c r="GR63" s="1">
        <v>-7.4267289346224884E-3</v>
      </c>
      <c r="GS63" s="1">
        <v>-6.4229693455623447E-4</v>
      </c>
      <c r="GT63" s="1">
        <v>5.2797387326056932E-5</v>
      </c>
      <c r="GU63" s="1">
        <v>1.0569916262565203E-3</v>
      </c>
      <c r="GV63" s="1">
        <v>1.1880501602803088E-4</v>
      </c>
      <c r="GW63" s="1">
        <v>-1.2508059441717502E-5</v>
      </c>
    </row>
    <row r="64" spans="1:205" x14ac:dyDescent="0.25">
      <c r="GR64" s="1">
        <v>2.2853333315455517E-5</v>
      </c>
      <c r="GS64" s="1">
        <v>-7.6633804457769744E-3</v>
      </c>
      <c r="GT64" s="1">
        <v>9.430263532783222E-5</v>
      </c>
      <c r="GU64" s="1">
        <v>1.188050160280309E-4</v>
      </c>
      <c r="GV64" s="1">
        <v>1.0978577618691076E-3</v>
      </c>
      <c r="GW64" s="1">
        <v>-2.2476654356683364E-5</v>
      </c>
    </row>
    <row r="65" spans="200:205" x14ac:dyDescent="0.25">
      <c r="GR65" s="1">
        <v>7.0079323630728096E-5</v>
      </c>
      <c r="GS65" s="1">
        <v>1.518544326247844E-4</v>
      </c>
      <c r="GT65" s="1">
        <v>-7.2399130928429345E-3</v>
      </c>
      <c r="GU65" s="1">
        <v>-1.2508059441717513E-5</v>
      </c>
      <c r="GV65" s="1">
        <v>-2.2476654356683381E-5</v>
      </c>
      <c r="GW65" s="1">
        <v>9.6716428805340596E-4</v>
      </c>
    </row>
    <row r="67" spans="200:205" x14ac:dyDescent="0.25">
      <c r="GR67" s="1" t="s">
        <v>286</v>
      </c>
    </row>
    <row r="68" spans="200:205" x14ac:dyDescent="0.25">
      <c r="GR68" s="1" t="s">
        <v>287</v>
      </c>
    </row>
    <row r="69" spans="200:205" x14ac:dyDescent="0.25">
      <c r="GR69" s="1" t="s">
        <v>271</v>
      </c>
      <c r="GS69" s="1" t="s">
        <v>272</v>
      </c>
      <c r="GT69" s="1" t="s">
        <v>273</v>
      </c>
    </row>
    <row r="70" spans="200:205" x14ac:dyDescent="0.25">
      <c r="GR70" s="1" t="s">
        <v>274</v>
      </c>
      <c r="GS70" s="1">
        <v>236.43080432256778</v>
      </c>
      <c r="GT70" s="1">
        <v>0.12398280027625039</v>
      </c>
    </row>
    <row r="71" spans="200:205" x14ac:dyDescent="0.25">
      <c r="GR71" s="1" t="s">
        <v>275</v>
      </c>
      <c r="GS71" s="1">
        <v>120.73086558883736</v>
      </c>
      <c r="GT71" s="1">
        <v>0.1244729664947823</v>
      </c>
    </row>
    <row r="72" spans="200:205" x14ac:dyDescent="0.25">
      <c r="GR72" s="1" t="s">
        <v>276</v>
      </c>
      <c r="GS72" s="1">
        <v>46.820519607148107</v>
      </c>
      <c r="GT72" s="1">
        <v>0.1259966630892535</v>
      </c>
    </row>
    <row r="73" spans="200:205" x14ac:dyDescent="0.25">
      <c r="GR73" s="1" t="s">
        <v>63</v>
      </c>
      <c r="GS73" s="1">
        <v>5.7092963471418638</v>
      </c>
      <c r="GT73" s="1">
        <v>1.7181018973095149E-2</v>
      </c>
    </row>
    <row r="74" spans="200:205" x14ac:dyDescent="0.25">
      <c r="GR74" s="1" t="s">
        <v>67</v>
      </c>
      <c r="GS74" s="1">
        <v>3.1848805484902285</v>
      </c>
      <c r="GT74" s="1">
        <v>1.7501504927515902E-2</v>
      </c>
    </row>
    <row r="75" spans="200:205" x14ac:dyDescent="0.25">
      <c r="GR75" s="1" t="s">
        <v>72</v>
      </c>
      <c r="GS75" s="1">
        <v>0.24843305327034451</v>
      </c>
      <c r="GT75" s="1">
        <v>1.6415936874976413E-2</v>
      </c>
    </row>
    <row r="76" spans="200:205" x14ac:dyDescent="0.25">
      <c r="GR76" s="1" t="s">
        <v>277</v>
      </c>
      <c r="GS76" s="1">
        <v>1.4596987365954632E-2</v>
      </c>
    </row>
    <row r="77" spans="200:205" x14ac:dyDescent="0.25">
      <c r="GR77" s="1" t="s">
        <v>278</v>
      </c>
      <c r="GS77" s="1">
        <v>0.11227862258141129</v>
      </c>
    </row>
    <row r="78" spans="200:205" x14ac:dyDescent="0.25">
      <c r="GR78" s="1" t="s">
        <v>279</v>
      </c>
      <c r="GS78" s="1">
        <v>38</v>
      </c>
    </row>
    <row r="79" spans="200:205" x14ac:dyDescent="0.25">
      <c r="GR79" s="1" t="s">
        <v>280</v>
      </c>
      <c r="GS79" s="1">
        <v>44</v>
      </c>
    </row>
    <row r="80" spans="200:205" x14ac:dyDescent="0.25">
      <c r="GR80" s="1" t="s">
        <v>281</v>
      </c>
      <c r="GS80" s="1">
        <v>9.1227186641051172E-2</v>
      </c>
    </row>
    <row r="81" spans="13:205" x14ac:dyDescent="0.25">
      <c r="GR81" s="1" t="s">
        <v>282</v>
      </c>
      <c r="GS81" s="1">
        <v>8.3786920402623991E-2</v>
      </c>
    </row>
    <row r="82" spans="13:205" x14ac:dyDescent="0.25">
      <c r="GR82" s="1" t="s">
        <v>283</v>
      </c>
      <c r="GS82" s="1">
        <v>9.2871411662862668E-2</v>
      </c>
    </row>
    <row r="83" spans="13:205" x14ac:dyDescent="0.25">
      <c r="GR83" s="1" t="s">
        <v>284</v>
      </c>
      <c r="GS83" s="1">
        <v>8.8109779513282208E-2</v>
      </c>
    </row>
    <row r="85" spans="13:205" x14ac:dyDescent="0.25">
      <c r="GR85" s="1" t="s">
        <v>285</v>
      </c>
    </row>
    <row r="86" spans="13:205" x14ac:dyDescent="0.25">
      <c r="GR86" s="1">
        <v>1.5371734764340594E-2</v>
      </c>
      <c r="GS86" s="1">
        <v>-6.1105401860368021E-4</v>
      </c>
      <c r="GT86" s="1">
        <v>-7.8181354905502301E-5</v>
      </c>
      <c r="GU86" s="1">
        <v>-2.0331713374538685E-3</v>
      </c>
      <c r="GV86" s="1">
        <v>2.7672892999698498E-6</v>
      </c>
      <c r="GW86" s="1">
        <v>1.880609515127265E-5</v>
      </c>
    </row>
    <row r="87" spans="13:205" x14ac:dyDescent="0.25">
      <c r="GR87" s="1">
        <v>-6.1105401860367392E-4</v>
      </c>
      <c r="GS87" s="1">
        <v>1.5493519388011197E-2</v>
      </c>
      <c r="GT87" s="1">
        <v>-1.6858245285389974E-4</v>
      </c>
      <c r="GU87" s="1">
        <v>-1.7994985524960957E-4</v>
      </c>
      <c r="GV87" s="1">
        <v>-2.0966748269402153E-3</v>
      </c>
      <c r="GW87" s="1">
        <v>4.0621686787827011E-5</v>
      </c>
    </row>
    <row r="88" spans="13:205" x14ac:dyDescent="0.25">
      <c r="GR88" s="1">
        <v>-7.8181354905502436E-5</v>
      </c>
      <c r="GS88" s="1">
        <v>-1.6858245285389964E-4</v>
      </c>
      <c r="GT88" s="1">
        <v>1.5875159109626853E-2</v>
      </c>
      <c r="GU88" s="1">
        <v>1.3947840108541663E-5</v>
      </c>
      <c r="GV88" s="1">
        <v>2.4828679087125329E-5</v>
      </c>
      <c r="GW88" s="1">
        <v>-1.9786679094118452E-3</v>
      </c>
    </row>
    <row r="89" spans="13:205" x14ac:dyDescent="0.25">
      <c r="GR89" s="1">
        <v>-2.0331713374538685E-3</v>
      </c>
      <c r="GS89" s="1">
        <v>-1.7994985524960865E-4</v>
      </c>
      <c r="GT89" s="1">
        <v>1.3947840108541648E-5</v>
      </c>
      <c r="GU89" s="1">
        <v>2.951874129538555E-4</v>
      </c>
      <c r="GV89" s="1">
        <v>3.3813735839566047E-5</v>
      </c>
      <c r="GW89" s="1">
        <v>-3.4233193244547569E-6</v>
      </c>
    </row>
    <row r="90" spans="13:205" x14ac:dyDescent="0.25">
      <c r="GR90" s="1">
        <v>2.7672892999689845E-6</v>
      </c>
      <c r="GS90" s="1">
        <v>-2.0966748269402153E-3</v>
      </c>
      <c r="GT90" s="1">
        <v>2.4828679087125349E-5</v>
      </c>
      <c r="GU90" s="1">
        <v>3.3813735839566176E-5</v>
      </c>
      <c r="GV90" s="1">
        <v>3.0630267472786337E-4</v>
      </c>
      <c r="GW90" s="1">
        <v>-6.1299317293647177E-6</v>
      </c>
    </row>
    <row r="91" spans="13:205" x14ac:dyDescent="0.25">
      <c r="GR91" s="1">
        <v>1.8806095151272677E-5</v>
      </c>
      <c r="GS91" s="1">
        <v>4.062168678782699E-5</v>
      </c>
      <c r="GT91" s="1">
        <v>-1.9786679094118448E-3</v>
      </c>
      <c r="GU91" s="1">
        <v>-3.4233193244547598E-6</v>
      </c>
      <c r="GV91" s="1">
        <v>-6.1299317293647144E-6</v>
      </c>
      <c r="GW91" s="1">
        <v>2.6948298348321032E-4</v>
      </c>
    </row>
    <row r="92" spans="13:205" x14ac:dyDescent="0.25">
      <c r="M92" s="1" t="s">
        <v>108</v>
      </c>
      <c r="N92" s="1" t="s">
        <v>109</v>
      </c>
      <c r="O92" s="1" t="s">
        <v>62</v>
      </c>
      <c r="P92" s="1" t="s">
        <v>71</v>
      </c>
      <c r="Q92" s="1" t="s">
        <v>66</v>
      </c>
      <c r="R92" s="1" t="s">
        <v>53</v>
      </c>
      <c r="S92" s="1" t="s">
        <v>54</v>
      </c>
      <c r="T92" s="1" t="s">
        <v>55</v>
      </c>
      <c r="U92" s="1" t="s">
        <v>36</v>
      </c>
    </row>
    <row r="93" spans="13:205" x14ac:dyDescent="0.25">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5">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5">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5">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5">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5">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5">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5">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5">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5">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5">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5">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5">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5">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5">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5">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5">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5">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5">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5">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
  <sheetViews>
    <sheetView topLeftCell="S1" workbookViewId="0">
      <selection activeCell="AK7" sqref="AK7"/>
    </sheetView>
  </sheetViews>
  <sheetFormatPr defaultRowHeight="14.4" x14ac:dyDescent="0.3"/>
  <cols>
    <col min="1" max="1" width="42"/>
    <col min="2" max="9" width="12.5546875" bestFit="1" customWidth="1"/>
    <col min="10" max="10" width="6.6640625" bestFit="1" customWidth="1"/>
    <col min="11" max="15" width="12" bestFit="1" customWidth="1"/>
    <col min="19" max="19" width="70"/>
  </cols>
  <sheetData>
    <row r="1" spans="1:35" x14ac:dyDescent="0.3">
      <c r="A1" t="s">
        <v>148</v>
      </c>
    </row>
    <row r="2" spans="1:35" x14ac:dyDescent="0.3">
      <c r="A2" t="s">
        <v>149</v>
      </c>
    </row>
    <row r="3" spans="1:35" x14ac:dyDescent="0.3">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c r="U3" t="s">
        <v>288</v>
      </c>
    </row>
    <row r="4" spans="1:35" x14ac:dyDescent="0.3">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c r="U4" t="s">
        <v>150</v>
      </c>
      <c r="V4" t="s">
        <v>272</v>
      </c>
      <c r="W4" t="s">
        <v>289</v>
      </c>
      <c r="X4" t="s">
        <v>290</v>
      </c>
      <c r="Y4" t="s">
        <v>291</v>
      </c>
      <c r="AA4" t="s">
        <v>151</v>
      </c>
      <c r="AB4" t="s">
        <v>152</v>
      </c>
      <c r="AC4" t="s">
        <v>153</v>
      </c>
      <c r="AD4" t="s">
        <v>154</v>
      </c>
      <c r="AE4" t="s">
        <v>155</v>
      </c>
      <c r="AF4" t="s">
        <v>156</v>
      </c>
      <c r="AG4" t="s">
        <v>157</v>
      </c>
      <c r="AH4" t="s">
        <v>158</v>
      </c>
    </row>
    <row r="5" spans="1:35" x14ac:dyDescent="0.3">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c r="U5" t="s">
        <v>62</v>
      </c>
      <c r="V5">
        <f t="shared" ref="V5:V10" si="7">M4</f>
        <v>239.74572570874827</v>
      </c>
      <c r="W5">
        <f>SQRT(SUMSQ('No Vs 111'!GT70,'No Vp 111'!GT70,'No Vs 100'!GT70,'No Vp 100'!GT70,'No Vs 111'!GT44,'No Vp 111'!GT44,'No Vs 100'!GT44,'No Vp 100'!GT44))/8</f>
        <v>8.9141615512712574E-2</v>
      </c>
      <c r="X5">
        <f t="shared" ref="X5:X10" si="8">STDEV(B4:I4)/SQRT(8)</f>
        <v>0.71747558160074665</v>
      </c>
      <c r="Y5">
        <f t="shared" ref="Y5:Y14" si="9">SQRT(W5^2+X5^2)</f>
        <v>0.72299200397345054</v>
      </c>
      <c r="AA5" t="s">
        <v>292</v>
      </c>
      <c r="AB5">
        <f t="shared" ref="AB5:AI5" si="10">(B4+2*B5)/3</f>
        <v>159.2557827821546</v>
      </c>
      <c r="AC5">
        <f t="shared" si="10"/>
        <v>163.64819867609188</v>
      </c>
      <c r="AD5">
        <f t="shared" si="10"/>
        <v>162.27512817221574</v>
      </c>
      <c r="AE5">
        <f t="shared" si="10"/>
        <v>159.29751183341418</v>
      </c>
      <c r="AF5">
        <f t="shared" si="10"/>
        <v>159.32828742985654</v>
      </c>
      <c r="AG5">
        <f t="shared" si="10"/>
        <v>163.78022800587482</v>
      </c>
      <c r="AH5">
        <f t="shared" si="10"/>
        <v>162.30129250240057</v>
      </c>
      <c r="AI5">
        <f t="shared" si="10"/>
        <v>159.3336964486858</v>
      </c>
    </row>
    <row r="6" spans="1:35" x14ac:dyDescent="0.3">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c r="U6" t="s">
        <v>66</v>
      </c>
      <c r="V6">
        <f t="shared" si="7"/>
        <v>121.85591074263102</v>
      </c>
      <c r="W6">
        <f>SQRT(SUMSQ('No Vs 111'!GT71,'No Vp 111'!GT71,'No Vs 100'!GT71,'No Vp 100'!GT71,'No Vs 111'!GT45,'No Vp 111'!GT45,'No Vs 100'!GT45,'No Vp 100'!GT45))/8</f>
        <v>8.9502019894126886E-2</v>
      </c>
      <c r="X6">
        <f t="shared" si="8"/>
        <v>0.92323377727820166</v>
      </c>
      <c r="Y6">
        <f t="shared" si="9"/>
        <v>0.92756197586603606</v>
      </c>
      <c r="AA6" t="s">
        <v>293</v>
      </c>
      <c r="AB6">
        <f t="shared" ref="AB6:AI6" si="11">(B4-B5+3*B6)/5</f>
        <v>52.504125149091806</v>
      </c>
      <c r="AC6">
        <f t="shared" si="11"/>
        <v>51.22482589208839</v>
      </c>
      <c r="AD6">
        <f t="shared" si="11"/>
        <v>50.376009819734108</v>
      </c>
      <c r="AE6">
        <f t="shared" si="11"/>
        <v>51.232299511034945</v>
      </c>
      <c r="AF6">
        <f t="shared" si="11"/>
        <v>52.503181442353004</v>
      </c>
      <c r="AG6">
        <f t="shared" si="11"/>
        <v>51.223504459479933</v>
      </c>
      <c r="AH6">
        <f t="shared" si="11"/>
        <v>50.36832661944436</v>
      </c>
      <c r="AI6">
        <f t="shared" si="11"/>
        <v>51.219002652417466</v>
      </c>
    </row>
    <row r="7" spans="1:35" x14ac:dyDescent="0.3">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c r="U7" t="s">
        <v>71</v>
      </c>
      <c r="V7">
        <f t="shared" si="7"/>
        <v>46.255744083303426</v>
      </c>
      <c r="W7">
        <f>SQRT(SUMSQ('No Vs 111'!GT72,'No Vp 111'!GT72,'No Vs 100'!GT72,'No Vp 100'!GT72,'No Vs 111'!GT46,'No Vp 111'!GT46,'No Vs 100'!GT46,'No Vp 100'!GT46))/8</f>
        <v>9.0615647718605155E-2</v>
      </c>
      <c r="X7">
        <f t="shared" si="8"/>
        <v>0.35090669176298722</v>
      </c>
      <c r="Y7">
        <f t="shared" si="9"/>
        <v>0.36241785543141564</v>
      </c>
      <c r="AA7" t="s">
        <v>294</v>
      </c>
      <c r="AB7">
        <f t="shared" ref="AB7:AI7" si="12">5*(B4-B5)*B6/(3*(B4-B5)+4*B6)</f>
        <v>51.624524612263706</v>
      </c>
      <c r="AC7">
        <f t="shared" si="12"/>
        <v>50.67232715520786</v>
      </c>
      <c r="AD7">
        <f t="shared" si="12"/>
        <v>49.455022369102707</v>
      </c>
      <c r="AE7">
        <f t="shared" si="12"/>
        <v>50.685954225502094</v>
      </c>
      <c r="AF7">
        <f t="shared" si="12"/>
        <v>51.617270906237636</v>
      </c>
      <c r="AG7">
        <f t="shared" si="12"/>
        <v>50.665533888942782</v>
      </c>
      <c r="AH7">
        <f t="shared" si="12"/>
        <v>49.442748415681926</v>
      </c>
      <c r="AI7">
        <f t="shared" si="12"/>
        <v>50.667166301639249</v>
      </c>
    </row>
    <row r="8" spans="1:35" x14ac:dyDescent="0.3">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c r="U8" t="s">
        <v>63</v>
      </c>
      <c r="V8">
        <f t="shared" si="7"/>
        <v>5.4455849908913683</v>
      </c>
      <c r="W8">
        <f>SQRT(SUMSQ('No Vs 111'!GT73,'No Vp 111'!GT73,'No Vs 100'!GT73,'No Vp 100'!GT73,'No Vs 111'!GT47,'No Vp 111'!GT47,'No Vs 100'!GT47,'No Vp 100'!GT47))/8</f>
        <v>1.2095177375223641E-2</v>
      </c>
      <c r="X8">
        <f t="shared" si="8"/>
        <v>5.0860942326330615E-2</v>
      </c>
      <c r="Y8">
        <f t="shared" si="9"/>
        <v>5.2279334062901479E-2</v>
      </c>
      <c r="AA8" t="s">
        <v>295</v>
      </c>
      <c r="AB8">
        <f t="shared" ref="AB8:AI8" si="13">(AB6+AB7)/2</f>
        <v>52.064324880677759</v>
      </c>
      <c r="AC8">
        <f t="shared" si="13"/>
        <v>50.948576523648129</v>
      </c>
      <c r="AD8">
        <f t="shared" si="13"/>
        <v>49.915516094418408</v>
      </c>
      <c r="AE8">
        <f t="shared" si="13"/>
        <v>50.95912686826852</v>
      </c>
      <c r="AF8">
        <f t="shared" si="13"/>
        <v>52.060226174295323</v>
      </c>
      <c r="AG8">
        <f t="shared" si="13"/>
        <v>50.944519174211358</v>
      </c>
      <c r="AH8">
        <f t="shared" si="13"/>
        <v>49.905537517563147</v>
      </c>
      <c r="AI8">
        <f t="shared" si="13"/>
        <v>50.943084477028357</v>
      </c>
    </row>
    <row r="9" spans="1:35" x14ac:dyDescent="0.3">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c r="U9" t="s">
        <v>67</v>
      </c>
      <c r="V9">
        <f t="shared" si="7"/>
        <v>3.0805761374959282</v>
      </c>
      <c r="W9">
        <f>SQRT(SUMSQ('No Vs 111'!GT74,'No Vp 111'!GT74,'No Vs 100'!GT74,'No Vp 100'!GT74,'No Vs 111'!GT48,'No Vp 111'!GT48,'No Vs 100'!GT48,'No Vp 100'!GT48))/8</f>
        <v>1.2344903839834368E-2</v>
      </c>
      <c r="X9">
        <f t="shared" si="8"/>
        <v>6.1517287780574241E-2</v>
      </c>
      <c r="Y9">
        <f t="shared" si="9"/>
        <v>6.2743711610748265E-2</v>
      </c>
    </row>
    <row r="10" spans="1:35" x14ac:dyDescent="0.3">
      <c r="U10" t="s">
        <v>72</v>
      </c>
      <c r="V10">
        <f t="shared" si="7"/>
        <v>0.28638576301312835</v>
      </c>
      <c r="W10">
        <f>SQRT(SUMSQ('No Vs 111'!GT75,'No Vp 111'!GT75,'No Vs 100'!GT75,'No Vp 100'!GT75,'No Vs 111'!GT49,'No Vp 111'!GT49,'No Vs 100'!GT49,'No Vp 100'!GT49))/8</f>
        <v>1.1620612247980578E-2</v>
      </c>
      <c r="X10">
        <f t="shared" si="8"/>
        <v>2.1736763111136308E-2</v>
      </c>
      <c r="Y10">
        <f t="shared" si="9"/>
        <v>2.4648032367058682E-2</v>
      </c>
    </row>
    <row r="11" spans="1:35" x14ac:dyDescent="0.3">
      <c r="A11" t="s">
        <v>174</v>
      </c>
      <c r="D11">
        <v>0</v>
      </c>
      <c r="L11" t="s">
        <v>194</v>
      </c>
      <c r="M11" t="s">
        <v>193</v>
      </c>
      <c r="S11" t="s">
        <v>175</v>
      </c>
      <c r="U11" t="s">
        <v>296</v>
      </c>
      <c r="V11">
        <f>(M4+2*M5)/3</f>
        <v>161.15251573133676</v>
      </c>
      <c r="W11">
        <f>SQRT(SUMSQ('No Vs 111'!GS80,'No Vp 111'!GS80,'No Vs 100'!GS80,'No Vp 100'!GS80,'No Vs 111'!GS54,'No Vp 111'!GS54,'No Vs 100'!GS54,'No Vp 100'!GS54))/8</f>
        <v>6.5576037585744096E-2</v>
      </c>
      <c r="X11">
        <f>STDEV(AB5:AI5)/SQRT(8)</f>
        <v>0.72441848281098176</v>
      </c>
      <c r="Y11">
        <f t="shared" si="9"/>
        <v>0.72738047467856293</v>
      </c>
    </row>
    <row r="12" spans="1:35" x14ac:dyDescent="0.3">
      <c r="K12" t="s">
        <v>62</v>
      </c>
      <c r="L12">
        <v>239.89360432346049</v>
      </c>
      <c r="M12">
        <v>239.51038215113027</v>
      </c>
      <c r="U12" t="s">
        <v>297</v>
      </c>
      <c r="V12">
        <f>(M4-M5+3*M6)/5</f>
        <v>51.331409443205509</v>
      </c>
      <c r="W12">
        <f>SQRT(SUMSQ('No Vs 111'!GS81,'No Vp 111'!GS81,'No Vs 100'!GS81,'No Vp 100'!GS81,'No Vs 111'!GS55,'No Vp 111'!GS55,'No Vs 100'!GS55,'No Vp 100'!GS55))/8</f>
        <v>6.0261801078017027E-2</v>
      </c>
      <c r="X12">
        <f>STDEV(AB6:AI6)/SQRT(8)</f>
        <v>0.28766580048119411</v>
      </c>
      <c r="Y12">
        <f t="shared" si="9"/>
        <v>0.2939100158818217</v>
      </c>
    </row>
    <row r="13" spans="1:35" x14ac:dyDescent="0.3">
      <c r="A13" t="s">
        <v>176</v>
      </c>
      <c r="E13">
        <f>SUM(N4:N9)</f>
        <v>41.380945085682107</v>
      </c>
      <c r="K13" t="s">
        <v>66</v>
      </c>
      <c r="L13">
        <v>122.04281469011407</v>
      </c>
      <c r="M13">
        <v>121.79137885339955</v>
      </c>
      <c r="U13" t="s">
        <v>298</v>
      </c>
      <c r="V13">
        <f>5*(M4-M5)*M6/(3*(M4-M5)+4*M6)</f>
        <v>50.614050766055051</v>
      </c>
      <c r="W13">
        <f>SQRT(SUMSQ('No Vs 111'!GS82,'No Vp 111'!GS82,'No Vs 100'!GS82,'No Vp 100'!GS82,'No Vs 111'!GS56,'No Vp 111'!GS56,'No Vs 100'!GS56,'No Vp 100'!GS56))/8</f>
        <v>6.7991906222248696E-2</v>
      </c>
      <c r="X13">
        <f>STDEV(AB7:AI7)/SQRT(8)</f>
        <v>0.29142520741151628</v>
      </c>
      <c r="Y13">
        <f t="shared" si="9"/>
        <v>0.29925165133475928</v>
      </c>
    </row>
    <row r="14" spans="1:35" x14ac:dyDescent="0.3">
      <c r="A14" t="s">
        <v>177</v>
      </c>
      <c r="E14">
        <f>SUM(O4:O9)</f>
        <v>42.048079296625218</v>
      </c>
      <c r="K14" t="s">
        <v>71</v>
      </c>
      <c r="L14">
        <v>46.221889892405528</v>
      </c>
      <c r="M14">
        <v>46.243127025353878</v>
      </c>
      <c r="S14" t="s">
        <v>178</v>
      </c>
      <c r="U14" t="s">
        <v>299</v>
      </c>
      <c r="V14">
        <f>(V12+V13)/2</f>
        <v>50.97273010463028</v>
      </c>
      <c r="W14">
        <f>SQRT(SUMSQ('No Vs 111'!GS83,'No Vp 111'!GS83,'No Vs 100'!GS83,'No Vp 100'!GS83,'No Vs 111'!GS57,'No Vp 111'!GS57,'No Vs 100'!GS57,'No Vp 100'!GS57))/8</f>
        <v>6.3920436684184748E-2</v>
      </c>
      <c r="X14">
        <f>STDEV(AB8:AI8)/SQRT(8)</f>
        <v>0.2876338850392805</v>
      </c>
      <c r="Y14">
        <f t="shared" si="9"/>
        <v>0.29465076624486641</v>
      </c>
    </row>
    <row r="15" spans="1:35" x14ac:dyDescent="0.3">
      <c r="A15" t="s">
        <v>179</v>
      </c>
      <c r="E15">
        <f>SUM(P4:P9)</f>
        <v>1.2972881539332525E-2</v>
      </c>
      <c r="K15" t="s">
        <v>63</v>
      </c>
      <c r="L15">
        <v>5.3841194796800016</v>
      </c>
      <c r="M15">
        <v>5.515592357290334</v>
      </c>
      <c r="S15" t="s">
        <v>180</v>
      </c>
    </row>
    <row r="16" spans="1:35" x14ac:dyDescent="0.3">
      <c r="A16" t="s">
        <v>181</v>
      </c>
      <c r="E16">
        <f>SUM(Q4:Q9)</f>
        <v>83.454970145385971</v>
      </c>
      <c r="K16" t="s">
        <v>67</v>
      </c>
      <c r="L16">
        <v>3.0296303147805537</v>
      </c>
      <c r="M16">
        <v>3.1128179686402473</v>
      </c>
      <c r="S16" t="s">
        <v>182</v>
      </c>
      <c r="U16" t="s">
        <v>300</v>
      </c>
    </row>
    <row r="17" spans="1:15" x14ac:dyDescent="0.3">
      <c r="K17" t="s">
        <v>72</v>
      </c>
      <c r="L17">
        <v>0.29107402544791877</v>
      </c>
      <c r="M17">
        <v>0.28796770681845224</v>
      </c>
    </row>
    <row r="18" spans="1:15" x14ac:dyDescent="0.3">
      <c r="A18" t="s">
        <v>183</v>
      </c>
    </row>
    <row r="19" spans="1:15" x14ac:dyDescent="0.3">
      <c r="A19" t="s">
        <v>184</v>
      </c>
      <c r="B19" t="s">
        <v>185</v>
      </c>
      <c r="C19" t="s">
        <v>186</v>
      </c>
    </row>
    <row r="20" spans="1:15" ht="15.6" x14ac:dyDescent="0.3">
      <c r="A20" t="s">
        <v>187</v>
      </c>
      <c r="B20">
        <f>'No Vs 111'!BA34</f>
        <v>2.2359344472221965</v>
      </c>
      <c r="C20">
        <f>'No Vs 111'!AW34</f>
        <v>3.4005151654714063</v>
      </c>
      <c r="K20" s="75" t="s">
        <v>125</v>
      </c>
      <c r="L20" s="75" t="s">
        <v>126</v>
      </c>
      <c r="M20" s="75" t="s">
        <v>127</v>
      </c>
    </row>
    <row r="21" spans="1:15" ht="15.6" x14ac:dyDescent="0.3">
      <c r="A21" t="s">
        <v>188</v>
      </c>
      <c r="B21">
        <f>'No Vp 111'!BC35</f>
        <v>1.2156549693045642</v>
      </c>
      <c r="C21">
        <f>'No Vp 111'!AY35</f>
        <v>4.6925915278800678</v>
      </c>
      <c r="K21" s="85">
        <v>230.9</v>
      </c>
      <c r="L21" s="85">
        <v>235.7</v>
      </c>
      <c r="M21" s="85">
        <v>235.89</v>
      </c>
    </row>
    <row r="22" spans="1:15" ht="15.6" x14ac:dyDescent="0.3">
      <c r="A22" t="s">
        <v>189</v>
      </c>
      <c r="B22">
        <f>'No Vs 100'!BB34</f>
        <v>1.0308954360615115</v>
      </c>
      <c r="C22">
        <f>'No Vs 100'!AX34</f>
        <v>3.3664452871652153</v>
      </c>
      <c r="K22" s="85">
        <v>120.02</v>
      </c>
      <c r="L22" s="85">
        <v>126.5</v>
      </c>
      <c r="M22" s="85">
        <v>120.76</v>
      </c>
      <c r="O22" s="89"/>
    </row>
    <row r="23" spans="1:15" ht="15.6" x14ac:dyDescent="0.3">
      <c r="A23" t="s">
        <v>190</v>
      </c>
      <c r="B23">
        <f>'No Vp 100'!BD35</f>
        <v>0.55468551990627613</v>
      </c>
      <c r="C23">
        <f>'No Vp 100'!AZ35</f>
        <v>2.0863166379773621</v>
      </c>
      <c r="K23" s="85">
        <v>43.36</v>
      </c>
      <c r="L23" s="85">
        <v>43.6</v>
      </c>
      <c r="M23" s="85">
        <v>46.55</v>
      </c>
    </row>
    <row r="24" spans="1:15" ht="15.6" x14ac:dyDescent="0.3">
      <c r="A24" t="s">
        <v>191</v>
      </c>
      <c r="B24">
        <f>SUM(B20:B23)</f>
        <v>5.0371703724945487</v>
      </c>
      <c r="C24">
        <f>SUM(C20:C23)</f>
        <v>13.545868618494051</v>
      </c>
      <c r="K24" s="85">
        <v>5.65</v>
      </c>
      <c r="L24" s="86"/>
      <c r="M24" s="86"/>
    </row>
    <row r="25" spans="1:15" ht="15.6" x14ac:dyDescent="0.3">
      <c r="A25" t="s">
        <v>192</v>
      </c>
      <c r="B25">
        <f>B24+C24</f>
        <v>18.583038990988598</v>
      </c>
      <c r="K25" s="75">
        <v>3.5660000000000003</v>
      </c>
      <c r="L25" s="86"/>
      <c r="M25" s="86"/>
    </row>
    <row r="26" spans="1:15" ht="15.6" x14ac:dyDescent="0.3">
      <c r="K26" s="85">
        <v>0.185</v>
      </c>
      <c r="L26" s="86"/>
      <c r="M26" s="86"/>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GW112"/>
  <sheetViews>
    <sheetView zoomScale="85" zoomScaleNormal="85" workbookViewId="0">
      <pane xSplit="1" topLeftCell="B1" activePane="topRight" state="frozen"/>
      <selection activeCell="BA26" sqref="BA26"/>
      <selection pane="topRight" activeCell="J17" sqref="J17"/>
    </sheetView>
  </sheetViews>
  <sheetFormatPr defaultColWidth="9.109375" defaultRowHeight="15" x14ac:dyDescent="0.25"/>
  <cols>
    <col min="1" max="1" width="12.6640625" style="75" customWidth="1"/>
    <col min="2" max="2" width="16.6640625" style="75" bestFit="1" customWidth="1"/>
    <col min="3" max="4" width="33.88671875" style="75" bestFit="1" customWidth="1"/>
    <col min="5" max="5" width="16.44140625" style="75" bestFit="1" customWidth="1"/>
    <col min="6" max="6" width="17" style="75" bestFit="1" customWidth="1"/>
    <col min="7" max="7" width="23.5546875" style="75" customWidth="1"/>
    <col min="8" max="8" width="22.109375" style="75" bestFit="1" customWidth="1"/>
    <col min="9" max="9" width="19.109375" style="75" bestFit="1" customWidth="1"/>
    <col min="10" max="10" width="25.44140625" style="75" bestFit="1" customWidth="1"/>
    <col min="11" max="11" width="11.88671875" style="75" bestFit="1" customWidth="1"/>
    <col min="12" max="12" width="14.44140625" style="75" bestFit="1" customWidth="1"/>
    <col min="13" max="13" width="17" style="75" bestFit="1" customWidth="1"/>
    <col min="14" max="14" width="15.5546875" style="75" hidden="1" customWidth="1"/>
    <col min="15" max="15" width="12.109375" style="75" hidden="1" customWidth="1"/>
    <col min="16" max="16" width="14.33203125" style="75" hidden="1" customWidth="1"/>
    <col min="17" max="17" width="9.109375" style="75" hidden="1" customWidth="1"/>
    <col min="18" max="21" width="15.5546875" style="75" hidden="1" customWidth="1"/>
    <col min="22" max="22" width="9.33203125" style="75" bestFit="1" customWidth="1"/>
    <col min="23" max="23" width="9.33203125" style="75" hidden="1" customWidth="1"/>
    <col min="24" max="24" width="10.5546875" style="75" hidden="1" customWidth="1"/>
    <col min="25" max="28" width="12.44140625" style="75" hidden="1" customWidth="1"/>
    <col min="29" max="29" width="9.33203125" style="75" bestFit="1" customWidth="1"/>
    <col min="30" max="30" width="9.33203125" style="75" customWidth="1"/>
    <col min="31" max="31" width="8" style="75" bestFit="1" customWidth="1"/>
    <col min="32" max="32" width="14.109375" style="75" bestFit="1" customWidth="1"/>
    <col min="33" max="34" width="11.88671875" style="75" bestFit="1" customWidth="1"/>
    <col min="35" max="35" width="9.5546875" style="75" bestFit="1" customWidth="1"/>
    <col min="36" max="36" width="9.5546875" style="75" customWidth="1"/>
    <col min="37" max="38" width="9.109375" style="75"/>
    <col min="39" max="39" width="22.6640625" style="75" bestFit="1" customWidth="1"/>
    <col min="40" max="40" width="20.109375" style="75" bestFit="1" customWidth="1"/>
    <col min="41" max="41" width="8.44140625" style="75" bestFit="1" customWidth="1"/>
    <col min="42" max="42" width="11.88671875" style="75" bestFit="1" customWidth="1"/>
    <col min="43" max="43" width="10.88671875" style="75" bestFit="1" customWidth="1"/>
    <col min="44" max="44" width="13.5546875" style="75" bestFit="1" customWidth="1"/>
    <col min="45" max="46" width="14" style="75" bestFit="1" customWidth="1"/>
    <col min="47" max="47" width="20.33203125" style="75" bestFit="1" customWidth="1"/>
    <col min="48" max="53" width="16.109375" style="75" customWidth="1"/>
    <col min="54" max="54" width="13.5546875" style="75" bestFit="1" customWidth="1"/>
    <col min="55" max="55" width="12.109375" style="75" bestFit="1" customWidth="1"/>
    <col min="56" max="56" width="12.5546875" style="75" bestFit="1" customWidth="1"/>
    <col min="57" max="57" width="10.88671875" style="75" bestFit="1" customWidth="1"/>
    <col min="58" max="58" width="16.109375" style="75" bestFit="1" customWidth="1"/>
    <col min="59" max="59" width="11.33203125" style="75" bestFit="1" customWidth="1"/>
    <col min="60" max="60" width="11.109375" style="75" customWidth="1"/>
    <col min="61" max="61" width="9.5546875" style="75" bestFit="1" customWidth="1"/>
    <col min="62" max="62" width="17" style="75" bestFit="1" customWidth="1"/>
    <col min="63" max="67" width="9.44140625" style="75" bestFit="1" customWidth="1"/>
    <col min="68" max="70" width="11.88671875" style="75" bestFit="1" customWidth="1"/>
    <col min="71" max="72" width="9.33203125" style="75" bestFit="1" customWidth="1"/>
    <col min="73" max="73" width="12.109375" style="75" bestFit="1" customWidth="1"/>
    <col min="74" max="74" width="12.33203125" style="75" bestFit="1" customWidth="1"/>
    <col min="75" max="75" width="20.6640625" style="75" bestFit="1" customWidth="1"/>
    <col min="76" max="76" width="9.109375" style="75"/>
    <col min="77" max="77" width="14" style="75" bestFit="1" customWidth="1"/>
    <col min="78" max="78" width="5.6640625" style="75" customWidth="1"/>
    <col min="79" max="79" width="4.6640625" style="75" customWidth="1"/>
    <col min="80" max="80" width="13.88671875" style="75" bestFit="1" customWidth="1"/>
    <col min="81" max="86" width="9.109375" style="75"/>
    <col min="87" max="87" width="15.44140625" style="75" bestFit="1" customWidth="1"/>
    <col min="88" max="88" width="16" style="75" bestFit="1" customWidth="1"/>
    <col min="89" max="89" width="12.6640625" style="75" bestFit="1" customWidth="1"/>
    <col min="90" max="90" width="12.6640625" style="75" customWidth="1"/>
    <col min="91" max="94" width="9.109375" style="75"/>
    <col min="95" max="95" width="16.6640625" style="75" bestFit="1" customWidth="1"/>
    <col min="96" max="16384" width="9.109375" style="75"/>
  </cols>
  <sheetData>
    <row r="1" spans="1:138" ht="15.6" x14ac:dyDescent="0.3">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5">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5">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5">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5">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5">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5">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5">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5">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5">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5">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5">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5">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5">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5">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5">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5">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5">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5">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5">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5">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5">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5">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5">
      <c r="AX24" s="7"/>
      <c r="AY24" s="65"/>
      <c r="CI24" s="119"/>
    </row>
    <row r="25" spans="1:111" x14ac:dyDescent="0.25">
      <c r="AV25" s="162" t="s">
        <v>195</v>
      </c>
      <c r="AW25" s="162"/>
      <c r="AX25" s="7"/>
      <c r="AY25" s="65"/>
      <c r="AZ25" s="163" t="s">
        <v>196</v>
      </c>
      <c r="BA25" s="163"/>
    </row>
    <row r="26" spans="1:111" ht="15.6" x14ac:dyDescent="0.3">
      <c r="AV26" s="46" t="s">
        <v>62</v>
      </c>
      <c r="AW26" s="85">
        <v>239.89360443550623</v>
      </c>
      <c r="AX26" s="7"/>
      <c r="AY26" s="65"/>
      <c r="AZ26" s="46" t="s">
        <v>62</v>
      </c>
      <c r="BA26" s="85">
        <v>239.78290701724933</v>
      </c>
    </row>
    <row r="27" spans="1:111" ht="15.6" x14ac:dyDescent="0.3">
      <c r="B27" s="5" t="s">
        <v>69</v>
      </c>
      <c r="AV27" s="46" t="s">
        <v>66</v>
      </c>
      <c r="AW27" s="85">
        <v>122.04281473687176</v>
      </c>
      <c r="AX27" s="7"/>
      <c r="AY27" s="65"/>
      <c r="AZ27" s="46" t="s">
        <v>66</v>
      </c>
      <c r="BA27" s="85">
        <v>121.97066542379288</v>
      </c>
      <c r="BK27" s="85"/>
      <c r="BL27" s="85"/>
      <c r="BM27" s="85"/>
      <c r="BN27" s="85"/>
      <c r="BO27" s="85"/>
      <c r="BP27" s="85"/>
      <c r="BQ27" s="85"/>
    </row>
    <row r="28" spans="1:111" ht="15.6" x14ac:dyDescent="0.3">
      <c r="A28" s="75" t="s">
        <v>74</v>
      </c>
      <c r="B28" s="13">
        <v>2.34</v>
      </c>
      <c r="C28" s="13"/>
      <c r="J28" s="75" t="s">
        <v>75</v>
      </c>
      <c r="K28" s="75" t="s">
        <v>50</v>
      </c>
      <c r="L28" s="75" t="s">
        <v>76</v>
      </c>
      <c r="M28" s="75" t="s">
        <v>77</v>
      </c>
      <c r="N28" s="75" t="s">
        <v>78</v>
      </c>
      <c r="O28" s="75" t="s">
        <v>79</v>
      </c>
      <c r="X28" s="75">
        <f>1.42/0.2298</f>
        <v>6.1792863359442993</v>
      </c>
      <c r="AU28" s="85"/>
      <c r="AV28" s="46" t="s">
        <v>71</v>
      </c>
      <c r="AW28" s="85">
        <v>46.22189018700152</v>
      </c>
      <c r="AX28" s="7"/>
      <c r="AY28" s="65"/>
      <c r="AZ28" s="46" t="s">
        <v>71</v>
      </c>
      <c r="BA28" s="85">
        <v>46.246437417401147</v>
      </c>
      <c r="BG28" s="46"/>
    </row>
    <row r="29" spans="1:111" ht="15.6" x14ac:dyDescent="0.3">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v>5.3841194752639439</v>
      </c>
      <c r="AX29" s="7"/>
      <c r="AY29" s="65"/>
      <c r="AZ29" s="46" t="s">
        <v>63</v>
      </c>
      <c r="BA29" s="85">
        <v>5.4749199686360432</v>
      </c>
      <c r="CK29" s="104"/>
      <c r="CO29" s="84"/>
      <c r="CP29" s="84"/>
    </row>
    <row r="30" spans="1:111" ht="15.6" x14ac:dyDescent="0.3">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v>3.0296303208207349</v>
      </c>
      <c r="AX30" s="7"/>
      <c r="AY30" s="65"/>
      <c r="AZ30" s="46" t="s">
        <v>67</v>
      </c>
      <c r="BA30" s="85">
        <v>3.0858842985722479</v>
      </c>
      <c r="BY30" s="46"/>
      <c r="CA30" s="46"/>
      <c r="CK30" s="104"/>
      <c r="CO30" s="84"/>
      <c r="CP30" s="84"/>
    </row>
    <row r="31" spans="1:111" ht="15.6" x14ac:dyDescent="0.3">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v>0.29107398760433834</v>
      </c>
      <c r="AX31" s="7"/>
      <c r="AY31" s="65"/>
      <c r="AZ31" s="46" t="s">
        <v>72</v>
      </c>
      <c r="BA31" s="85">
        <v>0.28796127038406089</v>
      </c>
      <c r="BW31" s="47"/>
      <c r="BY31" s="46"/>
      <c r="CA31" s="46"/>
      <c r="CK31" s="104"/>
      <c r="CO31" s="84"/>
      <c r="CP31" s="84"/>
    </row>
    <row r="32" spans="1:111" ht="15.6" x14ac:dyDescent="0.3">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202" ht="15.6" x14ac:dyDescent="0.3">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202" ht="15.6" x14ac:dyDescent="0.3">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202" ht="15.6" x14ac:dyDescent="0.3">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202" ht="15.6" x14ac:dyDescent="0.3">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202" ht="15.6" x14ac:dyDescent="0.3">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202" ht="15.6" x14ac:dyDescent="0.3">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202" ht="15.6" x14ac:dyDescent="0.3">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202" ht="15.6" x14ac:dyDescent="0.3">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202" ht="15.6" x14ac:dyDescent="0.3">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202" x14ac:dyDescent="0.25">
      <c r="A42" s="75" t="s">
        <v>93</v>
      </c>
      <c r="B42" s="75">
        <v>300</v>
      </c>
      <c r="J42" s="104">
        <f t="shared" si="67"/>
        <v>36.887980745099838</v>
      </c>
      <c r="M42" s="75">
        <f t="shared" si="68"/>
        <v>1.0174621558044163</v>
      </c>
      <c r="N42" s="84">
        <f t="shared" si="69"/>
        <v>2.0565636738822867E-3</v>
      </c>
      <c r="O42" s="84">
        <f t="shared" si="66"/>
        <v>-1.9057090699751658E-2</v>
      </c>
      <c r="BU42" s="104"/>
      <c r="BY42" s="84"/>
      <c r="BZ42" s="84"/>
      <c r="GR42" s="75" t="s">
        <v>270</v>
      </c>
    </row>
    <row r="43" spans="1:202" x14ac:dyDescent="0.25">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c r="GR43" s="75" t="s">
        <v>271</v>
      </c>
      <c r="GS43" s="75" t="s">
        <v>272</v>
      </c>
      <c r="GT43" s="75" t="s">
        <v>273</v>
      </c>
    </row>
    <row r="44" spans="1:202" x14ac:dyDescent="0.25">
      <c r="C44" s="75">
        <f>12*B40*(B38^2)</f>
        <v>36.219617279999994</v>
      </c>
      <c r="J44" s="104">
        <f t="shared" si="67"/>
        <v>36.955731506658466</v>
      </c>
      <c r="M44" s="75">
        <f t="shared" si="68"/>
        <v>1.0191252928224006</v>
      </c>
      <c r="N44" s="84">
        <f t="shared" si="69"/>
        <v>2.25673637139102E-3</v>
      </c>
      <c r="O44" s="84">
        <f t="shared" si="66"/>
        <v>-1.8987280208006538E-2</v>
      </c>
      <c r="BU44" s="104"/>
      <c r="BY44" s="84"/>
      <c r="BZ44" s="84"/>
      <c r="GR44" s="75" t="s">
        <v>274</v>
      </c>
      <c r="GS44" s="75">
        <v>239.89360443550623</v>
      </c>
      <c r="GT44" s="75">
        <v>1.1542548805250152</v>
      </c>
    </row>
    <row r="45" spans="1:202" x14ac:dyDescent="0.25">
      <c r="A45" s="75" t="s">
        <v>100</v>
      </c>
      <c r="B45" s="75">
        <v>3</v>
      </c>
      <c r="J45" s="104">
        <f t="shared" si="67"/>
        <v>36.97445545821823</v>
      </c>
      <c r="M45" s="75">
        <f t="shared" si="68"/>
        <v>1.019581571540408</v>
      </c>
      <c r="N45" s="84">
        <f t="shared" si="69"/>
        <v>2.3117960002289376E-3</v>
      </c>
      <c r="O45" s="84">
        <f t="shared" si="66"/>
        <v>-1.8968054670096161E-2</v>
      </c>
      <c r="BU45" s="104"/>
      <c r="BY45" s="84"/>
      <c r="BZ45" s="84"/>
      <c r="GR45" s="75" t="s">
        <v>275</v>
      </c>
      <c r="GS45" s="75">
        <v>122.04281473687176</v>
      </c>
      <c r="GT45" s="75">
        <v>1.1589826213750598</v>
      </c>
    </row>
    <row r="46" spans="1:202" x14ac:dyDescent="0.25">
      <c r="A46" s="75" t="s">
        <v>101</v>
      </c>
      <c r="B46" s="75">
        <v>1</v>
      </c>
      <c r="J46" s="104">
        <f t="shared" si="67"/>
        <v>36.987761072821677</v>
      </c>
      <c r="M46" s="75">
        <f t="shared" si="68"/>
        <v>1.0199049334084935</v>
      </c>
      <c r="N46" s="84">
        <f t="shared" si="69"/>
        <v>2.3508540201281703E-3</v>
      </c>
      <c r="O46" s="84">
        <f t="shared" si="66"/>
        <v>-1.8954410360559573E-2</v>
      </c>
      <c r="BU46" s="104"/>
      <c r="BY46" s="84"/>
      <c r="BZ46" s="84"/>
      <c r="GR46" s="75" t="s">
        <v>276</v>
      </c>
      <c r="GS46" s="75">
        <v>46.22189018700152</v>
      </c>
      <c r="GT46" s="75">
        <v>1.1737083274189881</v>
      </c>
    </row>
    <row r="47" spans="1:202" x14ac:dyDescent="0.25">
      <c r="J47" s="104">
        <f t="shared" si="67"/>
        <v>37.011585386657842</v>
      </c>
      <c r="M47" s="75">
        <f t="shared" si="68"/>
        <v>1.0204821079602897</v>
      </c>
      <c r="N47" s="84">
        <f t="shared" si="69"/>
        <v>2.42064743271047E-3</v>
      </c>
      <c r="O47" s="84">
        <f t="shared" si="66"/>
        <v>-1.8930016351122701E-2</v>
      </c>
      <c r="BU47" s="104"/>
      <c r="BY47" s="84"/>
      <c r="BZ47" s="84"/>
      <c r="GR47" s="75" t="s">
        <v>63</v>
      </c>
      <c r="GS47" s="75">
        <v>5.3841194752639439</v>
      </c>
      <c r="GT47" s="75">
        <v>0.15419385434452906</v>
      </c>
    </row>
    <row r="48" spans="1:202" x14ac:dyDescent="0.25">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c r="GR48" s="75" t="s">
        <v>67</v>
      </c>
      <c r="GS48" s="75">
        <v>3.0296303208207349</v>
      </c>
      <c r="GT48" s="75">
        <v>0.1573041022091152</v>
      </c>
    </row>
    <row r="49" spans="1:205" x14ac:dyDescent="0.25">
      <c r="A49" s="75" t="s">
        <v>102</v>
      </c>
      <c r="B49" s="75">
        <v>3.47</v>
      </c>
      <c r="J49" s="104">
        <f t="shared" si="67"/>
        <v>37.058695758924543</v>
      </c>
      <c r="M49" s="75">
        <f t="shared" si="68"/>
        <v>1.0216165689841386</v>
      </c>
      <c r="N49" s="84">
        <f t="shared" si="69"/>
        <v>2.5581237175965259E-3</v>
      </c>
      <c r="O49" s="84">
        <f t="shared" si="66"/>
        <v>-1.8881917881677535E-2</v>
      </c>
      <c r="BU49" s="104"/>
      <c r="BY49" s="84"/>
      <c r="BZ49" s="84"/>
      <c r="GR49" s="75" t="s">
        <v>72</v>
      </c>
      <c r="GS49" s="75">
        <v>0.29107398760433834</v>
      </c>
      <c r="GT49" s="75">
        <v>0.14808229869444176</v>
      </c>
    </row>
    <row r="50" spans="1:205" x14ac:dyDescent="0.25">
      <c r="J50" s="104">
        <f t="shared" si="67"/>
        <v>37.069049754694028</v>
      </c>
      <c r="M50" s="75">
        <f t="shared" si="68"/>
        <v>1.0218646879201123</v>
      </c>
      <c r="N50" s="84">
        <f t="shared" si="69"/>
        <v>2.5882437707631352E-3</v>
      </c>
      <c r="O50" s="84">
        <f t="shared" si="66"/>
        <v>-1.8871371293862869E-2</v>
      </c>
      <c r="BI50" s="171" t="s">
        <v>128</v>
      </c>
      <c r="BJ50" s="171"/>
      <c r="BK50" s="171"/>
      <c r="BP50" s="171" t="s">
        <v>131</v>
      </c>
      <c r="BQ50" s="171"/>
      <c r="BR50" s="171"/>
      <c r="BU50" s="104"/>
      <c r="BY50" s="84"/>
      <c r="BZ50" s="84"/>
      <c r="GR50" s="75" t="s">
        <v>277</v>
      </c>
      <c r="GS50" s="75">
        <v>1.2762147224026057</v>
      </c>
    </row>
    <row r="51" spans="1:205" ht="15.6" x14ac:dyDescent="0.3">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c r="GR51" s="75" t="s">
        <v>278</v>
      </c>
      <c r="GS51" s="75">
        <v>1.049850199826136</v>
      </c>
    </row>
    <row r="52" spans="1:205" ht="15.6" x14ac:dyDescent="0.3">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c r="GR52" s="75" t="s">
        <v>279</v>
      </c>
      <c r="GS52" s="75">
        <v>38</v>
      </c>
    </row>
    <row r="53" spans="1:205" ht="15.6" x14ac:dyDescent="0.3">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c r="GR53" s="75" t="s">
        <v>280</v>
      </c>
      <c r="GS53" s="75">
        <v>44</v>
      </c>
    </row>
    <row r="54" spans="1:205" ht="15.6" x14ac:dyDescent="0.3">
      <c r="D54" s="75" t="s">
        <v>91</v>
      </c>
      <c r="E54" s="75">
        <v>120</v>
      </c>
      <c r="F54" s="75">
        <v>5.9509029363680046</v>
      </c>
      <c r="G54" s="75">
        <v>0.20400265522410566</v>
      </c>
      <c r="H54" s="75">
        <v>1.9882247380219502E-3</v>
      </c>
      <c r="I54" s="75">
        <v>-1.2665075522852213E-2</v>
      </c>
      <c r="J54" s="75">
        <v>0.2020144304860837</v>
      </c>
      <c r="BJ54" s="46"/>
      <c r="BQ54" s="46"/>
      <c r="GR54" s="75" t="s">
        <v>281</v>
      </c>
      <c r="GS54" s="75">
        <v>0.84886817309499352</v>
      </c>
    </row>
    <row r="55" spans="1:205" x14ac:dyDescent="0.25">
      <c r="D55" s="75" t="s">
        <v>94</v>
      </c>
      <c r="E55" s="75">
        <v>120</v>
      </c>
      <c r="F55" s="75">
        <v>2.9407578825736391</v>
      </c>
      <c r="G55" s="75">
        <v>0.41281875233385534</v>
      </c>
      <c r="H55" s="75">
        <v>-4.6133080851788809E-4</v>
      </c>
      <c r="I55" s="75">
        <v>-1.249999999999964E-2</v>
      </c>
      <c r="J55" s="75">
        <v>0.41328008314237324</v>
      </c>
      <c r="GR55" s="75" t="s">
        <v>282</v>
      </c>
      <c r="GS55" s="75">
        <v>0.78058649870772301</v>
      </c>
    </row>
    <row r="56" spans="1:205" ht="15.6" x14ac:dyDescent="0.3">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c r="GR56" s="75" t="s">
        <v>283</v>
      </c>
      <c r="GS56" s="75">
        <v>0.87953886967525352</v>
      </c>
    </row>
    <row r="57" spans="1:205" ht="15.6" x14ac:dyDescent="0.3">
      <c r="BH57" s="48"/>
      <c r="BJ57" s="49"/>
      <c r="BO57" s="48"/>
      <c r="BQ57" s="49"/>
      <c r="GR57" s="75" t="s">
        <v>284</v>
      </c>
      <c r="GS57" s="75">
        <v>0.82746961148592824</v>
      </c>
    </row>
    <row r="58" spans="1:205" ht="15.6" x14ac:dyDescent="0.3">
      <c r="BJ58" s="49"/>
      <c r="BL58" s="47" t="s">
        <v>82</v>
      </c>
      <c r="BM58" s="93">
        <v>2.5014686721071131</v>
      </c>
      <c r="BQ58" s="49"/>
      <c r="BS58" s="47" t="s">
        <v>82</v>
      </c>
      <c r="BT58" s="93">
        <v>2.2338493833369557</v>
      </c>
    </row>
    <row r="59" spans="1:205" x14ac:dyDescent="0.25">
      <c r="BL59" s="75" t="s">
        <v>92</v>
      </c>
      <c r="BM59" s="94">
        <v>0.16902744195528865</v>
      </c>
      <c r="BS59" s="75" t="s">
        <v>92</v>
      </c>
      <c r="BT59" s="94">
        <v>3.3737921953186929E-2</v>
      </c>
      <c r="GR59" s="75" t="s">
        <v>285</v>
      </c>
    </row>
    <row r="60" spans="1:205" x14ac:dyDescent="0.25">
      <c r="BL60" s="75" t="s">
        <v>62</v>
      </c>
      <c r="BM60" s="84">
        <v>0.66973378751338508</v>
      </c>
      <c r="BS60" s="75" t="s">
        <v>62</v>
      </c>
      <c r="BT60" s="84">
        <v>0.65061082748974697</v>
      </c>
      <c r="GR60" s="75">
        <v>1.3323043292158172</v>
      </c>
      <c r="GS60" s="75">
        <v>-5.5018154542687721E-2</v>
      </c>
      <c r="GT60" s="75">
        <v>-7.0196432925008498E-3</v>
      </c>
      <c r="GU60" s="75">
        <v>-0.16991376392011184</v>
      </c>
      <c r="GV60" s="75">
        <v>7.8335828071657472E-4</v>
      </c>
      <c r="GW60" s="75">
        <v>1.5147900783428505E-3</v>
      </c>
    </row>
    <row r="61" spans="1:205" x14ac:dyDescent="0.25">
      <c r="BL61" s="75" t="s">
        <v>66</v>
      </c>
      <c r="BM61" s="95">
        <v>1.5708437588731103</v>
      </c>
      <c r="BS61" s="75" t="s">
        <v>66</v>
      </c>
      <c r="BT61" s="95">
        <v>1.4998886834399847</v>
      </c>
      <c r="GR61" s="75">
        <v>-5.5018154542687069E-2</v>
      </c>
      <c r="GS61" s="75">
        <v>1.3432407166494051</v>
      </c>
      <c r="GT61" s="75">
        <v>-1.5182902208309585E-2</v>
      </c>
      <c r="GU61" s="75">
        <v>-1.3481472236941889E-2</v>
      </c>
      <c r="GV61" s="75">
        <v>-0.17537699870989748</v>
      </c>
      <c r="GW61" s="75">
        <v>3.2837019628369772E-3</v>
      </c>
    </row>
    <row r="62" spans="1:205" x14ac:dyDescent="0.25">
      <c r="BL62" s="75" t="s">
        <v>71</v>
      </c>
      <c r="BM62" s="95">
        <v>9.1863683765329066E-2</v>
      </c>
      <c r="BS62" s="75" t="s">
        <v>71</v>
      </c>
      <c r="BT62" s="95">
        <v>4.9611950454036956E-2</v>
      </c>
      <c r="GR62" s="75">
        <v>-7.019643292500868E-3</v>
      </c>
      <c r="GS62" s="75">
        <v>-1.5182902208309647E-2</v>
      </c>
      <c r="GT62" s="75">
        <v>1.3775912378526785</v>
      </c>
      <c r="GU62" s="75">
        <v>1.1941482344158066E-3</v>
      </c>
      <c r="GV62" s="75">
        <v>2.157063377376285E-3</v>
      </c>
      <c r="GW62" s="75">
        <v>-0.16620922274964778</v>
      </c>
    </row>
    <row r="63" spans="1:205" x14ac:dyDescent="0.25">
      <c r="GR63" s="75">
        <v>-0.16991376392011187</v>
      </c>
      <c r="GS63" s="75">
        <v>-1.3481472236941811E-2</v>
      </c>
      <c r="GT63" s="75">
        <v>1.1941482344158033E-3</v>
      </c>
      <c r="GU63" s="75">
        <v>2.3775744717621842E-2</v>
      </c>
      <c r="GV63" s="75">
        <v>2.4833419367458844E-3</v>
      </c>
      <c r="GW63" s="75">
        <v>-2.6433435337946509E-4</v>
      </c>
    </row>
    <row r="64" spans="1:205" x14ac:dyDescent="0.25">
      <c r="BI64" s="171" t="s">
        <v>129</v>
      </c>
      <c r="BJ64" s="171"/>
      <c r="BK64" s="171"/>
      <c r="BO64" s="171" t="s">
        <v>130</v>
      </c>
      <c r="BP64" s="171"/>
      <c r="BQ64" s="171"/>
      <c r="GR64" s="75">
        <v>7.8335828071648646E-4</v>
      </c>
      <c r="GS64" s="75">
        <v>-0.17537699870989742</v>
      </c>
      <c r="GT64" s="75">
        <v>2.1570633773762755E-3</v>
      </c>
      <c r="GU64" s="75">
        <v>2.4833419367458953E-3</v>
      </c>
      <c r="GV64" s="75">
        <v>2.4744580571815764E-2</v>
      </c>
      <c r="GW64" s="75">
        <v>-4.8088734105988345E-4</v>
      </c>
    </row>
    <row r="65" spans="60:205" ht="15.6" x14ac:dyDescent="0.3">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c r="GR65" s="75">
        <v>1.5147900783428535E-3</v>
      </c>
      <c r="GS65" s="75">
        <v>3.2837019628369846E-3</v>
      </c>
      <c r="GT65" s="75">
        <v>-0.16620922274964778</v>
      </c>
      <c r="GU65" s="75">
        <v>-2.6433435337946552E-4</v>
      </c>
      <c r="GV65" s="75">
        <v>-4.8088734105988459E-4</v>
      </c>
      <c r="GW65" s="75">
        <v>2.1928367186629865E-2</v>
      </c>
    </row>
    <row r="66" spans="60:205" ht="15.6" x14ac:dyDescent="0.3">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205" ht="15.6" x14ac:dyDescent="0.3">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c r="GR67" s="75" t="s">
        <v>286</v>
      </c>
    </row>
    <row r="68" spans="60:205" ht="15.6" x14ac:dyDescent="0.3">
      <c r="BJ68" s="46"/>
      <c r="BQ68" s="46"/>
      <c r="GR68" s="75" t="s">
        <v>287</v>
      </c>
    </row>
    <row r="69" spans="60:205" x14ac:dyDescent="0.25">
      <c r="GR69" s="75" t="s">
        <v>271</v>
      </c>
      <c r="GS69" s="75" t="s">
        <v>272</v>
      </c>
      <c r="GT69" s="75" t="s">
        <v>273</v>
      </c>
    </row>
    <row r="70" spans="60:205" ht="15.6" x14ac:dyDescent="0.3">
      <c r="BH70" s="48" t="s">
        <v>87</v>
      </c>
      <c r="BI70" s="85">
        <v>156.87421677282589</v>
      </c>
      <c r="BJ70" s="49" t="s">
        <v>88</v>
      </c>
      <c r="BK70" s="85">
        <v>4.1634318632652132</v>
      </c>
      <c r="BO70" s="48" t="s">
        <v>87</v>
      </c>
      <c r="BP70" s="85">
        <v>158.00423503548714</v>
      </c>
      <c r="BQ70" s="49" t="s">
        <v>88</v>
      </c>
      <c r="BR70" s="85">
        <v>4.0133389245761828</v>
      </c>
      <c r="GR70" s="75" t="s">
        <v>274</v>
      </c>
      <c r="GS70" s="75">
        <v>239.78290701724933</v>
      </c>
      <c r="GT70" s="75">
        <v>1.1392887747381812</v>
      </c>
    </row>
    <row r="71" spans="60:205" ht="15.6" x14ac:dyDescent="0.3">
      <c r="BH71" s="48"/>
      <c r="BJ71" s="49"/>
      <c r="BO71" s="48"/>
      <c r="BQ71" s="49"/>
      <c r="GR71" s="75" t="s">
        <v>275</v>
      </c>
      <c r="GS71" s="75">
        <v>121.97066542379288</v>
      </c>
      <c r="GT71" s="75">
        <v>1.1438322354641921</v>
      </c>
    </row>
    <row r="72" spans="60:205" ht="15.6" x14ac:dyDescent="0.3">
      <c r="BJ72" s="49"/>
      <c r="BL72" s="47" t="s">
        <v>82</v>
      </c>
      <c r="BM72" s="120">
        <v>2.536687702948659</v>
      </c>
      <c r="BQ72" s="49"/>
      <c r="BS72" s="47" t="s">
        <v>82</v>
      </c>
      <c r="BT72" s="93">
        <v>2.2978424545426903</v>
      </c>
      <c r="GR72" s="75" t="s">
        <v>276</v>
      </c>
      <c r="GS72" s="75">
        <v>46.246437417401147</v>
      </c>
      <c r="GT72" s="75">
        <v>1.1579404536219104</v>
      </c>
    </row>
    <row r="73" spans="60:205" x14ac:dyDescent="0.25">
      <c r="BL73" s="75" t="s">
        <v>92</v>
      </c>
      <c r="BM73" s="94">
        <v>0.16482003685112537</v>
      </c>
      <c r="BS73" s="75" t="s">
        <v>92</v>
      </c>
      <c r="BT73" s="94">
        <v>3.1890737364157713E-2</v>
      </c>
      <c r="GR73" s="75" t="s">
        <v>63</v>
      </c>
      <c r="GS73" s="75">
        <v>5.4749199686360432</v>
      </c>
      <c r="GT73" s="75">
        <v>0.15539633462081867</v>
      </c>
    </row>
    <row r="74" spans="60:205" x14ac:dyDescent="0.25">
      <c r="BL74" s="75" t="s">
        <v>62</v>
      </c>
      <c r="BM74" s="84">
        <v>0.65198352038771223</v>
      </c>
      <c r="BS74" s="75" t="s">
        <v>62</v>
      </c>
      <c r="BT74" s="84">
        <v>0.63259186583580362</v>
      </c>
      <c r="GR74" s="75" t="s">
        <v>67</v>
      </c>
      <c r="GS74" s="75">
        <v>3.0858842985722479</v>
      </c>
      <c r="GT74" s="75">
        <v>0.15848236773247804</v>
      </c>
    </row>
    <row r="75" spans="60:205" x14ac:dyDescent="0.25">
      <c r="BL75" s="75" t="s">
        <v>66</v>
      </c>
      <c r="BM75" s="95">
        <v>1.6513184242525232</v>
      </c>
      <c r="BS75" s="75" t="s">
        <v>66</v>
      </c>
      <c r="BT75" s="95">
        <v>1.5811139725081775</v>
      </c>
      <c r="GR75" s="75" t="s">
        <v>72</v>
      </c>
      <c r="GS75" s="75">
        <v>0.28796127038406089</v>
      </c>
      <c r="GT75" s="75">
        <v>0.14908731653897575</v>
      </c>
    </row>
    <row r="76" spans="60:205" x14ac:dyDescent="0.25">
      <c r="BL76" s="75" t="s">
        <v>71</v>
      </c>
      <c r="BM76" s="95">
        <v>6.8565721457298334E-2</v>
      </c>
      <c r="BS76" s="75" t="s">
        <v>71</v>
      </c>
      <c r="BT76" s="95">
        <v>5.2245878834551389E-2</v>
      </c>
      <c r="GR76" s="75" t="s">
        <v>277</v>
      </c>
      <c r="GS76" s="75">
        <v>1.2288891389002632</v>
      </c>
    </row>
    <row r="77" spans="60:205" x14ac:dyDescent="0.25">
      <c r="GR77" s="75" t="s">
        <v>278</v>
      </c>
      <c r="GS77" s="75">
        <v>1.0302006344552723</v>
      </c>
    </row>
    <row r="78" spans="60:205" x14ac:dyDescent="0.25">
      <c r="GR78" s="75" t="s">
        <v>279</v>
      </c>
      <c r="GS78" s="75">
        <v>38</v>
      </c>
    </row>
    <row r="79" spans="60:205" x14ac:dyDescent="0.25">
      <c r="GR79" s="75" t="s">
        <v>280</v>
      </c>
      <c r="GS79" s="75">
        <v>44</v>
      </c>
    </row>
    <row r="80" spans="60:205" x14ac:dyDescent="0.25">
      <c r="GR80" s="75" t="s">
        <v>281</v>
      </c>
      <c r="GS80" s="75">
        <v>0.83820773304432283</v>
      </c>
    </row>
    <row r="81" spans="13:205" x14ac:dyDescent="0.25">
      <c r="GR81" s="75" t="s">
        <v>282</v>
      </c>
      <c r="GS81" s="75">
        <v>0.77003896206408062</v>
      </c>
    </row>
    <row r="82" spans="13:205" x14ac:dyDescent="0.25">
      <c r="GR82" s="75" t="s">
        <v>283</v>
      </c>
      <c r="GS82" s="75">
        <v>0.86728895433381781</v>
      </c>
    </row>
    <row r="83" spans="13:205" x14ac:dyDescent="0.25">
      <c r="GR83" s="75" t="s">
        <v>284</v>
      </c>
      <c r="GS83" s="75">
        <v>0.81612145458060747</v>
      </c>
    </row>
    <row r="85" spans="13:205" x14ac:dyDescent="0.25">
      <c r="GR85" s="75" t="s">
        <v>285</v>
      </c>
    </row>
    <row r="86" spans="13:205" x14ac:dyDescent="0.25">
      <c r="GR86" s="75">
        <v>1.2979789122444263</v>
      </c>
      <c r="GS86" s="75">
        <v>-5.2014452543686286E-2</v>
      </c>
      <c r="GT86" s="75">
        <v>-6.6520788187138524E-3</v>
      </c>
      <c r="GU86" s="75">
        <v>-0.16909358472064875</v>
      </c>
      <c r="GV86" s="75">
        <v>5.3636261542826409E-4</v>
      </c>
      <c r="GW86" s="75">
        <v>1.4775835869065375E-3</v>
      </c>
    </row>
    <row r="87" spans="13:205" x14ac:dyDescent="0.25">
      <c r="GR87" s="75">
        <v>-5.2014452543685627E-2</v>
      </c>
      <c r="GS87" s="75">
        <v>1.3083521828870108</v>
      </c>
      <c r="GT87" s="75">
        <v>-1.4352950484099668E-2</v>
      </c>
      <c r="GU87" s="75">
        <v>-1.3710466124755124E-2</v>
      </c>
      <c r="GV87" s="75">
        <v>-0.17446257619152739</v>
      </c>
      <c r="GW87" s="75">
        <v>3.1949467423905567E-3</v>
      </c>
    </row>
    <row r="88" spans="13:205" x14ac:dyDescent="0.25">
      <c r="GR88" s="75">
        <v>-6.6520788187138229E-3</v>
      </c>
      <c r="GS88" s="75">
        <v>-1.4352950484099632E-2</v>
      </c>
      <c r="GT88" s="75">
        <v>1.3408260941341157</v>
      </c>
      <c r="GU88" s="75">
        <v>1.155674262704494E-3</v>
      </c>
      <c r="GV88" s="75">
        <v>2.0815528217953119E-3</v>
      </c>
      <c r="GW88" s="75">
        <v>-0.16517549322876032</v>
      </c>
    </row>
    <row r="89" spans="13:205" x14ac:dyDescent="0.25">
      <c r="GR89" s="75">
        <v>-0.16909358472064875</v>
      </c>
      <c r="GS89" s="75">
        <v>-1.3710466124755039E-2</v>
      </c>
      <c r="GT89" s="75">
        <v>1.1556742627044983E-3</v>
      </c>
      <c r="GU89" s="75">
        <v>2.4148020813585452E-2</v>
      </c>
      <c r="GV89" s="75">
        <v>2.5703317863414689E-3</v>
      </c>
      <c r="GW89" s="75">
        <v>-2.6319840576285905E-4</v>
      </c>
    </row>
    <row r="90" spans="13:205" x14ac:dyDescent="0.25">
      <c r="GR90" s="75">
        <v>5.3636261542817617E-4</v>
      </c>
      <c r="GS90" s="75">
        <v>-0.17446257619152739</v>
      </c>
      <c r="GT90" s="75">
        <v>2.0815528217953167E-3</v>
      </c>
      <c r="GU90" s="75">
        <v>2.5703317863414801E-3</v>
      </c>
      <c r="GV90" s="75">
        <v>2.5116660882092395E-2</v>
      </c>
      <c r="GW90" s="75">
        <v>-4.7737499335887224E-4</v>
      </c>
    </row>
    <row r="91" spans="13:205" x14ac:dyDescent="0.25">
      <c r="GR91" s="75">
        <v>1.4775835869065351E-3</v>
      </c>
      <c r="GS91" s="75">
        <v>3.194946742390552E-3</v>
      </c>
      <c r="GT91" s="75">
        <v>-0.16517549322876041</v>
      </c>
      <c r="GU91" s="75">
        <v>-2.6319840576285861E-4</v>
      </c>
      <c r="GV91" s="75">
        <v>-4.7737499335887164E-4</v>
      </c>
      <c r="GW91" s="75">
        <v>2.2227027952792754E-2</v>
      </c>
    </row>
    <row r="92" spans="13:205" x14ac:dyDescent="0.25">
      <c r="M92" s="75" t="s">
        <v>108</v>
      </c>
      <c r="N92" s="75" t="s">
        <v>109</v>
      </c>
      <c r="O92" s="75" t="s">
        <v>62</v>
      </c>
      <c r="P92" s="75" t="s">
        <v>71</v>
      </c>
      <c r="Q92" s="75" t="s">
        <v>66</v>
      </c>
      <c r="R92" s="75" t="s">
        <v>53</v>
      </c>
      <c r="S92" s="75" t="s">
        <v>54</v>
      </c>
      <c r="T92" s="75" t="s">
        <v>55</v>
      </c>
      <c r="U92" s="75" t="s">
        <v>36</v>
      </c>
    </row>
    <row r="93" spans="13:205" x14ac:dyDescent="0.25">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5">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5">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5">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5">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5">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5">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5">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5">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5">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5">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5">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5">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5">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5">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5">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5">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5">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5">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5">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GW112"/>
  <sheetViews>
    <sheetView zoomScale="90" zoomScaleNormal="90" workbookViewId="0">
      <pane xSplit="1" topLeftCell="AQ1" activePane="topRight" state="frozen"/>
      <selection activeCell="BA26" sqref="BA26"/>
      <selection pane="topRight" activeCell="BA26" sqref="BA26"/>
    </sheetView>
  </sheetViews>
  <sheetFormatPr defaultColWidth="9.109375" defaultRowHeight="15" x14ac:dyDescent="0.25"/>
  <cols>
    <col min="1" max="1" width="12.6640625" style="75" customWidth="1"/>
    <col min="2" max="2" width="16.6640625" style="75" bestFit="1" customWidth="1"/>
    <col min="3" max="4" width="33.88671875" style="75" bestFit="1" customWidth="1"/>
    <col min="5" max="5" width="16.44140625" style="75" bestFit="1" customWidth="1"/>
    <col min="6" max="6" width="17" style="75" bestFit="1" customWidth="1"/>
    <col min="7" max="7" width="23.5546875" style="75" customWidth="1"/>
    <col min="8" max="8" width="22.109375" style="75" bestFit="1" customWidth="1"/>
    <col min="9" max="9" width="19.109375" style="75" bestFit="1" customWidth="1"/>
    <col min="10" max="10" width="25.44140625" style="75" bestFit="1" customWidth="1"/>
    <col min="11" max="11" width="11.88671875" style="75" bestFit="1" customWidth="1"/>
    <col min="12" max="12" width="14.44140625" style="75" bestFit="1" customWidth="1"/>
    <col min="13" max="13" width="17.109375" style="75" bestFit="1" customWidth="1"/>
    <col min="14" max="14" width="15.5546875" style="75" hidden="1" customWidth="1"/>
    <col min="15" max="15" width="12.109375" style="75" hidden="1" customWidth="1"/>
    <col min="16" max="16" width="14.33203125" style="75" hidden="1" customWidth="1"/>
    <col min="17" max="21" width="15.5546875" style="75" hidden="1" customWidth="1"/>
    <col min="22" max="22" width="9.33203125" style="75" bestFit="1" customWidth="1"/>
    <col min="23" max="23" width="9.33203125" style="75" hidden="1" customWidth="1"/>
    <col min="24" max="24" width="10.5546875" style="75" hidden="1" customWidth="1"/>
    <col min="25" max="28" width="12.44140625" style="75" hidden="1" customWidth="1"/>
    <col min="29" max="29" width="9.33203125" style="75" bestFit="1" customWidth="1"/>
    <col min="30" max="30" width="9.33203125" style="75" customWidth="1"/>
    <col min="31" max="31" width="7.88671875" style="75" bestFit="1" customWidth="1"/>
    <col min="32" max="32" width="11.88671875" style="75" bestFit="1" customWidth="1"/>
    <col min="33" max="33" width="14.109375" style="75" hidden="1" customWidth="1"/>
    <col min="34" max="43" width="14.109375" style="75" customWidth="1"/>
    <col min="44" max="45" width="16.88671875" style="75" bestFit="1" customWidth="1"/>
    <col min="46" max="46" width="12.44140625" style="75" customWidth="1"/>
    <col min="47" max="47" width="14.33203125" style="75" bestFit="1" customWidth="1"/>
    <col min="48" max="52" width="13.44140625" style="75" customWidth="1"/>
    <col min="53" max="53" width="9.109375" style="75"/>
    <col min="54" max="54" width="13.109375" style="75" bestFit="1" customWidth="1"/>
    <col min="55" max="55" width="23.109375" style="75" bestFit="1" customWidth="1"/>
    <col min="56" max="56" width="22.5546875" style="75" bestFit="1" customWidth="1"/>
    <col min="57" max="57" width="19.88671875" style="75" bestFit="1" customWidth="1"/>
    <col min="58" max="59" width="9.33203125" style="75" bestFit="1" customWidth="1"/>
    <col min="60" max="60" width="9.5546875" style="75" bestFit="1" customWidth="1"/>
    <col min="61" max="61" width="9.33203125" style="75" bestFit="1" customWidth="1"/>
    <col min="62" max="62" width="20.5546875" style="75" bestFit="1" customWidth="1"/>
    <col min="63" max="63" width="9.33203125" style="75" bestFit="1" customWidth="1"/>
    <col min="64" max="71" width="14.109375" style="75" customWidth="1"/>
    <col min="72" max="72" width="11.5546875" style="75" customWidth="1"/>
    <col min="73" max="75" width="10.88671875" style="75" bestFit="1" customWidth="1"/>
    <col min="76" max="76" width="9.33203125" style="75" bestFit="1" customWidth="1"/>
    <col min="77" max="77" width="11.109375" style="75" bestFit="1" customWidth="1"/>
    <col min="78" max="78" width="11.109375" style="75" customWidth="1"/>
    <col min="79" max="90" width="9.33203125" style="75" bestFit="1" customWidth="1"/>
    <col min="91" max="91" width="12.109375" style="75" bestFit="1" customWidth="1"/>
    <col min="92" max="92" width="12.33203125" style="75" bestFit="1" customWidth="1"/>
    <col min="93" max="93" width="20.6640625" style="75" bestFit="1" customWidth="1"/>
    <col min="94" max="94" width="9.109375" style="75"/>
    <col min="95" max="95" width="5.5546875" style="75" customWidth="1"/>
    <col min="96" max="96" width="5.6640625" style="75" customWidth="1"/>
    <col min="97" max="97" width="4.6640625" style="75" customWidth="1"/>
    <col min="98" max="98" width="13.88671875" style="75" bestFit="1" customWidth="1"/>
    <col min="99" max="104" width="9.109375" style="75"/>
    <col min="105" max="105" width="15.44140625" style="75" bestFit="1" customWidth="1"/>
    <col min="106" max="106" width="16" style="75" bestFit="1" customWidth="1"/>
    <col min="107" max="107" width="12.6640625" style="75" bestFit="1" customWidth="1"/>
    <col min="108" max="108" width="12.6640625" style="75" customWidth="1"/>
    <col min="109" max="112" width="9.109375" style="75"/>
    <col min="113" max="113" width="16.6640625" style="75" bestFit="1" customWidth="1"/>
    <col min="114" max="16384" width="9.109375" style="75"/>
  </cols>
  <sheetData>
    <row r="1" spans="1:140" ht="15.6" x14ac:dyDescent="0.3">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5">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5">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5">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5">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5">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5">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5">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5">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5">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5">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5">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5">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5">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5">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5">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5">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5">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5">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5">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5">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5">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5">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5">
      <c r="AY24" s="85"/>
      <c r="AZ24" s="7"/>
      <c r="BA24" s="78"/>
    </row>
    <row r="25" spans="1:113" x14ac:dyDescent="0.25">
      <c r="E25" s="75">
        <f>0.2/E5*100</f>
        <v>8.0109925013465677</v>
      </c>
      <c r="F25" s="75">
        <f>0.0002/F23*100</f>
        <v>0.10012730182367656</v>
      </c>
      <c r="M25" s="75">
        <f>0.001/0.704*100</f>
        <v>0.14204545454545456</v>
      </c>
      <c r="V25" s="75">
        <f>0.04/6.09*100</f>
        <v>0.65681444991789828</v>
      </c>
      <c r="AZ25" s="124"/>
      <c r="BA25" s="78"/>
    </row>
    <row r="26" spans="1:113" x14ac:dyDescent="0.25">
      <c r="AG26" s="75" t="s">
        <v>65</v>
      </c>
      <c r="AX26" s="162" t="s">
        <v>197</v>
      </c>
      <c r="AY26" s="162"/>
      <c r="AZ26" s="124"/>
      <c r="BA26" s="78"/>
      <c r="BB26" s="163" t="s">
        <v>198</v>
      </c>
      <c r="BC26" s="163"/>
    </row>
    <row r="27" spans="1:113" ht="15.6" x14ac:dyDescent="0.3">
      <c r="B27" s="5" t="s">
        <v>69</v>
      </c>
      <c r="D27" s="75">
        <f>704/712</f>
        <v>0.9887640449438202</v>
      </c>
      <c r="AG27" s="75" t="s">
        <v>70</v>
      </c>
      <c r="AX27" s="46" t="s">
        <v>62</v>
      </c>
      <c r="AY27" s="84">
        <v>239.89360443550623</v>
      </c>
      <c r="AZ27" s="124"/>
      <c r="BA27" s="78"/>
      <c r="BB27" s="46" t="s">
        <v>62</v>
      </c>
      <c r="BC27" s="84">
        <v>239.78290701724933</v>
      </c>
      <c r="BH27" s="85"/>
      <c r="BN27" s="85"/>
      <c r="BO27" s="85"/>
      <c r="BP27" s="85"/>
      <c r="BQ27" s="85"/>
      <c r="BR27" s="85"/>
      <c r="BS27" s="85"/>
    </row>
    <row r="28" spans="1:113" ht="15.6" x14ac:dyDescent="0.3">
      <c r="A28" s="75" t="s">
        <v>74</v>
      </c>
      <c r="B28" s="13">
        <v>2.34</v>
      </c>
      <c r="C28" s="13"/>
      <c r="J28" s="75" t="s">
        <v>75</v>
      </c>
      <c r="K28" s="75" t="s">
        <v>50</v>
      </c>
      <c r="L28" s="75" t="s">
        <v>76</v>
      </c>
      <c r="M28" s="75" t="s">
        <v>77</v>
      </c>
      <c r="N28" s="75" t="s">
        <v>78</v>
      </c>
      <c r="O28" s="75" t="s">
        <v>79</v>
      </c>
      <c r="X28" s="75">
        <f>1.42/0.2298</f>
        <v>6.1792863359442993</v>
      </c>
      <c r="AX28" s="46" t="s">
        <v>66</v>
      </c>
      <c r="AY28" s="84">
        <v>122.04281473687176</v>
      </c>
      <c r="AZ28" s="124"/>
      <c r="BA28" s="78"/>
      <c r="BB28" s="46" t="s">
        <v>66</v>
      </c>
      <c r="BC28" s="84">
        <v>121.97066542379288</v>
      </c>
      <c r="BD28" s="46"/>
    </row>
    <row r="29" spans="1:113" ht="15.6" x14ac:dyDescent="0.3">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v>46.22189018700152</v>
      </c>
      <c r="AZ29" s="124"/>
      <c r="BA29" s="78"/>
      <c r="BB29" s="46" t="s">
        <v>71</v>
      </c>
      <c r="BC29" s="84">
        <v>46.246437417401147</v>
      </c>
      <c r="BN29" s="47"/>
      <c r="BO29" s="47"/>
      <c r="BP29" s="47"/>
      <c r="BQ29" s="47"/>
      <c r="BR29" s="47"/>
      <c r="BS29" s="47"/>
      <c r="CM29" s="104"/>
      <c r="CQ29" s="84"/>
      <c r="CR29" s="84"/>
    </row>
    <row r="30" spans="1:113" ht="15.6" x14ac:dyDescent="0.3">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v>5.3841194752639439</v>
      </c>
      <c r="AZ30" s="124"/>
      <c r="BA30" s="78"/>
      <c r="BB30" s="46" t="s">
        <v>63</v>
      </c>
      <c r="BC30" s="84">
        <v>5.4749199686360432</v>
      </c>
      <c r="BN30" s="87"/>
      <c r="BO30" s="87"/>
      <c r="BP30" s="87"/>
      <c r="BQ30" s="87"/>
      <c r="BR30" s="87"/>
      <c r="BS30" s="87"/>
      <c r="CM30" s="104"/>
      <c r="CQ30" s="84"/>
      <c r="CR30" s="84"/>
    </row>
    <row r="31" spans="1:113" ht="15.6" x14ac:dyDescent="0.3">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v>3.0296303208207349</v>
      </c>
      <c r="AZ31" s="124"/>
      <c r="BA31" s="78"/>
      <c r="BB31" s="46" t="s">
        <v>67</v>
      </c>
      <c r="BC31" s="84">
        <v>3.0858842985722479</v>
      </c>
      <c r="BD31" s="49"/>
      <c r="CM31" s="104"/>
      <c r="CQ31" s="84"/>
      <c r="CR31" s="84"/>
    </row>
    <row r="32" spans="1:113" ht="15.6" x14ac:dyDescent="0.3">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v>0.29107398760433834</v>
      </c>
      <c r="AZ32" s="124"/>
      <c r="BA32" s="78"/>
      <c r="BB32" s="46" t="s">
        <v>72</v>
      </c>
      <c r="BC32" s="84">
        <v>0.28796127038406089</v>
      </c>
      <c r="BD32" s="49"/>
      <c r="CM32" s="104"/>
      <c r="CQ32" s="84"/>
      <c r="CR32" s="84"/>
    </row>
    <row r="33" spans="1:202" ht="15.6" x14ac:dyDescent="0.3">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202" ht="15.6" x14ac:dyDescent="0.3">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202" ht="15.6" x14ac:dyDescent="0.3">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202" ht="15.6" x14ac:dyDescent="0.3">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202" ht="15.6" x14ac:dyDescent="0.3">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202" ht="15.6" x14ac:dyDescent="0.3">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202" ht="15.6" x14ac:dyDescent="0.3">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202" ht="15.6" x14ac:dyDescent="0.3">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202" ht="15.6" x14ac:dyDescent="0.3">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202" ht="15.6" x14ac:dyDescent="0.3">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c r="GR42" s="75" t="s">
        <v>270</v>
      </c>
    </row>
    <row r="43" spans="1:202" x14ac:dyDescent="0.25">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c r="GR43" s="75" t="s">
        <v>271</v>
      </c>
      <c r="GS43" s="75" t="s">
        <v>272</v>
      </c>
      <c r="GT43" s="75" t="s">
        <v>273</v>
      </c>
    </row>
    <row r="44" spans="1:202" x14ac:dyDescent="0.25">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c r="GR44" s="75" t="s">
        <v>274</v>
      </c>
      <c r="GS44" s="75">
        <v>239.89360443550623</v>
      </c>
      <c r="GT44" s="75">
        <v>1.3091034543193234</v>
      </c>
    </row>
    <row r="45" spans="1:202" x14ac:dyDescent="0.25">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c r="GR45" s="75" t="s">
        <v>275</v>
      </c>
      <c r="GS45" s="75">
        <v>122.04281473687176</v>
      </c>
      <c r="GT45" s="75">
        <v>1.3143902626467712</v>
      </c>
    </row>
    <row r="46" spans="1:202" x14ac:dyDescent="0.25">
      <c r="A46" s="75" t="s">
        <v>101</v>
      </c>
      <c r="B46" s="75">
        <v>1</v>
      </c>
      <c r="J46" s="104">
        <f t="shared" si="68"/>
        <v>36.973779459326472</v>
      </c>
      <c r="M46" s="75">
        <f t="shared" si="69"/>
        <v>1.019565123490711</v>
      </c>
      <c r="N46" s="84">
        <f t="shared" si="70"/>
        <v>2.3098101195244765E-3</v>
      </c>
      <c r="O46" s="84">
        <f t="shared" si="67"/>
        <v>-1.8968748269795211E-2</v>
      </c>
      <c r="CM46" s="104"/>
      <c r="CQ46" s="84"/>
      <c r="CR46" s="84"/>
      <c r="GR46" s="75" t="s">
        <v>276</v>
      </c>
      <c r="GS46" s="75">
        <v>46.22189018700152</v>
      </c>
      <c r="GT46" s="75">
        <v>1.3306109836642661</v>
      </c>
    </row>
    <row r="47" spans="1:202" x14ac:dyDescent="0.25">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c r="GR47" s="75" t="s">
        <v>63</v>
      </c>
      <c r="GS47" s="75">
        <v>5.3841194752639439</v>
      </c>
      <c r="GT47" s="75">
        <v>0.17897330178750961</v>
      </c>
    </row>
    <row r="48" spans="1:202" x14ac:dyDescent="0.25">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c r="GR48" s="75" t="s">
        <v>67</v>
      </c>
      <c r="GS48" s="75">
        <v>3.0296303208207349</v>
      </c>
      <c r="GT48" s="75">
        <v>0.182515124030033</v>
      </c>
    </row>
    <row r="49" spans="1:205" x14ac:dyDescent="0.25">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c r="GR49" s="75" t="s">
        <v>72</v>
      </c>
      <c r="GS49" s="75">
        <v>0.29107398760433834</v>
      </c>
      <c r="GT49" s="75">
        <v>0.17205560788415236</v>
      </c>
    </row>
    <row r="50" spans="1:205" x14ac:dyDescent="0.25">
      <c r="J50" s="104">
        <f t="shared" si="68"/>
        <v>37.053880411171605</v>
      </c>
      <c r="M50" s="75">
        <f t="shared" si="69"/>
        <v>1.0215010271006835</v>
      </c>
      <c r="N50" s="84">
        <f t="shared" si="70"/>
        <v>2.5441041332217979E-3</v>
      </c>
      <c r="O50" s="84">
        <f t="shared" si="67"/>
        <v>-1.8886825810768695E-2</v>
      </c>
      <c r="CM50" s="104"/>
      <c r="CQ50" s="84"/>
      <c r="CR50" s="84"/>
      <c r="GR50" s="75" t="s">
        <v>277</v>
      </c>
      <c r="GS50" s="75">
        <v>1.6650188161638473</v>
      </c>
    </row>
    <row r="51" spans="1:205" x14ac:dyDescent="0.25">
      <c r="B51" s="75" t="s">
        <v>103</v>
      </c>
      <c r="J51" s="104"/>
      <c r="AU51" s="16">
        <v>47.947556023546788</v>
      </c>
      <c r="AV51" s="16"/>
      <c r="AW51" s="16"/>
      <c r="AX51" s="16"/>
      <c r="AY51" s="16"/>
      <c r="AZ51" s="16"/>
      <c r="BI51" s="75" t="s">
        <v>62</v>
      </c>
      <c r="BJ51" s="75">
        <v>246.36868691540607</v>
      </c>
      <c r="BK51" s="75" t="s">
        <v>63</v>
      </c>
      <c r="BL51" s="75">
        <v>5.434181546630243</v>
      </c>
      <c r="GR51" s="75" t="s">
        <v>278</v>
      </c>
      <c r="GS51" s="75">
        <v>1.1991542001668793</v>
      </c>
    </row>
    <row r="52" spans="1:205" x14ac:dyDescent="0.25">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c r="GR52" s="75" t="s">
        <v>279</v>
      </c>
      <c r="GS52" s="75">
        <v>38</v>
      </c>
    </row>
    <row r="53" spans="1:205" x14ac:dyDescent="0.25">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c r="GR53" s="75" t="s">
        <v>280</v>
      </c>
      <c r="GS53" s="75">
        <v>44</v>
      </c>
    </row>
    <row r="54" spans="1:205" x14ac:dyDescent="0.25">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c r="GR54" s="75" t="s">
        <v>281</v>
      </c>
      <c r="GS54" s="75">
        <v>0.96313394392187002</v>
      </c>
    </row>
    <row r="55" spans="1:205" x14ac:dyDescent="0.25">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c r="GR55" s="75" t="s">
        <v>282</v>
      </c>
      <c r="GS55" s="75">
        <v>0.88487748763698804</v>
      </c>
    </row>
    <row r="56" spans="1:205" x14ac:dyDescent="0.25">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c r="GR56" s="75" t="s">
        <v>283</v>
      </c>
      <c r="GS56" s="75">
        <v>0.99707710919216719</v>
      </c>
    </row>
    <row r="57" spans="1:205" x14ac:dyDescent="0.25">
      <c r="AU57" s="16">
        <v>48.339357218136854</v>
      </c>
      <c r="AV57" s="16"/>
      <c r="AW57" s="16"/>
      <c r="AX57" s="16"/>
      <c r="AY57" s="16"/>
      <c r="AZ57" s="16"/>
      <c r="GR57" s="75" t="s">
        <v>284</v>
      </c>
      <c r="GS57" s="75">
        <v>0.93803789404848426</v>
      </c>
    </row>
    <row r="58" spans="1:205" x14ac:dyDescent="0.25">
      <c r="AU58" s="75">
        <v>48.499352132150342</v>
      </c>
    </row>
    <row r="59" spans="1:205" x14ac:dyDescent="0.25">
      <c r="AU59" s="75">
        <v>48.3097411194247</v>
      </c>
      <c r="GR59" s="75" t="s">
        <v>285</v>
      </c>
    </row>
    <row r="60" spans="1:205" x14ac:dyDescent="0.25">
      <c r="AU60" s="75">
        <v>48.180418822030397</v>
      </c>
      <c r="GR60" s="75">
        <v>1.7137518541107848</v>
      </c>
      <c r="GS60" s="75">
        <v>-6.889898971572804E-2</v>
      </c>
      <c r="GT60" s="75">
        <v>-8.8177525692408557E-3</v>
      </c>
      <c r="GU60" s="75">
        <v>-0.22358950159238905</v>
      </c>
      <c r="GV60" s="75">
        <v>9.7359862985108784E-4</v>
      </c>
      <c r="GW60" s="75">
        <v>1.9501800005971689E-3</v>
      </c>
    </row>
    <row r="61" spans="1:205" x14ac:dyDescent="0.25">
      <c r="AU61" s="75">
        <v>48.120784404850681</v>
      </c>
      <c r="GR61" s="75">
        <v>-6.8898989715728221E-2</v>
      </c>
      <c r="GS61" s="75">
        <v>1.7276217625406478</v>
      </c>
      <c r="GT61" s="75">
        <v>-1.9034802311563979E-2</v>
      </c>
      <c r="GU61" s="75">
        <v>-1.7378896114759131E-2</v>
      </c>
      <c r="GV61" s="75">
        <v>-0.23061285039404114</v>
      </c>
      <c r="GW61" s="75">
        <v>4.2192497005837703E-3</v>
      </c>
    </row>
    <row r="62" spans="1:205" x14ac:dyDescent="0.25">
      <c r="AU62" s="75">
        <v>48.226412119564628</v>
      </c>
      <c r="GR62" s="75">
        <v>-8.8177525692408436E-3</v>
      </c>
      <c r="GS62" s="75">
        <v>-1.9034802311563979E-2</v>
      </c>
      <c r="GT62" s="75">
        <v>1.7705255898479859</v>
      </c>
      <c r="GU62" s="75">
        <v>1.5287288539574801E-3</v>
      </c>
      <c r="GV62" s="75">
        <v>2.7676343959966627E-3</v>
      </c>
      <c r="GW62" s="75">
        <v>-0.2187856536130926</v>
      </c>
    </row>
    <row r="63" spans="1:205" x14ac:dyDescent="0.25">
      <c r="AU63" s="75">
        <v>48.150899687196002</v>
      </c>
      <c r="GR63" s="75">
        <v>-0.22358950159238911</v>
      </c>
      <c r="GS63" s="75">
        <v>-1.7378896114759155E-2</v>
      </c>
      <c r="GT63" s="75">
        <v>1.5287288539574829E-3</v>
      </c>
      <c r="GU63" s="75">
        <v>3.2031442752722995E-2</v>
      </c>
      <c r="GV63" s="75">
        <v>3.2673032308833073E-3</v>
      </c>
      <c r="GW63" s="75">
        <v>-3.4704769000554268E-4</v>
      </c>
    </row>
    <row r="64" spans="1:205" x14ac:dyDescent="0.25">
      <c r="AU64" s="75">
        <v>47.942411192719817</v>
      </c>
      <c r="GR64" s="75">
        <v>9.7359862985111733E-4</v>
      </c>
      <c r="GS64" s="75">
        <v>-0.2306128503940412</v>
      </c>
      <c r="GT64" s="75">
        <v>2.767634395996664E-3</v>
      </c>
      <c r="GU64" s="75">
        <v>3.2673032308833038E-3</v>
      </c>
      <c r="GV64" s="75">
        <v>3.3311770499698336E-2</v>
      </c>
      <c r="GW64" s="75">
        <v>-6.3278940390020704E-4</v>
      </c>
    </row>
    <row r="65" spans="47:205" x14ac:dyDescent="0.25">
      <c r="AU65" s="75">
        <v>47.992775844223317</v>
      </c>
      <c r="GR65" s="75">
        <v>1.9501800005971674E-3</v>
      </c>
      <c r="GS65" s="75">
        <v>4.2192497005837703E-3</v>
      </c>
      <c r="GT65" s="75">
        <v>-0.2187856536130926</v>
      </c>
      <c r="GU65" s="75">
        <v>-3.4704769000554241E-4</v>
      </c>
      <c r="GV65" s="75">
        <v>-6.3278940390020704E-4</v>
      </c>
      <c r="GW65" s="75">
        <v>2.9603132204385197E-2</v>
      </c>
    </row>
    <row r="67" spans="47:205" x14ac:dyDescent="0.25">
      <c r="GR67" s="75" t="s">
        <v>286</v>
      </c>
    </row>
    <row r="68" spans="47:205" x14ac:dyDescent="0.25">
      <c r="GR68" s="75" t="s">
        <v>287</v>
      </c>
    </row>
    <row r="69" spans="47:205" x14ac:dyDescent="0.25">
      <c r="GR69" s="75" t="s">
        <v>271</v>
      </c>
      <c r="GS69" s="75" t="s">
        <v>272</v>
      </c>
      <c r="GT69" s="75" t="s">
        <v>273</v>
      </c>
    </row>
    <row r="70" spans="47:205" x14ac:dyDescent="0.25">
      <c r="GR70" s="75" t="s">
        <v>274</v>
      </c>
      <c r="GS70" s="75">
        <v>239.78290701724933</v>
      </c>
      <c r="GT70" s="75">
        <v>1.2536369042833113</v>
      </c>
    </row>
    <row r="71" spans="47:205" x14ac:dyDescent="0.25">
      <c r="GR71" s="75" t="s">
        <v>275</v>
      </c>
      <c r="GS71" s="75">
        <v>121.97066542379288</v>
      </c>
      <c r="GT71" s="75">
        <v>1.2586273444397451</v>
      </c>
    </row>
    <row r="72" spans="47:205" x14ac:dyDescent="0.25">
      <c r="GR72" s="75" t="s">
        <v>276</v>
      </c>
      <c r="GS72" s="75">
        <v>46.246437417401147</v>
      </c>
      <c r="GT72" s="75">
        <v>1.2738921156366312</v>
      </c>
    </row>
    <row r="73" spans="47:205" x14ac:dyDescent="0.25">
      <c r="GR73" s="75" t="s">
        <v>63</v>
      </c>
      <c r="GS73" s="75">
        <v>5.4749199686360432</v>
      </c>
      <c r="GT73" s="75">
        <v>0.17440125840759862</v>
      </c>
    </row>
    <row r="74" spans="47:205" x14ac:dyDescent="0.25">
      <c r="GR74" s="75" t="s">
        <v>67</v>
      </c>
      <c r="GS74" s="75">
        <v>3.0858842985722479</v>
      </c>
      <c r="GT74" s="75">
        <v>0.17782157966858975</v>
      </c>
    </row>
    <row r="75" spans="47:205" x14ac:dyDescent="0.25">
      <c r="GR75" s="75" t="s">
        <v>72</v>
      </c>
      <c r="GS75" s="75">
        <v>0.28796127038406089</v>
      </c>
      <c r="GT75" s="75">
        <v>0.16750309277691378</v>
      </c>
    </row>
    <row r="76" spans="47:205" x14ac:dyDescent="0.25">
      <c r="GR76" s="75" t="s">
        <v>277</v>
      </c>
      <c r="GS76" s="75">
        <v>1.5071745176710258</v>
      </c>
    </row>
    <row r="77" spans="47:205" x14ac:dyDescent="0.25">
      <c r="GR77" s="75" t="s">
        <v>278</v>
      </c>
      <c r="GS77" s="75">
        <v>1.1408990839714068</v>
      </c>
    </row>
    <row r="78" spans="47:205" x14ac:dyDescent="0.25">
      <c r="GR78" s="75" t="s">
        <v>279</v>
      </c>
      <c r="GS78" s="75">
        <v>38</v>
      </c>
    </row>
    <row r="79" spans="47:205" x14ac:dyDescent="0.25">
      <c r="GR79" s="75" t="s">
        <v>280</v>
      </c>
      <c r="GS79" s="75">
        <v>44</v>
      </c>
    </row>
    <row r="80" spans="47:205" x14ac:dyDescent="0.25">
      <c r="GR80" s="75" t="s">
        <v>281</v>
      </c>
      <c r="GS80" s="75">
        <v>0.92254351848599725</v>
      </c>
    </row>
    <row r="81" spans="13:205" x14ac:dyDescent="0.25">
      <c r="GR81" s="75" t="s">
        <v>282</v>
      </c>
      <c r="GS81" s="75">
        <v>0.84712095886967587</v>
      </c>
    </row>
    <row r="82" spans="13:205" x14ac:dyDescent="0.25">
      <c r="GR82" s="75" t="s">
        <v>283</v>
      </c>
      <c r="GS82" s="75">
        <v>0.95411779912374239</v>
      </c>
    </row>
    <row r="83" spans="13:205" x14ac:dyDescent="0.25">
      <c r="GR83" s="75" t="s">
        <v>284</v>
      </c>
      <c r="GS83" s="75">
        <v>0.89782240853015627</v>
      </c>
    </row>
    <row r="85" spans="13:205" x14ac:dyDescent="0.25">
      <c r="GR85" s="75" t="s">
        <v>285</v>
      </c>
    </row>
    <row r="86" spans="13:205" x14ac:dyDescent="0.25">
      <c r="GR86" s="75">
        <v>1.5716054877810441</v>
      </c>
      <c r="GS86" s="75">
        <v>-6.2099441240527339E-2</v>
      </c>
      <c r="GT86" s="75">
        <v>-7.9592276207705627E-3</v>
      </c>
      <c r="GU86" s="75">
        <v>-0.20874644499047695</v>
      </c>
      <c r="GV86" s="75">
        <v>7.0267982571512626E-4</v>
      </c>
      <c r="GW86" s="75">
        <v>1.7987997697022429E-3</v>
      </c>
    </row>
    <row r="87" spans="13:205" x14ac:dyDescent="0.25">
      <c r="GR87" s="75">
        <v>-6.209944124052743E-2</v>
      </c>
      <c r="GS87" s="75">
        <v>1.5841427921714446</v>
      </c>
      <c r="GT87" s="75">
        <v>-1.7157679444584861E-2</v>
      </c>
      <c r="GU87" s="75">
        <v>-1.6553461273660856E-2</v>
      </c>
      <c r="GV87" s="75">
        <v>-0.21526842124166473</v>
      </c>
      <c r="GW87" s="75">
        <v>3.885990686475185E-3</v>
      </c>
    </row>
    <row r="88" spans="13:205" x14ac:dyDescent="0.25">
      <c r="GR88" s="75">
        <v>-7.9592276207705367E-3</v>
      </c>
      <c r="GS88" s="75">
        <v>-1.7157679444584885E-2</v>
      </c>
      <c r="GT88" s="75">
        <v>1.6228011222811722</v>
      </c>
      <c r="GU88" s="75">
        <v>1.4055416551197405E-3</v>
      </c>
      <c r="GV88" s="75">
        <v>2.5380424811110723E-3</v>
      </c>
      <c r="GW88" s="75">
        <v>-0.20404124671873727</v>
      </c>
    </row>
    <row r="89" spans="13:205" x14ac:dyDescent="0.25">
      <c r="GR89" s="75">
        <v>-0.2087464449904769</v>
      </c>
      <c r="GS89" s="75">
        <v>-1.6553461273660874E-2</v>
      </c>
      <c r="GT89" s="75">
        <v>1.4055416551197438E-3</v>
      </c>
      <c r="GU89" s="75">
        <v>3.0415798934153988E-2</v>
      </c>
      <c r="GV89" s="75">
        <v>3.1614271742627259E-3</v>
      </c>
      <c r="GW89" s="75">
        <v>-3.2583919583331248E-4</v>
      </c>
    </row>
    <row r="90" spans="13:205" x14ac:dyDescent="0.25">
      <c r="GR90" s="75">
        <v>7.0267982571513927E-4</v>
      </c>
      <c r="GS90" s="75">
        <v>-0.21526842124166473</v>
      </c>
      <c r="GT90" s="75">
        <v>2.5380424811110706E-3</v>
      </c>
      <c r="GU90" s="75">
        <v>3.1614271742627241E-3</v>
      </c>
      <c r="GV90" s="75">
        <v>3.1620514195832609E-2</v>
      </c>
      <c r="GW90" s="75">
        <v>-5.9248246882155891E-4</v>
      </c>
    </row>
    <row r="91" spans="13:205" x14ac:dyDescent="0.25">
      <c r="GR91" s="75">
        <v>1.7987997697022399E-3</v>
      </c>
      <c r="GS91" s="75">
        <v>3.8859906864751881E-3</v>
      </c>
      <c r="GT91" s="75">
        <v>-0.20404124671873736</v>
      </c>
      <c r="GU91" s="75">
        <v>-3.2583919583331215E-4</v>
      </c>
      <c r="GV91" s="75">
        <v>-5.9248246882155934E-4</v>
      </c>
      <c r="GW91" s="75">
        <v>2.8057286089831386E-2</v>
      </c>
    </row>
    <row r="92" spans="13:205" x14ac:dyDescent="0.25">
      <c r="M92" s="75" t="s">
        <v>108</v>
      </c>
      <c r="N92" s="75" t="s">
        <v>109</v>
      </c>
      <c r="O92" s="75" t="s">
        <v>62</v>
      </c>
      <c r="P92" s="75" t="s">
        <v>71</v>
      </c>
      <c r="Q92" s="75" t="s">
        <v>66</v>
      </c>
      <c r="R92" s="75" t="s">
        <v>53</v>
      </c>
      <c r="S92" s="75" t="s">
        <v>54</v>
      </c>
      <c r="T92" s="75" t="s">
        <v>55</v>
      </c>
      <c r="U92" s="75" t="s">
        <v>36</v>
      </c>
    </row>
    <row r="93" spans="13:205" x14ac:dyDescent="0.25">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5">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5">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5">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5">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5">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5">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5">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5">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5">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5">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5">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5">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5">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5">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5">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5">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5">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5">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5">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GW112"/>
  <sheetViews>
    <sheetView zoomScale="85" zoomScaleNormal="85" workbookViewId="0">
      <pane xSplit="1" topLeftCell="AL1" activePane="topRight" state="frozen"/>
      <selection activeCell="BA26" sqref="BA26"/>
      <selection pane="topRight" activeCell="BA26" sqref="BA26"/>
    </sheetView>
  </sheetViews>
  <sheetFormatPr defaultColWidth="9.109375" defaultRowHeight="15" x14ac:dyDescent="0.25"/>
  <cols>
    <col min="1" max="1" width="12.6640625" style="75" customWidth="1"/>
    <col min="2" max="2" width="16.6640625" style="75" bestFit="1" customWidth="1"/>
    <col min="3" max="4" width="33.88671875" style="75" bestFit="1" customWidth="1"/>
    <col min="5" max="5" width="16.44140625" style="75" bestFit="1" customWidth="1"/>
    <col min="6" max="6" width="17" style="75" bestFit="1" customWidth="1"/>
    <col min="7" max="7" width="23.5546875" style="75" customWidth="1"/>
    <col min="8" max="8" width="22.109375" style="75" bestFit="1" customWidth="1"/>
    <col min="9" max="9" width="19.44140625" style="75" bestFit="1" customWidth="1"/>
    <col min="10" max="10" width="25.44140625" style="75" bestFit="1" customWidth="1"/>
    <col min="11" max="11" width="11.88671875" style="75" bestFit="1" customWidth="1"/>
    <col min="12" max="12" width="14.44140625" style="75" bestFit="1" customWidth="1"/>
    <col min="13" max="13" width="17" style="75" bestFit="1" customWidth="1"/>
    <col min="14" max="14" width="15.5546875" style="75" hidden="1" customWidth="1"/>
    <col min="15" max="15" width="11.6640625" style="75" bestFit="1" customWidth="1"/>
    <col min="16" max="16" width="10.33203125" style="75" bestFit="1" customWidth="1"/>
    <col min="17" max="17" width="9.109375" style="75" bestFit="1" customWidth="1"/>
    <col min="18" max="21" width="15.5546875" style="75" bestFit="1" customWidth="1"/>
    <col min="22" max="22" width="9.33203125" style="75" bestFit="1" customWidth="1"/>
    <col min="23" max="23" width="9.33203125" style="75" hidden="1" customWidth="1"/>
    <col min="24" max="24" width="10.5546875" style="75" hidden="1" customWidth="1"/>
    <col min="25" max="28" width="12.44140625" style="75" hidden="1" customWidth="1"/>
    <col min="29" max="30" width="9.33203125" style="75" bestFit="1" customWidth="1"/>
    <col min="31" max="31" width="9.33203125" style="75" customWidth="1"/>
    <col min="32" max="32" width="15.109375" style="75" bestFit="1" customWidth="1"/>
    <col min="33" max="33" width="15" style="75" bestFit="1" customWidth="1"/>
    <col min="34" max="34" width="21.6640625" style="75" customWidth="1"/>
    <col min="35" max="36" width="10.109375" style="75" bestFit="1" customWidth="1"/>
    <col min="37" max="37" width="9.109375" style="75"/>
    <col min="38" max="38" width="13.109375" style="75" bestFit="1" customWidth="1"/>
    <col min="39" max="39" width="23.109375" style="75" bestFit="1" customWidth="1"/>
    <col min="40" max="40" width="21.88671875" style="75" bestFit="1" customWidth="1"/>
    <col min="41" max="41" width="19.109375" style="75" bestFit="1" customWidth="1"/>
    <col min="42" max="42" width="11.88671875" style="75" customWidth="1"/>
    <col min="43" max="43" width="14.33203125" style="75" bestFit="1" customWidth="1"/>
    <col min="44" max="47" width="10.88671875" style="75" bestFit="1" customWidth="1"/>
    <col min="48" max="57" width="14.109375" style="75" customWidth="1"/>
    <col min="58" max="58" width="13.5546875" style="75" bestFit="1" customWidth="1"/>
    <col min="59" max="59" width="16.109375" style="75" bestFit="1" customWidth="1"/>
    <col min="60" max="60" width="13.5546875" style="75" bestFit="1" customWidth="1"/>
    <col min="61" max="61" width="10.88671875" style="75" bestFit="1" customWidth="1"/>
    <col min="62" max="62" width="9.33203125" style="75" bestFit="1" customWidth="1"/>
    <col min="63" max="63" width="11.109375" style="75" bestFit="1" customWidth="1"/>
    <col min="64" max="66" width="9.33203125" style="75" bestFit="1" customWidth="1"/>
    <col min="67" max="67" width="11.88671875" style="75" bestFit="1" customWidth="1"/>
    <col min="68" max="68" width="9.33203125" style="75" bestFit="1" customWidth="1"/>
    <col min="69" max="69" width="19.109375" style="75" bestFit="1" customWidth="1"/>
    <col min="70" max="70" width="9.33203125" style="75" bestFit="1" customWidth="1"/>
    <col min="71" max="71" width="10.44140625" style="75" bestFit="1" customWidth="1"/>
    <col min="72" max="75" width="9.33203125" style="75" bestFit="1" customWidth="1"/>
    <col min="76" max="76" width="12.109375" style="75" bestFit="1" customWidth="1"/>
    <col min="77" max="77" width="12.33203125" style="75" bestFit="1" customWidth="1"/>
    <col min="78" max="78" width="20.6640625" style="75" bestFit="1" customWidth="1"/>
    <col min="79" max="79" width="9.109375" style="75"/>
    <col min="80" max="80" width="5.5546875" style="75" customWidth="1"/>
    <col min="81" max="81" width="5.6640625" style="75" customWidth="1"/>
    <col min="82" max="82" width="4.6640625" style="75" customWidth="1"/>
    <col min="83" max="83" width="13.88671875" style="75" bestFit="1" customWidth="1"/>
    <col min="84" max="89" width="9.109375" style="75"/>
    <col min="90" max="90" width="15.44140625" style="75" bestFit="1" customWidth="1"/>
    <col min="91" max="91" width="16" style="75" bestFit="1" customWidth="1"/>
    <col min="92" max="92" width="12.6640625" style="75" bestFit="1" customWidth="1"/>
    <col min="93" max="93" width="12.6640625" style="75" customWidth="1"/>
    <col min="94" max="97" width="9.109375" style="75"/>
    <col min="98" max="98" width="16.6640625" style="75" bestFit="1" customWidth="1"/>
    <col min="99" max="16384" width="9.109375" style="75"/>
  </cols>
  <sheetData>
    <row r="1" spans="1:139"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5">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5">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5">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5">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5">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5">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5">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5">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5">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5">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5">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5">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5">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5">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5">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5">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5">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5">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5">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5">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5">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5">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5">
      <c r="AY24" s="91"/>
      <c r="AZ24" s="78"/>
    </row>
    <row r="25" spans="1:112" x14ac:dyDescent="0.25">
      <c r="E25" s="75">
        <f>0.2/E5*100</f>
        <v>8.0109925013465677</v>
      </c>
      <c r="F25" s="75">
        <f>0.0002/F23*100</f>
        <v>0.10012730182367656</v>
      </c>
      <c r="M25" s="75">
        <f>0.001/0.704*100</f>
        <v>0.14204545454545456</v>
      </c>
      <c r="V25" s="75">
        <f>0.04/6.09*100</f>
        <v>0.65681444991789828</v>
      </c>
      <c r="AW25" s="162" t="s">
        <v>199</v>
      </c>
      <c r="AX25" s="162"/>
      <c r="AY25" s="91"/>
      <c r="AZ25" s="78"/>
      <c r="BA25" s="163" t="s">
        <v>200</v>
      </c>
      <c r="BB25" s="163"/>
    </row>
    <row r="26" spans="1:112" ht="15.6" x14ac:dyDescent="0.3">
      <c r="AW26" s="46" t="s">
        <v>62</v>
      </c>
      <c r="AX26" s="84">
        <v>239.89360443550623</v>
      </c>
      <c r="AY26" s="91"/>
      <c r="AZ26" s="78"/>
      <c r="BA26" s="46" t="s">
        <v>62</v>
      </c>
      <c r="BB26" s="84">
        <v>239.78290701724933</v>
      </c>
    </row>
    <row r="27" spans="1:112" ht="15.6" x14ac:dyDescent="0.3">
      <c r="B27" s="5" t="s">
        <v>69</v>
      </c>
      <c r="AW27" s="46" t="s">
        <v>66</v>
      </c>
      <c r="AX27" s="84">
        <v>122.04281473687176</v>
      </c>
      <c r="AY27" s="91"/>
      <c r="AZ27" s="78"/>
      <c r="BA27" s="46" t="s">
        <v>66</v>
      </c>
      <c r="BB27" s="84">
        <v>121.97066542379288</v>
      </c>
      <c r="BL27" s="85"/>
      <c r="BM27" s="85"/>
      <c r="BN27" s="85"/>
      <c r="BO27" s="85"/>
      <c r="BP27" s="85"/>
      <c r="BQ27" s="85"/>
      <c r="BR27" s="85"/>
      <c r="BS27" s="85"/>
    </row>
    <row r="28" spans="1:112" ht="15.6" x14ac:dyDescent="0.3">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v>46.22189018700152</v>
      </c>
      <c r="AY28" s="91"/>
      <c r="AZ28" s="78"/>
      <c r="BA28" s="46" t="s">
        <v>71</v>
      </c>
      <c r="BB28" s="84">
        <v>46.246437417401147</v>
      </c>
      <c r="BH28" s="46"/>
    </row>
    <row r="29" spans="1:112" ht="15.6" x14ac:dyDescent="0.3">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v>5.3841194752639439</v>
      </c>
      <c r="AY29" s="91"/>
      <c r="AZ29" s="78"/>
      <c r="BA29" s="46" t="s">
        <v>63</v>
      </c>
      <c r="BB29" s="84">
        <v>5.4749199686360432</v>
      </c>
      <c r="BM29" s="47"/>
      <c r="BN29" s="47"/>
      <c r="BO29" s="47"/>
      <c r="BP29" s="47"/>
      <c r="BQ29" s="47"/>
      <c r="BR29" s="47"/>
      <c r="BS29" s="47"/>
      <c r="CL29" s="104"/>
      <c r="CP29" s="84"/>
      <c r="CQ29" s="84"/>
    </row>
    <row r="30" spans="1:112" ht="15.6" x14ac:dyDescent="0.3">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v>3.0296303208207349</v>
      </c>
      <c r="AY30" s="91"/>
      <c r="AZ30" s="78"/>
      <c r="BA30" s="46" t="s">
        <v>67</v>
      </c>
      <c r="BB30" s="84">
        <v>3.0858842985722479</v>
      </c>
      <c r="BM30" s="87"/>
      <c r="BN30" s="87"/>
      <c r="BO30" s="87"/>
      <c r="BP30" s="87"/>
      <c r="BQ30" s="87"/>
      <c r="BR30" s="87"/>
      <c r="BS30" s="87"/>
      <c r="CL30" s="104"/>
      <c r="CP30" s="84"/>
      <c r="CQ30" s="84"/>
    </row>
    <row r="31" spans="1:112" ht="15.6" x14ac:dyDescent="0.3">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v>0.29107398760433834</v>
      </c>
      <c r="AY31" s="91"/>
      <c r="AZ31" s="78"/>
      <c r="BA31" s="46" t="s">
        <v>72</v>
      </c>
      <c r="BB31" s="84">
        <v>0.28796127038406089</v>
      </c>
      <c r="BH31" s="49"/>
      <c r="CL31" s="104"/>
      <c r="CP31" s="84"/>
      <c r="CQ31" s="84"/>
    </row>
    <row r="32" spans="1:112" ht="15.6" x14ac:dyDescent="0.3">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202" ht="15.6" x14ac:dyDescent="0.3">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202" ht="15.6" x14ac:dyDescent="0.3">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202" ht="15.6" x14ac:dyDescent="0.3">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202" ht="15.6" x14ac:dyDescent="0.3">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202" ht="15.6" x14ac:dyDescent="0.3">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202" ht="15.6" x14ac:dyDescent="0.3">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202" ht="15.6" x14ac:dyDescent="0.3">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202" ht="15.6" x14ac:dyDescent="0.3">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202" ht="15.6" x14ac:dyDescent="0.3">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202" x14ac:dyDescent="0.25">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c r="GR42" s="75" t="s">
        <v>270</v>
      </c>
    </row>
    <row r="43" spans="1:202" x14ac:dyDescent="0.25">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c r="GR43" s="75" t="s">
        <v>271</v>
      </c>
      <c r="GS43" s="75" t="s">
        <v>272</v>
      </c>
      <c r="GT43" s="75" t="s">
        <v>273</v>
      </c>
    </row>
    <row r="44" spans="1:202" x14ac:dyDescent="0.25">
      <c r="C44" s="75">
        <f>12*B40*(B38^2)</f>
        <v>36.219617279999994</v>
      </c>
      <c r="J44" s="104">
        <f t="shared" si="68"/>
        <v>36.94651657149096</v>
      </c>
      <c r="M44" s="75">
        <f t="shared" si="69"/>
        <v>1.0189002046958262</v>
      </c>
      <c r="N44" s="84">
        <f t="shared" si="70"/>
        <v>2.2295975212398948E-3</v>
      </c>
      <c r="O44" s="84">
        <f t="shared" si="67"/>
        <v>-1.8996752731633343E-2</v>
      </c>
      <c r="BX44" s="104"/>
      <c r="CB44" s="84"/>
      <c r="CC44" s="84"/>
      <c r="GR44" s="75" t="s">
        <v>274</v>
      </c>
      <c r="GS44" s="75">
        <v>239.89360443550623</v>
      </c>
      <c r="GT44" s="75">
        <v>0.81248107342001863</v>
      </c>
    </row>
    <row r="45" spans="1:202" x14ac:dyDescent="0.25">
      <c r="A45" s="75" t="s">
        <v>100</v>
      </c>
      <c r="B45" s="75">
        <v>3</v>
      </c>
      <c r="J45" s="104">
        <f t="shared" si="68"/>
        <v>36.965151051063948</v>
      </c>
      <c r="M45" s="75">
        <f t="shared" si="69"/>
        <v>1.0193550159920406</v>
      </c>
      <c r="N45" s="84">
        <f t="shared" si="70"/>
        <v>2.2844495626877436E-3</v>
      </c>
      <c r="O45" s="84">
        <f t="shared" si="67"/>
        <v>-1.8977604676523731E-2</v>
      </c>
      <c r="BX45" s="104"/>
      <c r="CB45" s="84"/>
      <c r="CC45" s="84"/>
      <c r="GR45" s="75" t="s">
        <v>275</v>
      </c>
      <c r="GS45" s="75">
        <v>122.04281473687176</v>
      </c>
      <c r="GT45" s="75">
        <v>0.81577774700774097</v>
      </c>
    </row>
    <row r="46" spans="1:202" x14ac:dyDescent="0.25">
      <c r="A46" s="75" t="s">
        <v>101</v>
      </c>
      <c r="B46" s="75">
        <v>1</v>
      </c>
      <c r="J46" s="104">
        <f t="shared" si="68"/>
        <v>36.978353877966789</v>
      </c>
      <c r="M46" s="75">
        <f t="shared" si="69"/>
        <v>1.0196763890770968</v>
      </c>
      <c r="N46" s="84">
        <f t="shared" si="70"/>
        <v>2.3232455173594932E-3</v>
      </c>
      <c r="O46" s="84">
        <f t="shared" si="67"/>
        <v>-1.8964055490395735E-2</v>
      </c>
      <c r="BX46" s="104"/>
      <c r="CB46" s="84"/>
      <c r="CC46" s="84"/>
      <c r="GR46" s="75" t="s">
        <v>276</v>
      </c>
      <c r="GS46" s="75">
        <v>46.22189018700152</v>
      </c>
      <c r="GT46" s="75">
        <v>0.82594195601073561</v>
      </c>
    </row>
    <row r="47" spans="1:202" x14ac:dyDescent="0.25">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c r="GR47" s="75" t="s">
        <v>63</v>
      </c>
      <c r="GS47" s="75">
        <v>5.3841194752639439</v>
      </c>
      <c r="GT47" s="75">
        <v>0.11023560432032813</v>
      </c>
    </row>
    <row r="48" spans="1:202" x14ac:dyDescent="0.25">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c r="GR48" s="75" t="s">
        <v>67</v>
      </c>
      <c r="GS48" s="75">
        <v>3.0296303208207349</v>
      </c>
      <c r="GT48" s="75">
        <v>0.1124309011629735</v>
      </c>
    </row>
    <row r="49" spans="1:205" x14ac:dyDescent="0.25">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c r="GR49" s="75" t="s">
        <v>72</v>
      </c>
      <c r="GS49" s="75">
        <v>0.29107398760433834</v>
      </c>
      <c r="GT49" s="75">
        <v>0.10593939510167158</v>
      </c>
    </row>
    <row r="50" spans="1:205" x14ac:dyDescent="0.25">
      <c r="J50" s="104">
        <f t="shared" si="68"/>
        <v>37.058845992809431</v>
      </c>
      <c r="M50" s="75">
        <f t="shared" si="69"/>
        <v>1.021620172250876</v>
      </c>
      <c r="N50" s="84">
        <f t="shared" si="70"/>
        <v>2.5585609955769235E-3</v>
      </c>
      <c r="O50" s="84">
        <f t="shared" si="67"/>
        <v>-1.8881764790125349E-2</v>
      </c>
      <c r="BX50" s="104"/>
      <c r="CB50" s="84"/>
      <c r="CC50" s="84"/>
      <c r="GR50" s="75" t="s">
        <v>277</v>
      </c>
      <c r="GS50" s="75">
        <v>0.63838843638190179</v>
      </c>
    </row>
    <row r="51" spans="1:205" x14ac:dyDescent="0.25">
      <c r="B51" s="75" t="s">
        <v>103</v>
      </c>
      <c r="J51" s="104"/>
      <c r="AS51" s="75" t="s">
        <v>62</v>
      </c>
      <c r="AT51" s="75">
        <v>246.36868691540607</v>
      </c>
      <c r="AU51" s="75" t="s">
        <v>63</v>
      </c>
      <c r="AV51" s="75">
        <v>5.434181546630243</v>
      </c>
      <c r="GR51" s="75" t="s">
        <v>278</v>
      </c>
      <c r="GS51" s="75">
        <v>0.74251967501499228</v>
      </c>
    </row>
    <row r="52" spans="1:205" x14ac:dyDescent="0.25">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c r="GR52" s="75" t="s">
        <v>279</v>
      </c>
      <c r="GS52" s="75">
        <v>38</v>
      </c>
    </row>
    <row r="53" spans="1:205" x14ac:dyDescent="0.25">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c r="GR53" s="75" t="s">
        <v>280</v>
      </c>
      <c r="GS53" s="75">
        <v>44</v>
      </c>
    </row>
    <row r="54" spans="1:205" x14ac:dyDescent="0.25">
      <c r="D54" s="75" t="s">
        <v>91</v>
      </c>
      <c r="E54" s="75">
        <v>120</v>
      </c>
      <c r="F54" s="75">
        <v>5.9509029363680046</v>
      </c>
      <c r="G54" s="75">
        <v>0.20400265522410566</v>
      </c>
      <c r="H54" s="75">
        <v>1.9882247380219502E-3</v>
      </c>
      <c r="I54" s="75">
        <v>-1.2665075522852213E-2</v>
      </c>
      <c r="J54" s="75">
        <v>0.2020144304860837</v>
      </c>
      <c r="GR54" s="75" t="s">
        <v>281</v>
      </c>
      <c r="GS54" s="75">
        <v>0.59768087144198045</v>
      </c>
    </row>
    <row r="55" spans="1:205" x14ac:dyDescent="0.25">
      <c r="D55" s="75" t="s">
        <v>94</v>
      </c>
      <c r="E55" s="75">
        <v>120</v>
      </c>
      <c r="F55" s="75">
        <v>2.9407578825736391</v>
      </c>
      <c r="G55" s="75">
        <v>0.41281875233385534</v>
      </c>
      <c r="H55" s="75">
        <v>-4.6133080851788809E-4</v>
      </c>
      <c r="I55" s="75">
        <v>-1.249999999999964E-2</v>
      </c>
      <c r="J55" s="75">
        <v>0.41328008314237324</v>
      </c>
      <c r="GR55" s="75" t="s">
        <v>282</v>
      </c>
      <c r="GS55" s="75">
        <v>0.54927643161085149</v>
      </c>
    </row>
    <row r="56" spans="1:205" x14ac:dyDescent="0.25">
      <c r="D56" s="75" t="s">
        <v>71</v>
      </c>
      <c r="E56" s="75">
        <v>43</v>
      </c>
      <c r="F56" s="75">
        <v>2.6572081846587419</v>
      </c>
      <c r="G56" s="75">
        <v>0.53590080303884069</v>
      </c>
      <c r="H56" s="75">
        <v>-3.5202667063622783E-4</v>
      </c>
      <c r="I56" s="75">
        <v>-1.2499999999998837E-2</v>
      </c>
      <c r="J56" s="75">
        <v>0.53625282970947696</v>
      </c>
      <c r="GR56" s="75" t="s">
        <v>283</v>
      </c>
      <c r="GS56" s="75">
        <v>0.61891752628734398</v>
      </c>
    </row>
    <row r="57" spans="1:205" x14ac:dyDescent="0.25">
      <c r="GR57" s="75" t="s">
        <v>284</v>
      </c>
      <c r="GS57" s="75">
        <v>0.58227235702016533</v>
      </c>
    </row>
    <row r="59" spans="1:205" x14ac:dyDescent="0.25">
      <c r="GR59" s="75" t="s">
        <v>285</v>
      </c>
    </row>
    <row r="60" spans="1:205" x14ac:dyDescent="0.25">
      <c r="GR60" s="75">
        <v>0.66012549466574566</v>
      </c>
      <c r="GS60" s="75">
        <v>-2.6774251982260484E-2</v>
      </c>
      <c r="GT60" s="75">
        <v>-3.4231627023077553E-3</v>
      </c>
      <c r="GU60" s="75">
        <v>-8.5483285091027109E-2</v>
      </c>
      <c r="GV60" s="75">
        <v>3.7930473485218384E-4</v>
      </c>
      <c r="GW60" s="75">
        <v>7.5098602395826445E-4</v>
      </c>
    </row>
    <row r="61" spans="1:205" x14ac:dyDescent="0.25">
      <c r="GR61" s="75">
        <v>-2.6774251982260334E-2</v>
      </c>
      <c r="GS61" s="75">
        <v>0.66549333251302589</v>
      </c>
      <c r="GT61" s="75">
        <v>-7.3942618099591788E-3</v>
      </c>
      <c r="GU61" s="75">
        <v>-6.6895063741411491E-3</v>
      </c>
      <c r="GV61" s="75">
        <v>-8.8189155524338175E-2</v>
      </c>
      <c r="GW61" s="75">
        <v>1.6258097364411723E-3</v>
      </c>
    </row>
    <row r="62" spans="1:205" x14ac:dyDescent="0.25">
      <c r="GR62" s="75">
        <v>-3.4231627023077614E-3</v>
      </c>
      <c r="GS62" s="75">
        <v>-7.3942618099591805E-3</v>
      </c>
      <c r="GT62" s="75">
        <v>0.68218011469883999</v>
      </c>
      <c r="GU62" s="75">
        <v>5.8977653190740145E-4</v>
      </c>
      <c r="GV62" s="75">
        <v>1.0669583516278464E-3</v>
      </c>
      <c r="GW62" s="75">
        <v>-8.3637740772046137E-2</v>
      </c>
    </row>
    <row r="63" spans="1:205" x14ac:dyDescent="0.25">
      <c r="GR63" s="75">
        <v>-8.5483285091027109E-2</v>
      </c>
      <c r="GS63" s="75">
        <v>-6.6895063741411308E-3</v>
      </c>
      <c r="GT63" s="75">
        <v>5.8977653190740091E-4</v>
      </c>
      <c r="GU63" s="75">
        <v>1.2151888459867945E-2</v>
      </c>
      <c r="GV63" s="75">
        <v>1.2492335852745606E-3</v>
      </c>
      <c r="GW63" s="75">
        <v>-1.327822440898166E-4</v>
      </c>
    </row>
    <row r="64" spans="1:205" x14ac:dyDescent="0.25">
      <c r="GR64" s="75">
        <v>3.7930473485216405E-4</v>
      </c>
      <c r="GS64" s="75">
        <v>-8.8189155524338175E-2</v>
      </c>
      <c r="GT64" s="75">
        <v>1.0669583516278466E-3</v>
      </c>
      <c r="GU64" s="75">
        <v>1.249233585274563E-3</v>
      </c>
      <c r="GV64" s="75">
        <v>1.2640707536318314E-2</v>
      </c>
      <c r="GW64" s="75">
        <v>-2.4192999298990739E-4</v>
      </c>
    </row>
    <row r="65" spans="200:205" x14ac:dyDescent="0.25">
      <c r="GR65" s="75">
        <v>7.5098602395826542E-4</v>
      </c>
      <c r="GS65" s="75">
        <v>1.6258097364411726E-3</v>
      </c>
      <c r="GT65" s="75">
        <v>-8.3637740772046151E-2</v>
      </c>
      <c r="GU65" s="75">
        <v>-1.3278224408981674E-4</v>
      </c>
      <c r="GV65" s="75">
        <v>-2.4192999298990739E-4</v>
      </c>
      <c r="GW65" s="75">
        <v>1.1223155434508076E-2</v>
      </c>
    </row>
    <row r="67" spans="200:205" x14ac:dyDescent="0.25">
      <c r="GR67" s="75" t="s">
        <v>286</v>
      </c>
    </row>
    <row r="68" spans="200:205" x14ac:dyDescent="0.25">
      <c r="GR68" s="75" t="s">
        <v>287</v>
      </c>
    </row>
    <row r="69" spans="200:205" x14ac:dyDescent="0.25">
      <c r="GR69" s="75" t="s">
        <v>271</v>
      </c>
      <c r="GS69" s="75" t="s">
        <v>272</v>
      </c>
      <c r="GT69" s="75" t="s">
        <v>273</v>
      </c>
    </row>
    <row r="70" spans="200:205" x14ac:dyDescent="0.25">
      <c r="GR70" s="75" t="s">
        <v>274</v>
      </c>
      <c r="GS70" s="75">
        <v>239.78290701724933</v>
      </c>
      <c r="GT70" s="75">
        <v>0.76995052793789365</v>
      </c>
    </row>
    <row r="71" spans="200:205" x14ac:dyDescent="0.25">
      <c r="GR71" s="75" t="s">
        <v>275</v>
      </c>
      <c r="GS71" s="75">
        <v>121.97066542379288</v>
      </c>
      <c r="GT71" s="75">
        <v>0.77301328969885896</v>
      </c>
    </row>
    <row r="72" spans="200:205" x14ac:dyDescent="0.25">
      <c r="GR72" s="75" t="s">
        <v>276</v>
      </c>
      <c r="GS72" s="75">
        <v>46.246437417401147</v>
      </c>
      <c r="GT72" s="75">
        <v>0.78241170888709477</v>
      </c>
    </row>
    <row r="73" spans="200:205" x14ac:dyDescent="0.25">
      <c r="GR73" s="75" t="s">
        <v>63</v>
      </c>
      <c r="GS73" s="75">
        <v>5.4749199686360432</v>
      </c>
      <c r="GT73" s="75">
        <v>0.1064566993723004</v>
      </c>
    </row>
    <row r="74" spans="200:205" x14ac:dyDescent="0.25">
      <c r="GR74" s="75" t="s">
        <v>67</v>
      </c>
      <c r="GS74" s="75">
        <v>3.0858842985722479</v>
      </c>
      <c r="GT74" s="75">
        <v>0.10855127943414959</v>
      </c>
    </row>
    <row r="75" spans="200:205" x14ac:dyDescent="0.25">
      <c r="GR75" s="75" t="s">
        <v>72</v>
      </c>
      <c r="GS75" s="75">
        <v>0.28796127038406089</v>
      </c>
      <c r="GT75" s="75">
        <v>0.10220952564273091</v>
      </c>
    </row>
    <row r="76" spans="200:205" x14ac:dyDescent="0.25">
      <c r="GR76" s="75" t="s">
        <v>277</v>
      </c>
      <c r="GS76" s="75">
        <v>0.56964304099290042</v>
      </c>
    </row>
    <row r="77" spans="200:205" x14ac:dyDescent="0.25">
      <c r="GR77" s="75" t="s">
        <v>278</v>
      </c>
      <c r="GS77" s="75">
        <v>0.70140177109404889</v>
      </c>
    </row>
    <row r="78" spans="200:205" x14ac:dyDescent="0.25">
      <c r="GR78" s="75" t="s">
        <v>279</v>
      </c>
      <c r="GS78" s="75">
        <v>38</v>
      </c>
    </row>
    <row r="79" spans="200:205" x14ac:dyDescent="0.25">
      <c r="GR79" s="75" t="s">
        <v>280</v>
      </c>
      <c r="GS79" s="75">
        <v>44</v>
      </c>
    </row>
    <row r="80" spans="200:205" x14ac:dyDescent="0.25">
      <c r="GR80" s="75" t="s">
        <v>281</v>
      </c>
      <c r="GS80" s="75">
        <v>0.56658340090738912</v>
      </c>
    </row>
    <row r="81" spans="13:205" x14ac:dyDescent="0.25">
      <c r="GR81" s="75" t="s">
        <v>282</v>
      </c>
      <c r="GS81" s="75">
        <v>0.52029510784229338</v>
      </c>
    </row>
    <row r="82" spans="13:205" x14ac:dyDescent="0.25">
      <c r="GR82" s="75" t="s">
        <v>283</v>
      </c>
      <c r="GS82" s="75">
        <v>0.5860108738560752</v>
      </c>
    </row>
    <row r="83" spans="13:205" x14ac:dyDescent="0.25">
      <c r="GR83" s="75" t="s">
        <v>284</v>
      </c>
      <c r="GS83" s="75">
        <v>0.55143511174877802</v>
      </c>
    </row>
    <row r="85" spans="13:205" x14ac:dyDescent="0.25">
      <c r="GR85" s="75" t="s">
        <v>285</v>
      </c>
    </row>
    <row r="86" spans="13:205" x14ac:dyDescent="0.25">
      <c r="GR86" s="75">
        <v>0.59282381547184115</v>
      </c>
      <c r="GS86" s="75">
        <v>-2.3467812005499779E-2</v>
      </c>
      <c r="GT86" s="75">
        <v>-3.0066313967621878E-3</v>
      </c>
      <c r="GU86" s="75">
        <v>-7.8248412616777924E-2</v>
      </c>
      <c r="GV86" s="75">
        <v>2.5076698561589731E-4</v>
      </c>
      <c r="GW86" s="75">
        <v>6.766048338966242E-4</v>
      </c>
    </row>
    <row r="87" spans="13:205" x14ac:dyDescent="0.25">
      <c r="GR87" s="75">
        <v>-2.3467812005499928E-2</v>
      </c>
      <c r="GS87" s="75">
        <v>0.59754954605105204</v>
      </c>
      <c r="GT87" s="75">
        <v>-6.4821740216092901E-3</v>
      </c>
      <c r="GU87" s="75">
        <v>-6.257379170430526E-3</v>
      </c>
      <c r="GV87" s="75">
        <v>-8.0704616442467902E-2</v>
      </c>
      <c r="GW87" s="75">
        <v>1.4618762298435994E-3</v>
      </c>
    </row>
    <row r="88" spans="13:205" x14ac:dyDescent="0.25">
      <c r="GR88" s="75">
        <v>-3.0066313967621865E-3</v>
      </c>
      <c r="GS88" s="75">
        <v>-6.4821740216092945E-3</v>
      </c>
      <c r="GT88" s="75">
        <v>0.61216808220362395</v>
      </c>
      <c r="GU88" s="75">
        <v>5.2828925720709073E-4</v>
      </c>
      <c r="GV88" s="75">
        <v>9.5314084822693563E-4</v>
      </c>
      <c r="GW88" s="75">
        <v>-7.646217948585439E-2</v>
      </c>
    </row>
    <row r="89" spans="13:205" x14ac:dyDescent="0.25">
      <c r="GR89" s="75">
        <v>-7.8248412616777951E-2</v>
      </c>
      <c r="GS89" s="75">
        <v>-6.2573791704305486E-3</v>
      </c>
      <c r="GT89" s="75">
        <v>5.2828925720709084E-4</v>
      </c>
      <c r="GU89" s="75">
        <v>1.1333028841244343E-2</v>
      </c>
      <c r="GV89" s="75">
        <v>1.1870515672599419E-3</v>
      </c>
      <c r="GW89" s="75">
        <v>-1.2195293538987118E-4</v>
      </c>
    </row>
    <row r="90" spans="13:205" x14ac:dyDescent="0.25">
      <c r="GR90" s="75">
        <v>2.5076698561591709E-4</v>
      </c>
      <c r="GS90" s="75">
        <v>-8.0704616442467916E-2</v>
      </c>
      <c r="GT90" s="75">
        <v>9.5314084822693498E-4</v>
      </c>
      <c r="GU90" s="75">
        <v>1.1870515672599391E-3</v>
      </c>
      <c r="GV90" s="75">
        <v>1.1783380266790827E-2</v>
      </c>
      <c r="GW90" s="75">
        <v>-2.2157360875630407E-4</v>
      </c>
    </row>
    <row r="91" spans="13:205" x14ac:dyDescent="0.25">
      <c r="GR91" s="75">
        <v>6.7660483389662409E-4</v>
      </c>
      <c r="GS91" s="75">
        <v>1.4618762298436003E-3</v>
      </c>
      <c r="GT91" s="75">
        <v>-7.6462179485854403E-2</v>
      </c>
      <c r="GU91" s="75">
        <v>-1.2195293538987118E-4</v>
      </c>
      <c r="GV91" s="75">
        <v>-2.2157360875630416E-4</v>
      </c>
      <c r="GW91" s="75">
        <v>1.0446787132112067E-2</v>
      </c>
    </row>
    <row r="92" spans="13:205" x14ac:dyDescent="0.25">
      <c r="M92" s="75" t="s">
        <v>108</v>
      </c>
      <c r="N92" s="75" t="s">
        <v>109</v>
      </c>
      <c r="O92" s="75" t="s">
        <v>62</v>
      </c>
      <c r="P92" s="75" t="s">
        <v>71</v>
      </c>
      <c r="Q92" s="75" t="s">
        <v>66</v>
      </c>
      <c r="R92" s="75" t="s">
        <v>53</v>
      </c>
      <c r="S92" s="75" t="s">
        <v>54</v>
      </c>
      <c r="T92" s="75" t="s">
        <v>55</v>
      </c>
      <c r="U92" s="75" t="s">
        <v>36</v>
      </c>
    </row>
    <row r="93" spans="13:205" x14ac:dyDescent="0.25">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5">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5">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5">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5">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5">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5">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5">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5">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5">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5">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5">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5">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5">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5">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5">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5">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5">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5">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5">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GW112"/>
  <sheetViews>
    <sheetView zoomScale="92" zoomScaleNormal="100" workbookViewId="0">
      <pane xSplit="1" topLeftCell="BE1" activePane="topRight" state="frozen"/>
      <selection activeCell="BA26" sqref="BA26"/>
      <selection pane="topRight" activeCell="CA31" sqref="CA31"/>
    </sheetView>
  </sheetViews>
  <sheetFormatPr defaultColWidth="9.109375" defaultRowHeight="15" x14ac:dyDescent="0.25"/>
  <cols>
    <col min="1" max="1" width="12.6640625" style="75" customWidth="1"/>
    <col min="2" max="2" width="16.6640625" style="75" bestFit="1" customWidth="1"/>
    <col min="3" max="4" width="33.88671875" style="75" bestFit="1" customWidth="1"/>
    <col min="5" max="5" width="16.44140625" style="75" bestFit="1" customWidth="1"/>
    <col min="6" max="6" width="17" style="75" bestFit="1" customWidth="1"/>
    <col min="7" max="7" width="23.5546875" style="75" customWidth="1"/>
    <col min="8" max="8" width="22.109375" style="75" bestFit="1" customWidth="1"/>
    <col min="9" max="9" width="19.109375" style="75" bestFit="1" customWidth="1"/>
    <col min="10" max="10" width="25.44140625" style="75" bestFit="1" customWidth="1"/>
    <col min="11" max="11" width="11.88671875" style="75" bestFit="1" customWidth="1"/>
    <col min="12" max="12" width="14.44140625" style="75" bestFit="1" customWidth="1"/>
    <col min="13" max="13" width="17.109375" style="75" bestFit="1" customWidth="1"/>
    <col min="14" max="14" width="15.5546875" style="75" hidden="1" customWidth="1"/>
    <col min="15" max="15" width="12.109375" style="75" hidden="1" customWidth="1"/>
    <col min="16" max="16" width="14.33203125" style="75" hidden="1" customWidth="1"/>
    <col min="17" max="21" width="15.5546875" style="75" hidden="1" customWidth="1"/>
    <col min="22" max="22" width="9.33203125" style="75" bestFit="1" customWidth="1"/>
    <col min="23" max="23" width="9.33203125" style="75" hidden="1" customWidth="1"/>
    <col min="24" max="24" width="10.5546875" style="75" hidden="1" customWidth="1"/>
    <col min="25" max="28" width="12.44140625" style="75" hidden="1" customWidth="1"/>
    <col min="29" max="31" width="9.33203125" style="75" bestFit="1" customWidth="1"/>
    <col min="32" max="32" width="11.88671875" style="75" hidden="1" customWidth="1"/>
    <col min="33" max="33" width="13.5546875" style="75" hidden="1" customWidth="1"/>
    <col min="34" max="34" width="15.109375" style="75" bestFit="1" customWidth="1"/>
    <col min="35" max="35" width="15" style="75" bestFit="1" customWidth="1"/>
    <col min="36" max="36" width="21.6640625" style="75" customWidth="1"/>
    <col min="37" max="37" width="17.33203125" style="75" customWidth="1"/>
    <col min="38" max="38" width="18.33203125" style="75" customWidth="1"/>
    <col min="39" max="39" width="9.109375" style="75"/>
    <col min="40" max="40" width="13.109375" style="75" bestFit="1" customWidth="1"/>
    <col min="41" max="41" width="23.109375" style="75" bestFit="1" customWidth="1"/>
    <col min="42" max="42" width="21.88671875" style="75" bestFit="1" customWidth="1"/>
    <col min="43" max="43" width="19.109375" style="75" bestFit="1" customWidth="1"/>
    <col min="44" max="44" width="14" style="75" bestFit="1" customWidth="1"/>
    <col min="45" max="45" width="13.109375" style="75" bestFit="1" customWidth="1"/>
    <col min="46" max="46" width="15.5546875" style="75" customWidth="1"/>
    <col min="47" max="47" width="12.109375" style="75" customWidth="1"/>
    <col min="48" max="48" width="11.88671875" style="75" customWidth="1"/>
    <col min="49" max="49" width="12.5546875" style="75" customWidth="1"/>
    <col min="50" max="50" width="16.33203125" style="75" bestFit="1" customWidth="1"/>
    <col min="51" max="59" width="16.33203125" style="75" customWidth="1"/>
    <col min="60" max="60" width="11.109375" style="75" bestFit="1" customWidth="1"/>
    <col min="61" max="61" width="10.88671875" style="75" bestFit="1" customWidth="1"/>
    <col min="62" max="62" width="13.88671875" style="75" bestFit="1" customWidth="1"/>
    <col min="63" max="63" width="10.88671875" style="75" bestFit="1" customWidth="1"/>
    <col min="64" max="64" width="9.33203125" style="75" bestFit="1" customWidth="1"/>
    <col min="65" max="65" width="11.109375" style="75" bestFit="1" customWidth="1"/>
    <col min="66" max="66" width="11.109375" style="75" customWidth="1"/>
    <col min="67" max="78" width="9.33203125" style="75" bestFit="1" customWidth="1"/>
    <col min="79" max="79" width="12.109375" style="75" bestFit="1" customWidth="1"/>
    <col min="80" max="80" width="12.33203125" style="75" bestFit="1" customWidth="1"/>
    <col min="81" max="81" width="20.6640625" style="75" bestFit="1" customWidth="1"/>
    <col min="82" max="82" width="9.109375" style="75"/>
    <col min="83" max="83" width="5.5546875" style="75" customWidth="1"/>
    <col min="84" max="84" width="5.6640625" style="75" customWidth="1"/>
    <col min="85" max="85" width="4.6640625" style="75" customWidth="1"/>
    <col min="86" max="86" width="13.88671875" style="75" bestFit="1" customWidth="1"/>
    <col min="87" max="92" width="9.109375" style="75"/>
    <col min="93" max="93" width="15.44140625" style="75" bestFit="1" customWidth="1"/>
    <col min="94" max="94" width="16" style="75" bestFit="1" customWidth="1"/>
    <col min="95" max="95" width="12.6640625" style="75" bestFit="1" customWidth="1"/>
    <col min="96" max="96" width="12.6640625" style="75" customWidth="1"/>
    <col min="97" max="100" width="9.109375" style="75"/>
    <col min="101" max="101" width="16.6640625" style="75" bestFit="1" customWidth="1"/>
    <col min="102" max="16384" width="9.109375" style="75"/>
  </cols>
  <sheetData>
    <row r="1" spans="1:142" ht="15.6" x14ac:dyDescent="0.3">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5">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5">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5">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5">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5">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5">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5">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5">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5">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5">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5">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5">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5">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5">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5">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5">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5">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5">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5">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5">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5">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5">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5">
      <c r="BA24" s="91"/>
      <c r="BB24" s="78"/>
    </row>
    <row r="25" spans="1:115" x14ac:dyDescent="0.25">
      <c r="E25" s="75">
        <f>0.2/E5*100</f>
        <v>8.0109925013465677</v>
      </c>
      <c r="F25" s="75">
        <f>0.0002/F23*100</f>
        <v>0.10012730182367656</v>
      </c>
      <c r="M25" s="75">
        <f>0.001/0.704*100</f>
        <v>0.14204545454545456</v>
      </c>
      <c r="V25" s="75">
        <f>0.04/6.09*100</f>
        <v>0.65681444991789828</v>
      </c>
      <c r="BA25" s="91"/>
      <c r="BB25" s="78"/>
    </row>
    <row r="26" spans="1:115" x14ac:dyDescent="0.25">
      <c r="AG26" s="75" t="s">
        <v>65</v>
      </c>
      <c r="AY26" s="162" t="s">
        <v>201</v>
      </c>
      <c r="AZ26" s="162"/>
      <c r="BA26" s="91"/>
      <c r="BB26" s="78"/>
      <c r="BC26" s="163" t="s">
        <v>202</v>
      </c>
      <c r="BD26" s="163"/>
    </row>
    <row r="27" spans="1:115" ht="15.6" x14ac:dyDescent="0.3">
      <c r="B27" s="5" t="s">
        <v>69</v>
      </c>
      <c r="AG27" s="75" t="s">
        <v>70</v>
      </c>
      <c r="AY27" s="46" t="s">
        <v>62</v>
      </c>
      <c r="AZ27" s="84">
        <v>239.89360443550623</v>
      </c>
      <c r="BA27" s="91"/>
      <c r="BB27" s="78"/>
      <c r="BC27" s="46" t="s">
        <v>62</v>
      </c>
      <c r="BD27" s="84">
        <v>239.78290701724933</v>
      </c>
      <c r="BN27" s="85"/>
      <c r="BO27" s="85"/>
      <c r="BP27" s="85"/>
      <c r="BQ27" s="85"/>
      <c r="BR27" s="85"/>
      <c r="BS27" s="85"/>
      <c r="BT27" s="85"/>
      <c r="BU27" s="85"/>
    </row>
    <row r="28" spans="1:115" ht="15.6" x14ac:dyDescent="0.3">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v>122.04281473687176</v>
      </c>
      <c r="BA28" s="91"/>
      <c r="BB28" s="78"/>
      <c r="BC28" s="46" t="s">
        <v>66</v>
      </c>
      <c r="BD28" s="84">
        <v>121.97066542379288</v>
      </c>
      <c r="BJ28" s="46"/>
    </row>
    <row r="29" spans="1:115" ht="15.6" x14ac:dyDescent="0.3">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v>46.22189018700152</v>
      </c>
      <c r="BA29" s="91"/>
      <c r="BB29" s="78"/>
      <c r="BC29" s="46" t="s">
        <v>71</v>
      </c>
      <c r="BD29" s="84">
        <v>46.246437417401147</v>
      </c>
      <c r="BM29" s="47"/>
      <c r="BN29" s="47"/>
      <c r="BO29" s="47"/>
      <c r="BP29" s="47"/>
      <c r="BQ29" s="47"/>
      <c r="BR29" s="47"/>
      <c r="BS29" s="47"/>
      <c r="BT29" s="47"/>
      <c r="BU29" s="47"/>
      <c r="CO29" s="104"/>
      <c r="CS29" s="84"/>
      <c r="CT29" s="84"/>
    </row>
    <row r="30" spans="1:115" ht="15.6" x14ac:dyDescent="0.3">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v>5.3841194752639439</v>
      </c>
      <c r="BA30" s="91"/>
      <c r="BB30" s="78"/>
      <c r="BC30" s="46" t="s">
        <v>63</v>
      </c>
      <c r="BD30" s="84">
        <v>5.4749199686360432</v>
      </c>
      <c r="BO30" s="93"/>
      <c r="BP30" s="93"/>
      <c r="BQ30" s="93"/>
      <c r="BR30" s="93"/>
      <c r="BS30" s="93"/>
      <c r="BT30" s="93"/>
      <c r="BU30" s="93"/>
      <c r="CO30" s="104"/>
      <c r="CS30" s="84"/>
      <c r="CT30" s="84"/>
    </row>
    <row r="31" spans="1:115" ht="15.6" x14ac:dyDescent="0.3">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v>3.0296303208207349</v>
      </c>
      <c r="BA31" s="91"/>
      <c r="BB31" s="78"/>
      <c r="BC31" s="46" t="s">
        <v>67</v>
      </c>
      <c r="BD31" s="84">
        <v>3.0858842985722479</v>
      </c>
      <c r="BJ31" s="49"/>
      <c r="CO31" s="104"/>
      <c r="CS31" s="84"/>
      <c r="CT31" s="84"/>
    </row>
    <row r="32" spans="1:115" ht="15.6" x14ac:dyDescent="0.3">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v>0.29107398760433834</v>
      </c>
      <c r="BA32" s="91"/>
      <c r="BB32" s="78"/>
      <c r="BC32" s="46" t="s">
        <v>72</v>
      </c>
      <c r="BD32" s="84">
        <v>0.28796127038406089</v>
      </c>
      <c r="BJ32" s="49"/>
      <c r="BV32" s="47"/>
      <c r="CO32" s="104"/>
      <c r="CS32" s="84"/>
      <c r="CT32" s="84"/>
    </row>
    <row r="33" spans="1:202" ht="15.6" x14ac:dyDescent="0.3">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202" ht="15.6" x14ac:dyDescent="0.3">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202" ht="15.6" x14ac:dyDescent="0.3">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202" ht="15.6" x14ac:dyDescent="0.3">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202" ht="15.6" x14ac:dyDescent="0.3">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202" ht="15.6" x14ac:dyDescent="0.3">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202" ht="15.6" x14ac:dyDescent="0.3">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202" ht="15.6" x14ac:dyDescent="0.3">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202" ht="15.6" x14ac:dyDescent="0.3">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202" ht="15.6" x14ac:dyDescent="0.3">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c r="GR42" s="75" t="s">
        <v>270</v>
      </c>
    </row>
    <row r="43" spans="1:202" x14ac:dyDescent="0.25">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c r="GR43" s="75" t="s">
        <v>271</v>
      </c>
      <c r="GS43" s="75" t="s">
        <v>272</v>
      </c>
      <c r="GT43" s="75" t="s">
        <v>273</v>
      </c>
    </row>
    <row r="44" spans="1:202" x14ac:dyDescent="0.25">
      <c r="C44" s="75">
        <f>12*B40*(B38^2)</f>
        <v>36.219617279999994</v>
      </c>
      <c r="J44" s="104">
        <f t="shared" si="72"/>
        <v>36.955731506658466</v>
      </c>
      <c r="M44" s="75">
        <f t="shared" si="73"/>
        <v>1.0191252928224006</v>
      </c>
      <c r="N44" s="84">
        <f t="shared" si="74"/>
        <v>2.25673637139102E-3</v>
      </c>
      <c r="O44" s="84">
        <f t="shared" si="71"/>
        <v>-1.8987280208006538E-2</v>
      </c>
      <c r="CA44" s="104"/>
      <c r="CE44" s="84"/>
      <c r="CF44" s="84"/>
      <c r="GR44" s="75" t="s">
        <v>274</v>
      </c>
      <c r="GS44" s="75">
        <v>239.89360443550623</v>
      </c>
      <c r="GT44" s="75">
        <v>1.2715398196743646</v>
      </c>
    </row>
    <row r="45" spans="1:202" x14ac:dyDescent="0.25">
      <c r="A45" s="75" t="s">
        <v>100</v>
      </c>
      <c r="B45" s="75">
        <v>3</v>
      </c>
      <c r="J45" s="104">
        <f t="shared" si="72"/>
        <v>36.97445545821823</v>
      </c>
      <c r="M45" s="75">
        <f t="shared" si="73"/>
        <v>1.019581571540408</v>
      </c>
      <c r="N45" s="84">
        <f t="shared" si="74"/>
        <v>2.3117960002289376E-3</v>
      </c>
      <c r="O45" s="84">
        <f t="shared" si="71"/>
        <v>-1.8968054670096161E-2</v>
      </c>
      <c r="CA45" s="104"/>
      <c r="CE45" s="84"/>
      <c r="CF45" s="84"/>
      <c r="GR45" s="75" t="s">
        <v>275</v>
      </c>
      <c r="GS45" s="75">
        <v>122.04281473687176</v>
      </c>
      <c r="GT45" s="75">
        <v>1.2767479507807267</v>
      </c>
    </row>
    <row r="46" spans="1:202" x14ac:dyDescent="0.25">
      <c r="A46" s="75" t="s">
        <v>101</v>
      </c>
      <c r="B46" s="75">
        <v>1</v>
      </c>
      <c r="J46" s="104">
        <f t="shared" si="72"/>
        <v>36.987761072821677</v>
      </c>
      <c r="M46" s="75">
        <f t="shared" si="73"/>
        <v>1.0199049334084935</v>
      </c>
      <c r="N46" s="84">
        <f t="shared" si="74"/>
        <v>2.3508540201281703E-3</v>
      </c>
      <c r="O46" s="84">
        <f t="shared" si="71"/>
        <v>-1.8954410360559573E-2</v>
      </c>
      <c r="CA46" s="104"/>
      <c r="CE46" s="84"/>
      <c r="CF46" s="84"/>
      <c r="GR46" s="75" t="s">
        <v>276</v>
      </c>
      <c r="GS46" s="75">
        <v>46.22189018700152</v>
      </c>
      <c r="GT46" s="75">
        <v>1.2929699498587446</v>
      </c>
    </row>
    <row r="47" spans="1:202" x14ac:dyDescent="0.25">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c r="GR47" s="75" t="s">
        <v>63</v>
      </c>
      <c r="GS47" s="75">
        <v>5.3841194752639439</v>
      </c>
      <c r="GT47" s="75">
        <v>0.16986163892931322</v>
      </c>
    </row>
    <row r="48" spans="1:202" x14ac:dyDescent="0.25">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c r="GR48" s="75" t="s">
        <v>67</v>
      </c>
      <c r="GS48" s="75">
        <v>3.0296303208207349</v>
      </c>
      <c r="GT48" s="75">
        <v>0.17328792204546484</v>
      </c>
    </row>
    <row r="49" spans="1:205" x14ac:dyDescent="0.25">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c r="GR49" s="75" t="s">
        <v>72</v>
      </c>
      <c r="GS49" s="75">
        <v>0.29107398760433834</v>
      </c>
      <c r="GT49" s="75">
        <v>0.16312908228142003</v>
      </c>
    </row>
    <row r="50" spans="1:205" x14ac:dyDescent="0.25">
      <c r="J50" s="104">
        <f t="shared" si="72"/>
        <v>37.069049754694028</v>
      </c>
      <c r="M50" s="75">
        <f t="shared" si="73"/>
        <v>1.0218646879201123</v>
      </c>
      <c r="N50" s="84">
        <f t="shared" si="74"/>
        <v>2.5882437707631352E-3</v>
      </c>
      <c r="O50" s="84">
        <f t="shared" si="71"/>
        <v>-1.8871371293862869E-2</v>
      </c>
      <c r="CA50" s="104"/>
      <c r="CE50" s="84"/>
      <c r="CF50" s="84"/>
      <c r="GR50" s="75" t="s">
        <v>277</v>
      </c>
      <c r="GS50" s="75">
        <v>1.5487461561480704</v>
      </c>
    </row>
    <row r="51" spans="1:205" x14ac:dyDescent="0.25">
      <c r="B51" s="75" t="s">
        <v>103</v>
      </c>
      <c r="J51" s="104"/>
      <c r="AU51" s="75" t="s">
        <v>62</v>
      </c>
      <c r="AV51" s="75">
        <v>246.36868691540607</v>
      </c>
      <c r="AW51" s="75" t="s">
        <v>63</v>
      </c>
      <c r="AX51" s="75">
        <v>5.434181546630243</v>
      </c>
      <c r="GR51" s="75" t="s">
        <v>278</v>
      </c>
      <c r="GS51" s="75">
        <v>1.1565264798055925</v>
      </c>
    </row>
    <row r="52" spans="1:205" x14ac:dyDescent="0.25">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c r="GR52" s="75" t="s">
        <v>279</v>
      </c>
      <c r="GS52" s="75">
        <v>38</v>
      </c>
    </row>
    <row r="53" spans="1:205" x14ac:dyDescent="0.25">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c r="GR53" s="75" t="s">
        <v>280</v>
      </c>
      <c r="GS53" s="75">
        <v>44</v>
      </c>
    </row>
    <row r="54" spans="1:205" x14ac:dyDescent="0.25">
      <c r="D54" s="75" t="s">
        <v>91</v>
      </c>
      <c r="E54" s="75">
        <v>120</v>
      </c>
      <c r="F54" s="75">
        <v>5.9509029363680046</v>
      </c>
      <c r="G54" s="75">
        <v>0.20400265522410566</v>
      </c>
      <c r="H54" s="75">
        <v>1.9882247380219502E-3</v>
      </c>
      <c r="I54" s="75">
        <v>-1.2665075522852213E-2</v>
      </c>
      <c r="J54" s="75">
        <v>0.2020144304860837</v>
      </c>
      <c r="GR54" s="75" t="s">
        <v>281</v>
      </c>
      <c r="GS54" s="75">
        <v>0.93512247767456858</v>
      </c>
    </row>
    <row r="55" spans="1:205" x14ac:dyDescent="0.25">
      <c r="D55" s="75" t="s">
        <v>94</v>
      </c>
      <c r="E55" s="75">
        <v>120</v>
      </c>
      <c r="F55" s="75">
        <v>2.9407578825736391</v>
      </c>
      <c r="G55" s="75">
        <v>0.41281875233385534</v>
      </c>
      <c r="H55" s="75">
        <v>-4.6133080851788809E-4</v>
      </c>
      <c r="I55" s="75">
        <v>-1.249999999999964E-2</v>
      </c>
      <c r="J55" s="75">
        <v>0.41328008314237324</v>
      </c>
      <c r="GR55" s="75" t="s">
        <v>282</v>
      </c>
      <c r="GS55" s="75">
        <v>0.85990263723693316</v>
      </c>
    </row>
    <row r="56" spans="1:205" x14ac:dyDescent="0.25">
      <c r="D56" s="75" t="s">
        <v>71</v>
      </c>
      <c r="E56" s="75">
        <v>43</v>
      </c>
      <c r="F56" s="75">
        <v>2.6572081846587419</v>
      </c>
      <c r="G56" s="75">
        <v>0.53590080303884069</v>
      </c>
      <c r="H56" s="75">
        <v>-3.5202667063622783E-4</v>
      </c>
      <c r="I56" s="75">
        <v>-1.2499999999998837E-2</v>
      </c>
      <c r="J56" s="75">
        <v>0.53625282970947696</v>
      </c>
      <c r="GR56" s="75" t="s">
        <v>283</v>
      </c>
      <c r="GS56" s="75">
        <v>0.96890965298303422</v>
      </c>
    </row>
    <row r="57" spans="1:205" x14ac:dyDescent="0.25">
      <c r="GR57" s="75" t="s">
        <v>284</v>
      </c>
      <c r="GS57" s="75">
        <v>0.91154958781396378</v>
      </c>
    </row>
    <row r="59" spans="1:205" x14ac:dyDescent="0.25">
      <c r="GR59" s="75" t="s">
        <v>285</v>
      </c>
    </row>
    <row r="60" spans="1:205" x14ac:dyDescent="0.25">
      <c r="GR60" s="75">
        <v>1.6168135130175156</v>
      </c>
      <c r="GS60" s="75">
        <v>-6.6767099509660172E-2</v>
      </c>
      <c r="GT60" s="75">
        <v>-8.5186649048557307E-3</v>
      </c>
      <c r="GU60" s="75">
        <v>-0.20619828632952197</v>
      </c>
      <c r="GV60" s="75">
        <v>9.5064185113186812E-4</v>
      </c>
      <c r="GW60" s="75">
        <v>1.8382684904214941E-3</v>
      </c>
    </row>
    <row r="61" spans="1:205" x14ac:dyDescent="0.25">
      <c r="GR61" s="75">
        <v>-6.6767099509659381E-2</v>
      </c>
      <c r="GS61" s="75">
        <v>1.6300853298227851</v>
      </c>
      <c r="GT61" s="75">
        <v>-1.8425160767635656E-2</v>
      </c>
      <c r="GU61" s="75">
        <v>-1.6360396052220037E-2</v>
      </c>
      <c r="GV61" s="75">
        <v>-0.21282817684268412</v>
      </c>
      <c r="GW61" s="75">
        <v>3.9849256583605599E-3</v>
      </c>
    </row>
    <row r="62" spans="1:205" x14ac:dyDescent="0.25">
      <c r="GR62" s="75">
        <v>-8.5186649048557533E-3</v>
      </c>
      <c r="GS62" s="75">
        <v>-1.8425160767635732E-2</v>
      </c>
      <c r="GT62" s="75">
        <v>1.6717712912377243</v>
      </c>
      <c r="GU62" s="75">
        <v>1.4491546410315172E-3</v>
      </c>
      <c r="GV62" s="75">
        <v>2.6176971285756696E-3</v>
      </c>
      <c r="GW62" s="75">
        <v>-0.20170265264238879</v>
      </c>
    </row>
    <row r="63" spans="1:205" x14ac:dyDescent="0.25">
      <c r="GR63" s="75">
        <v>-0.20619828632952203</v>
      </c>
      <c r="GS63" s="75">
        <v>-1.6360396052219939E-2</v>
      </c>
      <c r="GT63" s="75">
        <v>1.4491546410315133E-3</v>
      </c>
      <c r="GU63" s="75">
        <v>2.8852976379752374E-2</v>
      </c>
      <c r="GV63" s="75">
        <v>3.0136513953513068E-3</v>
      </c>
      <c r="GW63" s="75">
        <v>-3.2078208043519462E-4</v>
      </c>
    </row>
    <row r="64" spans="1:205" x14ac:dyDescent="0.25">
      <c r="GR64" s="75">
        <v>9.50641851131761E-4</v>
      </c>
      <c r="GS64" s="75">
        <v>-0.2128281768426841</v>
      </c>
      <c r="GT64" s="75">
        <v>2.6176971285756579E-3</v>
      </c>
      <c r="GU64" s="75">
        <v>3.0136513953513198E-3</v>
      </c>
      <c r="GV64" s="75">
        <v>3.0028703926835095E-2</v>
      </c>
      <c r="GW64" s="75">
        <v>-5.835792425311078E-4</v>
      </c>
    </row>
    <row r="65" spans="200:205" x14ac:dyDescent="0.25">
      <c r="GR65" s="75">
        <v>1.8382684904214978E-3</v>
      </c>
      <c r="GS65" s="75">
        <v>3.9849256583605686E-3</v>
      </c>
      <c r="GT65" s="75">
        <v>-0.20170265264238879</v>
      </c>
      <c r="GU65" s="75">
        <v>-3.2078208043519516E-4</v>
      </c>
      <c r="GV65" s="75">
        <v>-5.8357924253110921E-4</v>
      </c>
      <c r="GW65" s="75">
        <v>2.6611097485978306E-2</v>
      </c>
    </row>
    <row r="67" spans="200:205" x14ac:dyDescent="0.25">
      <c r="GR67" s="75" t="s">
        <v>286</v>
      </c>
    </row>
    <row r="68" spans="200:205" x14ac:dyDescent="0.25">
      <c r="GR68" s="75" t="s">
        <v>287</v>
      </c>
    </row>
    <row r="69" spans="200:205" x14ac:dyDescent="0.25">
      <c r="GR69" s="75" t="s">
        <v>271</v>
      </c>
      <c r="GS69" s="75" t="s">
        <v>272</v>
      </c>
      <c r="GT69" s="75" t="s">
        <v>273</v>
      </c>
    </row>
    <row r="70" spans="200:205" x14ac:dyDescent="0.25">
      <c r="GR70" s="75" t="s">
        <v>274</v>
      </c>
      <c r="GS70" s="75">
        <v>239.78290701724933</v>
      </c>
      <c r="GT70" s="75">
        <v>1.2368856372101671</v>
      </c>
    </row>
    <row r="71" spans="200:205" x14ac:dyDescent="0.25">
      <c r="GR71" s="75" t="s">
        <v>275</v>
      </c>
      <c r="GS71" s="75">
        <v>121.97066542379288</v>
      </c>
      <c r="GT71" s="75">
        <v>1.2417756667465267</v>
      </c>
    </row>
    <row r="72" spans="200:205" x14ac:dyDescent="0.25">
      <c r="GR72" s="75" t="s">
        <v>276</v>
      </c>
      <c r="GS72" s="75">
        <v>46.246437417401147</v>
      </c>
      <c r="GT72" s="75">
        <v>1.2569764722553509</v>
      </c>
    </row>
    <row r="73" spans="200:205" x14ac:dyDescent="0.25">
      <c r="GR73" s="75" t="s">
        <v>63</v>
      </c>
      <c r="GS73" s="75">
        <v>5.4749199686360432</v>
      </c>
      <c r="GT73" s="75">
        <v>0.16866662031564533</v>
      </c>
    </row>
    <row r="74" spans="200:205" x14ac:dyDescent="0.25">
      <c r="GR74" s="75" t="s">
        <v>67</v>
      </c>
      <c r="GS74" s="75">
        <v>3.0858842985722479</v>
      </c>
      <c r="GT74" s="75">
        <v>0.17200610551727963</v>
      </c>
    </row>
    <row r="75" spans="200:205" x14ac:dyDescent="0.25">
      <c r="GR75" s="75" t="s">
        <v>72</v>
      </c>
      <c r="GS75" s="75">
        <v>0.28796127038406089</v>
      </c>
      <c r="GT75" s="75">
        <v>0.16179058778040492</v>
      </c>
    </row>
    <row r="76" spans="200:205" x14ac:dyDescent="0.25">
      <c r="GR76" s="75" t="s">
        <v>277</v>
      </c>
      <c r="GS76" s="75">
        <v>1.452778630187243</v>
      </c>
    </row>
    <row r="77" spans="200:205" x14ac:dyDescent="0.25">
      <c r="GR77" s="75" t="s">
        <v>278</v>
      </c>
      <c r="GS77" s="75">
        <v>1.1201216243531449</v>
      </c>
    </row>
    <row r="78" spans="200:205" x14ac:dyDescent="0.25">
      <c r="GR78" s="75" t="s">
        <v>279</v>
      </c>
      <c r="GS78" s="75">
        <v>38</v>
      </c>
    </row>
    <row r="79" spans="200:205" x14ac:dyDescent="0.25">
      <c r="GR79" s="75" t="s">
        <v>280</v>
      </c>
      <c r="GS79" s="75">
        <v>44</v>
      </c>
    </row>
    <row r="80" spans="200:205" x14ac:dyDescent="0.25">
      <c r="GR80" s="75" t="s">
        <v>281</v>
      </c>
      <c r="GS80" s="75">
        <v>0.91010685859625295</v>
      </c>
    </row>
    <row r="81" spans="13:205" x14ac:dyDescent="0.25">
      <c r="GR81" s="75" t="s">
        <v>282</v>
      </c>
      <c r="GS81" s="75">
        <v>0.83588076895465413</v>
      </c>
    </row>
    <row r="82" spans="13:205" x14ac:dyDescent="0.25">
      <c r="GR82" s="75" t="s">
        <v>283</v>
      </c>
      <c r="GS82" s="75">
        <v>0.94145423599920919</v>
      </c>
    </row>
    <row r="83" spans="13:205" x14ac:dyDescent="0.25">
      <c r="GR83" s="75" t="s">
        <v>284</v>
      </c>
      <c r="GS83" s="75">
        <v>0.88590764877351535</v>
      </c>
    </row>
    <row r="85" spans="13:205" x14ac:dyDescent="0.25">
      <c r="GR85" s="75" t="s">
        <v>285</v>
      </c>
    </row>
    <row r="86" spans="13:205" x14ac:dyDescent="0.25">
      <c r="GR86" s="75">
        <v>1.5298860795368012</v>
      </c>
      <c r="GS86" s="75">
        <v>-6.081571476411618E-2</v>
      </c>
      <c r="GT86" s="75">
        <v>-7.7810714531963993E-3</v>
      </c>
      <c r="GU86" s="75">
        <v>-0.19923137967040502</v>
      </c>
      <c r="GV86" s="75">
        <v>5.6030201879661817E-4</v>
      </c>
      <c r="GW86" s="75">
        <v>1.7340515798568673E-3</v>
      </c>
    </row>
    <row r="87" spans="13:205" x14ac:dyDescent="0.25">
      <c r="GR87" s="75">
        <v>-6.0815714764116457E-2</v>
      </c>
      <c r="GS87" s="75">
        <v>1.5420068065237811</v>
      </c>
      <c r="GT87" s="75">
        <v>-1.6778324100733297E-2</v>
      </c>
      <c r="GU87" s="75">
        <v>-1.6228944828948204E-2</v>
      </c>
      <c r="GV87" s="75">
        <v>-0.20553905097370037</v>
      </c>
      <c r="GW87" s="75">
        <v>3.7471252180771033E-3</v>
      </c>
    </row>
    <row r="88" spans="13:205" x14ac:dyDescent="0.25">
      <c r="GR88" s="75">
        <v>-7.7810714531963794E-3</v>
      </c>
      <c r="GS88" s="75">
        <v>-1.6778324100733374E-2</v>
      </c>
      <c r="GT88" s="75">
        <v>1.5799898518035067</v>
      </c>
      <c r="GU88" s="75">
        <v>1.3514069250694493E-3</v>
      </c>
      <c r="GV88" s="75">
        <v>2.4328460886271089E-3</v>
      </c>
      <c r="GW88" s="75">
        <v>-0.19455122898237506</v>
      </c>
    </row>
    <row r="89" spans="13:205" x14ac:dyDescent="0.25">
      <c r="GR89" s="75">
        <v>-0.19923137967040505</v>
      </c>
      <c r="GS89" s="75">
        <v>-1.6228944828948242E-2</v>
      </c>
      <c r="GT89" s="75">
        <v>1.3514069250694497E-3</v>
      </c>
      <c r="GU89" s="75">
        <v>2.8448428808702065E-2</v>
      </c>
      <c r="GV89" s="75">
        <v>3.037626834519361E-3</v>
      </c>
      <c r="GW89" s="75">
        <v>-3.0884414834362261E-4</v>
      </c>
    </row>
    <row r="90" spans="13:205" x14ac:dyDescent="0.25">
      <c r="GR90" s="75">
        <v>5.60302018796652E-4</v>
      </c>
      <c r="GS90" s="75">
        <v>-0.20553905097370032</v>
      </c>
      <c r="GT90" s="75">
        <v>2.4328460886270968E-3</v>
      </c>
      <c r="GU90" s="75">
        <v>3.0376268345193558E-3</v>
      </c>
      <c r="GV90" s="75">
        <v>2.9586100335221532E-2</v>
      </c>
      <c r="GW90" s="75">
        <v>-5.5990622597159668E-4</v>
      </c>
    </row>
    <row r="91" spans="13:205" x14ac:dyDescent="0.25">
      <c r="GR91" s="75">
        <v>1.7340515798568645E-3</v>
      </c>
      <c r="GS91" s="75">
        <v>3.7471252180771128E-3</v>
      </c>
      <c r="GT91" s="75">
        <v>-0.19455122898237504</v>
      </c>
      <c r="GU91" s="75">
        <v>-3.0884414834362245E-4</v>
      </c>
      <c r="GV91" s="75">
        <v>-5.5990622597159819E-4</v>
      </c>
      <c r="GW91" s="75">
        <v>2.6176194294328912E-2</v>
      </c>
    </row>
    <row r="92" spans="13:205" x14ac:dyDescent="0.25">
      <c r="M92" s="75" t="s">
        <v>108</v>
      </c>
      <c r="N92" s="75" t="s">
        <v>109</v>
      </c>
      <c r="O92" s="75" t="s">
        <v>62</v>
      </c>
      <c r="P92" s="75" t="s">
        <v>71</v>
      </c>
      <c r="Q92" s="75" t="s">
        <v>66</v>
      </c>
      <c r="R92" s="75" t="s">
        <v>53</v>
      </c>
      <c r="S92" s="75" t="s">
        <v>54</v>
      </c>
      <c r="T92" s="75" t="s">
        <v>55</v>
      </c>
      <c r="U92" s="75" t="s">
        <v>36</v>
      </c>
    </row>
    <row r="93" spans="13:205" x14ac:dyDescent="0.25">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5">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5">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5">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5">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5">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5">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5">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5">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5">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5">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5">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5">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5">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5">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5">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5">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5">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5">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5">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4.4" x14ac:dyDescent="0.3"/>
  <cols>
    <col min="2" max="3" width="12.5546875" bestFit="1" customWidth="1"/>
    <col min="4" max="4" width="17.6640625" customWidth="1"/>
    <col min="5" max="9" width="12.5546875" bestFit="1" customWidth="1"/>
    <col min="10" max="10" width="6.6640625" bestFit="1" customWidth="1"/>
    <col min="11" max="15" width="12" bestFit="1" customWidth="1"/>
  </cols>
  <sheetData>
    <row r="1" spans="1:40" x14ac:dyDescent="0.3">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3">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S2" t="s">
        <v>288</v>
      </c>
      <c r="AN2" t="s">
        <v>168</v>
      </c>
    </row>
    <row r="3" spans="1:40" x14ac:dyDescent="0.3">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S3" t="s">
        <v>150</v>
      </c>
      <c r="T3" t="s">
        <v>272</v>
      </c>
      <c r="U3" t="s">
        <v>289</v>
      </c>
      <c r="V3" t="s">
        <v>290</v>
      </c>
      <c r="W3" t="s">
        <v>291</v>
      </c>
      <c r="AN3" t="s">
        <v>169</v>
      </c>
    </row>
    <row r="4" spans="1:40" x14ac:dyDescent="0.3">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S4" t="s">
        <v>62</v>
      </c>
      <c r="T4">
        <f t="shared" ref="T4:T9" si="7">M2</f>
        <v>239.83825572637775</v>
      </c>
      <c r="U4">
        <f>SQRT(SUMSQ('Global No Vs 111'!GT70,'Global No Vp 111'!GT70,'Global No Vs 100'!GT70,'Global No Vp 100'!GT70,'Global No Vs 111'!GT44,'Global No Vp 111'!GT44,'Global No Vs 100'!GT44,'Global No Vp 100'!GT44))/8</f>
        <v>0.4014678047109595</v>
      </c>
      <c r="V4">
        <f t="shared" ref="V4:V9" si="8">STDEV(B2:I2)/SQRT(8)</f>
        <v>2.0919845677476498E-2</v>
      </c>
      <c r="W4">
        <f t="shared" ref="W4:W13" si="9">SQRT(U4^2+V4^2)</f>
        <v>0.40201248508299653</v>
      </c>
      <c r="AN4" t="s">
        <v>170</v>
      </c>
    </row>
    <row r="5" spans="1:40" x14ac:dyDescent="0.3">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S5" t="s">
        <v>66</v>
      </c>
      <c r="T5">
        <f t="shared" si="7"/>
        <v>122.00674008033231</v>
      </c>
      <c r="U5">
        <f>SQRT(SUMSQ('Global No Vs 111'!GT71,'Global No Vp 111'!GT71,'Global No Vs 100'!GT71,'Global No Vp 100'!GT71,'Global No Vs 111'!GT45,'Global No Vp 111'!GT45,'Global No Vs 100'!GT45,'Global No Vp 100'!GT45))/8</f>
        <v>0.40308366976424603</v>
      </c>
      <c r="V5">
        <f t="shared" si="8"/>
        <v>1.3634938547918597E-2</v>
      </c>
      <c r="W5">
        <f t="shared" si="9"/>
        <v>0.40331421544475377</v>
      </c>
      <c r="AA5" t="s">
        <v>292</v>
      </c>
      <c r="AB5">
        <f t="shared" ref="AB5:AI5" si="10">(B2+2*B3)/3</f>
        <v>161.24141262161172</v>
      </c>
      <c r="AC5">
        <f t="shared" si="10"/>
        <v>161.24141262161172</v>
      </c>
      <c r="AD5">
        <f t="shared" si="10"/>
        <v>161.24141262161172</v>
      </c>
      <c r="AE5">
        <f t="shared" si="10"/>
        <v>161.24141262161172</v>
      </c>
      <c r="AF5">
        <f t="shared" si="10"/>
        <v>161.32641130308323</v>
      </c>
      <c r="AG5">
        <f t="shared" si="10"/>
        <v>161.32641130308323</v>
      </c>
      <c r="AH5">
        <f t="shared" si="10"/>
        <v>161.32641130308323</v>
      </c>
      <c r="AI5">
        <f t="shared" si="10"/>
        <v>161.32641130308323</v>
      </c>
      <c r="AN5" t="s">
        <v>171</v>
      </c>
    </row>
    <row r="6" spans="1:40" x14ac:dyDescent="0.3">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S6" t="s">
        <v>71</v>
      </c>
      <c r="T6">
        <f t="shared" si="7"/>
        <v>46.234163802201337</v>
      </c>
      <c r="U6">
        <f>SQRT(SUMSQ('Global No Vs 111'!GT72,'Global No Vp 111'!GT72,'Global No Vs 100'!GT72,'Global No Vp 100'!GT72,'Global No Vs 111'!GT46,'Global No Vp 111'!GT46,'Global No Vs 100'!GT46,'Global No Vp 100'!GT46))/8</f>
        <v>0.4080795990072672</v>
      </c>
      <c r="V6">
        <f t="shared" si="8"/>
        <v>4.6389905009154722E-3</v>
      </c>
      <c r="W6">
        <f t="shared" si="9"/>
        <v>0.40810596584563619</v>
      </c>
      <c r="AA6" t="s">
        <v>293</v>
      </c>
      <c r="AB6">
        <f t="shared" ref="AB6:AI6" si="11">(B2-B3+3*B4)/5</f>
        <v>51.310310769131981</v>
      </c>
      <c r="AC6">
        <f t="shared" si="11"/>
        <v>51.310310769131981</v>
      </c>
      <c r="AD6">
        <f t="shared" si="11"/>
        <v>51.310310769131981</v>
      </c>
      <c r="AE6">
        <f t="shared" si="11"/>
        <v>51.310310769131981</v>
      </c>
      <c r="AF6">
        <f t="shared" si="11"/>
        <v>51.303292051927805</v>
      </c>
      <c r="AG6">
        <f t="shared" si="11"/>
        <v>51.303292051927805</v>
      </c>
      <c r="AH6">
        <f t="shared" si="11"/>
        <v>51.303292051927805</v>
      </c>
      <c r="AI6">
        <f t="shared" si="11"/>
        <v>51.303292051927805</v>
      </c>
      <c r="AN6" t="s">
        <v>172</v>
      </c>
    </row>
    <row r="7" spans="1:40" x14ac:dyDescent="0.3">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S7" t="s">
        <v>63</v>
      </c>
      <c r="T7">
        <f t="shared" si="7"/>
        <v>5.429519721949994</v>
      </c>
      <c r="U7">
        <f>SQRT(SUMSQ('Global No Vs 111'!GT73,'Global No Vp 111'!GT73,'Global No Vs 100'!GT73,'Global No Vp 100'!GT73,'Global No Vs 111'!GT47,'Global No Vp 111'!GT47,'Global No Vs 100'!GT47,'Global No Vp 100'!GT47))/8</f>
        <v>5.4651928389417757E-2</v>
      </c>
      <c r="V7">
        <f t="shared" si="8"/>
        <v>1.7159680313181689E-2</v>
      </c>
      <c r="W7">
        <f t="shared" si="9"/>
        <v>5.7282527049115441E-2</v>
      </c>
      <c r="AA7" t="s">
        <v>294</v>
      </c>
      <c r="AB7">
        <f t="shared" ref="AB7:AI7" si="12">5*(B2-B3)*B4/(3*(B2-B3)+4*B4)</f>
        <v>50.595923428171744</v>
      </c>
      <c r="AC7">
        <f t="shared" si="12"/>
        <v>50.595923428171744</v>
      </c>
      <c r="AD7">
        <f t="shared" si="12"/>
        <v>50.595923428171744</v>
      </c>
      <c r="AE7">
        <f t="shared" si="12"/>
        <v>50.595923428171744</v>
      </c>
      <c r="AF7">
        <f t="shared" si="12"/>
        <v>50.583973791475941</v>
      </c>
      <c r="AG7">
        <f t="shared" si="12"/>
        <v>50.583973791475941</v>
      </c>
      <c r="AH7">
        <f t="shared" si="12"/>
        <v>50.583973791475941</v>
      </c>
      <c r="AI7">
        <f t="shared" si="12"/>
        <v>50.583973791475941</v>
      </c>
      <c r="AN7" t="s">
        <v>173</v>
      </c>
    </row>
    <row r="8" spans="1:40" x14ac:dyDescent="0.3">
      <c r="S8" t="s">
        <v>67</v>
      </c>
      <c r="T8">
        <f t="shared" si="7"/>
        <v>3.0577573096964916</v>
      </c>
      <c r="U8">
        <f>SQRT(SUMSQ('Global No Vs 111'!GT74,'Global No Vp 111'!GT74,'Global No Vs 100'!GT74,'Global No Vp 100'!GT74,'Global No Vs 111'!GT48,'Global No Vp 111'!GT48,'Global No Vs 100'!GT48,'Global No Vp 100'!GT48))/8</f>
        <v>5.573828607522123E-2</v>
      </c>
      <c r="V8">
        <f t="shared" si="8"/>
        <v>1.0631002527761696E-2</v>
      </c>
      <c r="W8">
        <f t="shared" si="9"/>
        <v>5.6743059041159179E-2</v>
      </c>
      <c r="AA8" t="s">
        <v>295</v>
      </c>
      <c r="AB8">
        <f t="shared" ref="AB8:AI8" si="13">(AB6+AB7)/2</f>
        <v>50.953117098651859</v>
      </c>
      <c r="AC8">
        <f t="shared" si="13"/>
        <v>50.953117098651859</v>
      </c>
      <c r="AD8">
        <f t="shared" si="13"/>
        <v>50.953117098651859</v>
      </c>
      <c r="AE8">
        <f t="shared" si="13"/>
        <v>50.953117098651859</v>
      </c>
      <c r="AF8">
        <f t="shared" si="13"/>
        <v>50.943632921701877</v>
      </c>
      <c r="AG8">
        <f t="shared" si="13"/>
        <v>50.943632921701877</v>
      </c>
      <c r="AH8">
        <f t="shared" si="13"/>
        <v>50.943632921701877</v>
      </c>
      <c r="AI8">
        <f t="shared" si="13"/>
        <v>50.943632921701877</v>
      </c>
    </row>
    <row r="9" spans="1:40" x14ac:dyDescent="0.3">
      <c r="A9" t="s">
        <v>174</v>
      </c>
      <c r="D9">
        <v>0</v>
      </c>
      <c r="S9" t="s">
        <v>72</v>
      </c>
      <c r="T9">
        <f t="shared" si="7"/>
        <v>0.28951762899419958</v>
      </c>
      <c r="U9">
        <f>SQRT(SUMSQ('Global No Vs 111'!GT75,'Global No Vp 111'!GT75,'Global No Vs 100'!GT75,'Global No Vp 100'!GT75,'Global No Vs 111'!GT49,'Global No Vp 111'!GT49,'Global No Vs 100'!GT49,'Global No Vp 100'!GT49))/8</f>
        <v>5.2481104900443477E-2</v>
      </c>
      <c r="V9">
        <f t="shared" si="8"/>
        <v>5.8824826189445641E-4</v>
      </c>
      <c r="W9">
        <f t="shared" si="9"/>
        <v>5.2484401564550337E-2</v>
      </c>
      <c r="AN9" t="s">
        <v>175</v>
      </c>
    </row>
    <row r="10" spans="1:40" x14ac:dyDescent="0.3">
      <c r="S10" t="s">
        <v>296</v>
      </c>
      <c r="T10">
        <f>(M2+2*M3)/3</f>
        <v>161.28391196234745</v>
      </c>
      <c r="U10">
        <f>SQRT(SUMSQ('Global No Vs 111'!GS80,'Global No Vp 111'!GS80,'Global No Vs 100'!GS80,'Global No Vp 100'!GS80,'Global No Vs 111'!GS54,'Global No Vp 111'!GS54,'Global No Vs 100'!GS54,'Global No Vp 100'!GS54))/8</f>
        <v>0.29535123775164784</v>
      </c>
      <c r="V10">
        <f>STDEV(AB5:AI5)/SQRT(8)</f>
        <v>1.6063240924430733E-2</v>
      </c>
      <c r="W10">
        <f t="shared" si="9"/>
        <v>0.29578773022291965</v>
      </c>
    </row>
    <row r="11" spans="1:40" x14ac:dyDescent="0.3">
      <c r="A11" t="s">
        <v>176</v>
      </c>
      <c r="E11">
        <f>SUM(N2:N7)</f>
        <v>0</v>
      </c>
      <c r="S11" t="s">
        <v>297</v>
      </c>
      <c r="T11">
        <f>(M2-M3+3*M4)/5</f>
        <v>51.306801410529886</v>
      </c>
      <c r="U11">
        <f>SQRT(SUMSQ('Global No Vs 111'!GS81,'Global No Vp 111'!GS81,'Global No Vs 100'!GS81,'Global No Vp 100'!GS81,'Global No Vs 111'!GS55,'Global No Vp 111'!GS55,'Global No Vs 100'!GS55,'Global No Vp 100'!GS55))/8</f>
        <v>0.27138067633249185</v>
      </c>
      <c r="V11">
        <f>STDEV(AB6:AI6)/SQRT(8)</f>
        <v>1.3264128746385084E-3</v>
      </c>
      <c r="W11">
        <f t="shared" si="9"/>
        <v>0.27138391783190602</v>
      </c>
    </row>
    <row r="12" spans="1:40" x14ac:dyDescent="0.3">
      <c r="A12" t="s">
        <v>177</v>
      </c>
      <c r="E12">
        <f>SUM(O2:O7)</f>
        <v>0</v>
      </c>
      <c r="S12" t="s">
        <v>298</v>
      </c>
      <c r="T12">
        <f>5*(M2-M3)*M4/(3*(M2-M3)+4*M4)</f>
        <v>50.589950709748805</v>
      </c>
      <c r="U12">
        <f>SQRT(SUMSQ('Global No Vs 111'!GS82,'Global No Vp 111'!GS82,'Global No Vs 100'!GS82,'Global No Vp 100'!GS82,'Global No Vs 111'!GS56,'Global No Vp 111'!GS56,'Global No Vs 100'!GS56,'Global No Vp 100'!GS56))/8</f>
        <v>0.30572332090793752</v>
      </c>
      <c r="V12">
        <f>STDEV(AB7:AI7)/SQRT(8)</f>
        <v>2.2582690681904856E-3</v>
      </c>
      <c r="W12">
        <f t="shared" si="9"/>
        <v>0.30573166130802037</v>
      </c>
      <c r="AN12" t="s">
        <v>178</v>
      </c>
    </row>
    <row r="13" spans="1:40" x14ac:dyDescent="0.3">
      <c r="A13" t="s">
        <v>179</v>
      </c>
      <c r="E13">
        <f>SUM(P2:P7)</f>
        <v>1.8062008306790913E-2</v>
      </c>
      <c r="S13" t="s">
        <v>299</v>
      </c>
      <c r="T13">
        <f>(T11+T12)/2</f>
        <v>50.948376060139346</v>
      </c>
      <c r="U13">
        <f>SQRT(SUMSQ('Global No Vs 111'!GS83,'Global No Vp 111'!GS83,'Global No Vs 100'!GS83,'Global No Vp 100'!GS83,'Global No Vs 111'!GS57,'Global No Vp 111'!GS57,'Global No Vs 100'!GS57,'Global No Vp 100'!GS57))/8</f>
        <v>0.28765314257983948</v>
      </c>
      <c r="V13">
        <f>STDEV(AB8:AI8)/SQRT(8)</f>
        <v>1.7923409714131545E-3</v>
      </c>
      <c r="W13">
        <f t="shared" si="9"/>
        <v>0.28765872648368462</v>
      </c>
      <c r="AN13" t="s">
        <v>180</v>
      </c>
    </row>
    <row r="14" spans="1:40" x14ac:dyDescent="0.3">
      <c r="A14" t="s">
        <v>181</v>
      </c>
      <c r="E14">
        <f>SUM(Q2:Q7)</f>
        <v>3.6124016613581833E-2</v>
      </c>
      <c r="AN14" t="s">
        <v>182</v>
      </c>
    </row>
    <row r="15" spans="1:40" x14ac:dyDescent="0.3">
      <c r="S15" t="s">
        <v>300</v>
      </c>
    </row>
    <row r="16" spans="1:40" x14ac:dyDescent="0.3">
      <c r="A16" t="s">
        <v>183</v>
      </c>
    </row>
    <row r="17" spans="1:15" x14ac:dyDescent="0.3">
      <c r="A17" t="s">
        <v>184</v>
      </c>
      <c r="B17" t="s">
        <v>185</v>
      </c>
      <c r="C17" t="s">
        <v>186</v>
      </c>
    </row>
    <row r="18" spans="1:15" x14ac:dyDescent="0.3">
      <c r="A18" t="s">
        <v>187</v>
      </c>
      <c r="B18">
        <f>'Global No Vs 111'!BA34</f>
        <v>46.697787278210001</v>
      </c>
      <c r="C18">
        <f>'Global No Vs 111'!AW34</f>
        <v>48.496159451298993</v>
      </c>
    </row>
    <row r="19" spans="1:15" x14ac:dyDescent="0.3">
      <c r="A19" t="s">
        <v>188</v>
      </c>
      <c r="B19">
        <f>'Global No Vp 111'!BC35</f>
        <v>57.272631671498971</v>
      </c>
      <c r="C19">
        <f>'Global No Vp 111'!AY35</f>
        <v>63.270715014226177</v>
      </c>
    </row>
    <row r="20" spans="1:15" x14ac:dyDescent="0.3">
      <c r="A20" t="s">
        <v>189</v>
      </c>
      <c r="B20">
        <f>'Global No Vs 100'!BB34</f>
        <v>21.646435557730218</v>
      </c>
      <c r="C20">
        <f>'Global No Vs 100'!AX34</f>
        <v>24.258760582512274</v>
      </c>
      <c r="O20" s="89"/>
    </row>
    <row r="21" spans="1:15" x14ac:dyDescent="0.3">
      <c r="A21" t="s">
        <v>190</v>
      </c>
      <c r="B21">
        <f>'Global No Vp 100'!BD35</f>
        <v>55.205587947115234</v>
      </c>
      <c r="C21">
        <f>'Global No Vp 100'!AZ35</f>
        <v>58.852353933626667</v>
      </c>
    </row>
    <row r="22" spans="1:15" x14ac:dyDescent="0.3">
      <c r="A22" t="s">
        <v>191</v>
      </c>
      <c r="B22">
        <f>SUM(B18:B21)</f>
        <v>180.82244245455442</v>
      </c>
      <c r="C22">
        <f>SUM(C18:C21)</f>
        <v>194.87798898166412</v>
      </c>
    </row>
    <row r="23" spans="1:15" x14ac:dyDescent="0.3">
      <c r="A23" t="s">
        <v>192</v>
      </c>
      <c r="B23">
        <f>B22+C22</f>
        <v>375.70043143621854</v>
      </c>
    </row>
    <row r="25" spans="1:15" x14ac:dyDescent="0.3">
      <c r="A25" s="141"/>
      <c r="B25" s="141"/>
      <c r="C25" s="141"/>
      <c r="D25" s="141"/>
      <c r="E25" s="141"/>
    </row>
    <row r="26" spans="1:15" x14ac:dyDescent="0.3">
      <c r="A26" s="141"/>
      <c r="C26" t="s">
        <v>221</v>
      </c>
      <c r="D26" t="s">
        <v>222</v>
      </c>
      <c r="E26" s="141"/>
    </row>
    <row r="27" spans="1:15" x14ac:dyDescent="0.3">
      <c r="A27" s="141"/>
      <c r="B27" t="s">
        <v>62</v>
      </c>
      <c r="C27">
        <v>239.89360443550623</v>
      </c>
      <c r="D27">
        <v>239.78290701724933</v>
      </c>
      <c r="E27" s="141"/>
    </row>
    <row r="28" spans="1:15" x14ac:dyDescent="0.3">
      <c r="A28" s="141"/>
      <c r="B28" t="s">
        <v>66</v>
      </c>
      <c r="C28">
        <v>122.04281473687176</v>
      </c>
      <c r="D28">
        <v>121.97066542379288</v>
      </c>
      <c r="E28" s="141"/>
    </row>
    <row r="29" spans="1:15" x14ac:dyDescent="0.3">
      <c r="A29" s="141"/>
      <c r="B29" t="s">
        <v>71</v>
      </c>
      <c r="C29">
        <v>46.22189018700152</v>
      </c>
      <c r="D29">
        <v>46.246437417401147</v>
      </c>
      <c r="E29" s="141"/>
    </row>
    <row r="30" spans="1:15" x14ac:dyDescent="0.3">
      <c r="A30" s="141"/>
      <c r="B30" t="s">
        <v>63</v>
      </c>
      <c r="C30">
        <v>5.3841194752639439</v>
      </c>
      <c r="D30">
        <v>5.4749199686360432</v>
      </c>
      <c r="E30" s="141"/>
    </row>
    <row r="31" spans="1:15" x14ac:dyDescent="0.3">
      <c r="A31" s="141"/>
      <c r="B31" t="s">
        <v>67</v>
      </c>
      <c r="C31">
        <v>3.0296303208207349</v>
      </c>
      <c r="D31">
        <v>3.0858842985722479</v>
      </c>
      <c r="E31" s="141"/>
    </row>
    <row r="32" spans="1:15" x14ac:dyDescent="0.3">
      <c r="A32" s="141"/>
      <c r="B32" t="s">
        <v>72</v>
      </c>
      <c r="C32">
        <v>0.29107398760433834</v>
      </c>
      <c r="D32">
        <v>0.28796127038406089</v>
      </c>
      <c r="E32" s="141"/>
    </row>
    <row r="33" spans="1:5" x14ac:dyDescent="0.3">
      <c r="A33" s="141"/>
      <c r="B33" s="141"/>
      <c r="C33" s="141"/>
      <c r="D33" s="141"/>
      <c r="E33" s="141"/>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5E58-F14F-45EC-A280-469459794825}">
  <dimension ref="A1:Q30"/>
  <sheetViews>
    <sheetView workbookViewId="0"/>
  </sheetViews>
  <sheetFormatPr defaultRowHeight="14.4" x14ac:dyDescent="0.3"/>
  <cols>
    <col min="1" max="17" width="12.6640625" customWidth="1"/>
  </cols>
  <sheetData>
    <row r="1" spans="1:17" s="161" customFormat="1" x14ac:dyDescent="0.3">
      <c r="A1" s="161" t="s">
        <v>307</v>
      </c>
    </row>
    <row r="2" spans="1:17" s="161" customFormat="1" x14ac:dyDescent="0.3">
      <c r="A2" s="161" t="s">
        <v>108</v>
      </c>
      <c r="B2" s="161" t="s">
        <v>308</v>
      </c>
      <c r="C2" s="161" t="s">
        <v>309</v>
      </c>
      <c r="D2" s="161" t="s">
        <v>310</v>
      </c>
      <c r="E2" s="161" t="s">
        <v>311</v>
      </c>
      <c r="F2" s="161" t="s">
        <v>312</v>
      </c>
      <c r="G2" s="161" t="s">
        <v>313</v>
      </c>
      <c r="H2" s="161" t="s">
        <v>314</v>
      </c>
      <c r="I2" s="161" t="s">
        <v>315</v>
      </c>
      <c r="J2" s="161" t="s">
        <v>316</v>
      </c>
      <c r="K2" s="161" t="s">
        <v>317</v>
      </c>
      <c r="L2" s="161" t="s">
        <v>318</v>
      </c>
      <c r="M2" s="161" t="s">
        <v>319</v>
      </c>
      <c r="N2" s="161" t="s">
        <v>320</v>
      </c>
      <c r="O2" s="161" t="s">
        <v>321</v>
      </c>
      <c r="P2" s="161" t="s">
        <v>322</v>
      </c>
      <c r="Q2" s="161" t="s">
        <v>323</v>
      </c>
    </row>
    <row r="3" spans="1:17" x14ac:dyDescent="0.3">
      <c r="A3" s="88">
        <f>'No Vp 100'!A2</f>
        <v>0</v>
      </c>
      <c r="B3">
        <f>'No Vp 100'!M2</f>
        <v>0.70399999999999996</v>
      </c>
      <c r="C3">
        <f>'No Vp 100'!Q2</f>
        <v>1E-3</v>
      </c>
      <c r="D3">
        <f>2*0.712/'No Vp 100'!F2</f>
        <v>6.2129162562539788</v>
      </c>
      <c r="E3">
        <f>D3*SQRT(('No Vp 100'!Q2/'No Vp 100'!M2)^2+(0.0002/'No Vp 100'!F2)^2)</f>
        <v>1.0357367298499591E-2</v>
      </c>
      <c r="F3">
        <f>'No Vp 100'!AE2</f>
        <v>2.7870913663034367</v>
      </c>
      <c r="G3">
        <f>'No Vp 100'!Z2</f>
        <v>4.1065127806317742E-3</v>
      </c>
      <c r="H3">
        <f>'No Vp 100'!AC2</f>
        <v>5.9302602040809917</v>
      </c>
      <c r="I3">
        <f>'No Vp 100'!AA2</f>
        <v>9.7649912219819526E-3</v>
      </c>
      <c r="J3">
        <f>'No Vp 100'!AD2</f>
        <v>3.0066311311313236</v>
      </c>
      <c r="K3">
        <f>'No Vp 100'!AB2</f>
        <v>4.4555100476021065E-3</v>
      </c>
      <c r="L3">
        <f>'No Vp 100'!AL2</f>
        <v>229.66541641676997</v>
      </c>
      <c r="M3">
        <f>'No Vp 100'!FI2</f>
        <v>1.3321219507363213</v>
      </c>
      <c r="N3">
        <f>'No Vp 100'!AJ2</f>
        <v>47.306378750310031</v>
      </c>
      <c r="O3">
        <f>'No Vp 100'!FK2</f>
        <v>0.26582211394924404</v>
      </c>
      <c r="P3">
        <f>'No Vp 100'!AK2</f>
        <v>111.81408720584984</v>
      </c>
      <c r="Q3">
        <f>'No Vp 100'!FJ2</f>
        <v>0.71966514954620153</v>
      </c>
    </row>
    <row r="4" spans="1:17" x14ac:dyDescent="0.3">
      <c r="A4" s="88">
        <f>'No Vp 100'!A3</f>
        <v>0.12913290811927533</v>
      </c>
      <c r="B4">
        <f>'No Vp 100'!M3</f>
        <v>0.70379815271771839</v>
      </c>
      <c r="C4">
        <f>'No Vp 100'!Q3</f>
        <v>1.0002867699955033E-3</v>
      </c>
      <c r="D4">
        <f>2*0.712/'No Vp 100'!F3</f>
        <v>6.3360494680271469</v>
      </c>
      <c r="E4">
        <f>D4*SQRT(('No Vp 100'!Q3/'No Vp 100'!M3)^2+(0.0002/'No Vp 100'!F3)^2)</f>
        <v>1.0624780496319869E-2</v>
      </c>
      <c r="F4">
        <f>'No Vp 100'!AE3</f>
        <v>2.7750452180356793</v>
      </c>
      <c r="G4">
        <f>'No Vp 100'!Z3</f>
        <v>4.0930512505757922E-3</v>
      </c>
      <c r="H4">
        <f>'No Vp 100'!AC3</f>
        <v>6.0148239739643765</v>
      </c>
      <c r="I4">
        <f>'No Vp 100'!AA3</f>
        <v>9.9751605900456845E-3</v>
      </c>
      <c r="J4">
        <f>'No Vp 100'!AD3</f>
        <v>2.9318349829423505</v>
      </c>
      <c r="K4">
        <f>'No Vp 100'!AB3</f>
        <v>4.3422247474054123E-3</v>
      </c>
      <c r="L4">
        <f>'No Vp 100'!AL3</f>
        <v>231.42209904745107</v>
      </c>
      <c r="M4">
        <f>'No Vp 100'!FI3</f>
        <v>1.3466620716473068</v>
      </c>
      <c r="N4">
        <f>'No Vp 100'!AJ3</f>
        <v>46.938697104783998</v>
      </c>
      <c r="O4">
        <f>'No Vp 100'!FK3</f>
        <v>0.26380313383537851</v>
      </c>
      <c r="P4">
        <f>'No Vp 100'!AK3</f>
        <v>121.18299743668651</v>
      </c>
      <c r="Q4">
        <f>'No Vp 100'!FJ3</f>
        <v>0.7746358338982865</v>
      </c>
    </row>
    <row r="5" spans="1:17" x14ac:dyDescent="0.3">
      <c r="A5" s="88">
        <f>'No Vp 100'!A4</f>
        <v>1.635683502844302</v>
      </c>
      <c r="B5">
        <f>'No Vp 100'!M4</f>
        <v>0.7015744282501758</v>
      </c>
      <c r="C5">
        <f>'No Vp 100'!Q4</f>
        <v>1.0034530730849299E-3</v>
      </c>
      <c r="D5">
        <f>2*0.712/'No Vp 100'!F4</f>
        <v>6.4450218797689924</v>
      </c>
      <c r="E5">
        <f>D5*SQRT(('No Vp 100'!Q4/'No Vp 100'!M4)^2+(0.0002/'No Vp 100'!F4)^2)</f>
        <v>1.0909251115914198E-2</v>
      </c>
      <c r="F5">
        <f>'No Vp 100'!AE4</f>
        <v>2.7739334184675584</v>
      </c>
      <c r="G5">
        <f>'No Vp 100'!Z4</f>
        <v>4.1163273542916814E-3</v>
      </c>
      <c r="H5">
        <f>'No Vp 100'!AC4</f>
        <v>6.0885261650759626</v>
      </c>
      <c r="I5">
        <f>'No Vp 100'!AA4</f>
        <v>1.0185986092241757E-2</v>
      </c>
      <c r="J5">
        <f>'No Vp 100'!AD4</f>
        <v>2.9927477307058652</v>
      </c>
      <c r="K5">
        <f>'No Vp 100'!AB4</f>
        <v>4.4668091958176169E-3</v>
      </c>
      <c r="L5">
        <f>'No Vp 100'!AL4</f>
        <v>243.63595091426677</v>
      </c>
      <c r="M5">
        <f>'No Vp 100'!FI4</f>
        <v>1.4180009573162087</v>
      </c>
      <c r="N5">
        <f>'No Vp 100'!AJ4</f>
        <v>47.348484440201588</v>
      </c>
      <c r="O5">
        <f>'No Vp 100'!FK4</f>
        <v>0.2662290206394673</v>
      </c>
      <c r="P5">
        <f>'No Vp 100'!AK4</f>
        <v>125.6453647420943</v>
      </c>
      <c r="Q5">
        <f>'No Vp 100'!FJ4</f>
        <v>0.80597624300294712</v>
      </c>
    </row>
    <row r="6" spans="1:17" x14ac:dyDescent="0.3">
      <c r="A6" s="88">
        <f>'No Vp 100'!A5</f>
        <v>2.4965695569728967</v>
      </c>
      <c r="B6">
        <f>'No Vp 100'!M5</f>
        <v>0.700349044840749</v>
      </c>
      <c r="C6">
        <f>'No Vp 100'!Q5</f>
        <v>1.0052029970622424E-3</v>
      </c>
      <c r="D6">
        <f>2*0.712/'No Vp 100'!F5</f>
        <v>6.5098416537599268</v>
      </c>
      <c r="E6">
        <f>D6*SQRT(('No Vp 100'!Q5/'No Vp 100'!M5)^2+(0.0002/'No Vp 100'!F5)^2)</f>
        <v>1.1078221286801358E-2</v>
      </c>
      <c r="F6">
        <f>'No Vp 100'!AE5</f>
        <v>2.7690884129300528</v>
      </c>
      <c r="G6">
        <f>'No Vp 100'!Z5</f>
        <v>4.1224874382217429E-3</v>
      </c>
      <c r="H6">
        <f>'No Vp 100'!AC5</f>
        <v>6.1266506820310092</v>
      </c>
      <c r="I6">
        <f>'No Vp 100'!AA5</f>
        <v>1.0298110158782171E-2</v>
      </c>
      <c r="J6">
        <f>'No Vp 100'!AD5</f>
        <v>3.0122025300744104</v>
      </c>
      <c r="K6">
        <f>'No Vp 100'!AB5</f>
        <v>4.5133203912659792E-3</v>
      </c>
      <c r="L6">
        <f>'No Vp 100'!AL5</f>
        <v>249.5752735754119</v>
      </c>
      <c r="M6">
        <f>'No Vp 100'!FI5</f>
        <v>1.4529878160288507</v>
      </c>
      <c r="N6">
        <f>'No Vp 100'!AJ5</f>
        <v>47.431328912856969</v>
      </c>
      <c r="O6">
        <f>'No Vp 100'!FK5</f>
        <v>0.26675527456967218</v>
      </c>
      <c r="P6">
        <f>'No Vp 100'!AK5</f>
        <v>128.6301943874623</v>
      </c>
      <c r="Q6">
        <f>'No Vp 100'!FJ5</f>
        <v>0.82568413699946874</v>
      </c>
    </row>
    <row r="7" spans="1:17" x14ac:dyDescent="0.3">
      <c r="A7" s="88">
        <f>'No Vp 100'!A6</f>
        <v>3.4435442165143506</v>
      </c>
      <c r="B7">
        <f>'No Vp 100'!M6</f>
        <v>0.69903491175820132</v>
      </c>
      <c r="C7">
        <f>'No Vp 100'!Q6</f>
        <v>1.0070833575766499E-3</v>
      </c>
      <c r="D7">
        <f>2*0.712/'No Vp 100'!F6</f>
        <v>6.5759785029878453</v>
      </c>
      <c r="E7">
        <f>D7*SQRT(('No Vp 100'!Q6/'No Vp 100'!M6)^2+(0.0002/'No Vp 100'!F6)^2)</f>
        <v>1.1253519933179785E-2</v>
      </c>
      <c r="F7">
        <f>'No Vp 100'!AE6</f>
        <v>2.7671748168664578</v>
      </c>
      <c r="G7">
        <f>'No Vp 100'!Z6</f>
        <v>4.1343591000642327E-3</v>
      </c>
      <c r="H7">
        <f>'No Vp 100'!AC6</f>
        <v>6.1652473092709252</v>
      </c>
      <c r="I7">
        <f>'No Vp 100'!AA6</f>
        <v>1.0414365306794487E-2</v>
      </c>
      <c r="J7">
        <f>'No Vp 100'!AD6</f>
        <v>3.0297292355073573</v>
      </c>
      <c r="K7">
        <f>'No Vp 100'!AB6</f>
        <v>4.558105537704648E-3</v>
      </c>
      <c r="L7">
        <f>'No Vp 100'!AL6</f>
        <v>255.38601458907343</v>
      </c>
      <c r="M7">
        <f>'No Vp 100'!FI6</f>
        <v>1.4874899728959476</v>
      </c>
      <c r="N7">
        <f>'No Vp 100'!AJ6</f>
        <v>47.633431035544241</v>
      </c>
      <c r="O7">
        <f>'No Vp 100'!FK6</f>
        <v>0.26796381045431683</v>
      </c>
      <c r="P7">
        <f>'No Vp 100'!AK6</f>
        <v>131.71542288443408</v>
      </c>
      <c r="Q7">
        <f>'No Vp 100'!FJ6</f>
        <v>0.84616324421081668</v>
      </c>
    </row>
    <row r="8" spans="1:17" x14ac:dyDescent="0.3">
      <c r="A8" s="88">
        <f>'No Vp 100'!A7</f>
        <v>4.4335631787622765</v>
      </c>
      <c r="B8">
        <f>'No Vp 100'!M7</f>
        <v>0.69769553085384417</v>
      </c>
      <c r="C8">
        <f>'No Vp 100'!Q7</f>
        <v>1.0090034764039212E-3</v>
      </c>
      <c r="D8">
        <f>2*0.712/'No Vp 100'!F7</f>
        <v>6.631098396889854</v>
      </c>
      <c r="E8">
        <f>D8*SQRT(('No Vp 100'!Q7/'No Vp 100'!M7)^2+(0.0002/'No Vp 100'!F7)^2)</f>
        <v>1.1406379370635454E-2</v>
      </c>
      <c r="F8">
        <f>'No Vp 100'!AE7</f>
        <v>2.761872791107248</v>
      </c>
      <c r="G8">
        <f>'No Vp 100'!Z7</f>
        <v>4.1411342488890607E-3</v>
      </c>
      <c r="H8">
        <f>'No Vp 100'!AC7</f>
        <v>6.2027581572174926</v>
      </c>
      <c r="I8">
        <f>'No Vp 100'!AA7</f>
        <v>1.0529832087588798E-2</v>
      </c>
      <c r="J8">
        <f>'No Vp 100'!AD7</f>
        <v>3.0470105106242746</v>
      </c>
      <c r="K8">
        <f>'No Vp 100'!AB7</f>
        <v>4.6031116018348372E-3</v>
      </c>
      <c r="L8">
        <f>'No Vp 100'!AL7</f>
        <v>261.4431768145713</v>
      </c>
      <c r="M8">
        <f>'No Vp 100'!FI7</f>
        <v>1.523344840535914</v>
      </c>
      <c r="N8">
        <f>'No Vp 100'!AJ7</f>
        <v>47.724873943111589</v>
      </c>
      <c r="O8">
        <f>'No Vp 100'!FK7</f>
        <v>0.26854578601682799</v>
      </c>
      <c r="P8">
        <f>'No Vp 100'!AK7</f>
        <v>134.90448102165843</v>
      </c>
      <c r="Q8">
        <f>'No Vp 100'!FJ7</f>
        <v>0.86719323030386963</v>
      </c>
    </row>
    <row r="9" spans="1:17" x14ac:dyDescent="0.3">
      <c r="A9" s="88">
        <f>'No Vp 100'!A8</f>
        <v>5.1222720220651237</v>
      </c>
      <c r="B9">
        <f>'No Vp 100'!M8</f>
        <v>0.69678348463151085</v>
      </c>
      <c r="C9">
        <f>'No Vp 100'!Q8</f>
        <v>1.0103129120707397E-3</v>
      </c>
      <c r="D9">
        <f>2*0.712/'No Vp 100'!F8</f>
        <v>6.6746124535731761</v>
      </c>
      <c r="E9">
        <f>D9*SQRT(('No Vp 100'!Q8/'No Vp 100'!M8)^2+(0.0002/'No Vp 100'!F8)^2)</f>
        <v>1.152450246375661E-2</v>
      </c>
      <c r="F9">
        <f>'No Vp 100'!AE8</f>
        <v>2.7582623972688185</v>
      </c>
      <c r="G9">
        <f>'No Vp 100'!Z8</f>
        <v>4.145757408750725E-3</v>
      </c>
      <c r="H9">
        <f>'No Vp 100'!AC8</f>
        <v>6.2277188935450862</v>
      </c>
      <c r="I9">
        <f>'No Vp 100'!AA8</f>
        <v>1.060770540737495E-2</v>
      </c>
      <c r="J9">
        <f>'No Vp 100'!AD8</f>
        <v>3.058774922727213</v>
      </c>
      <c r="K9">
        <f>'No Vp 100'!AB8</f>
        <v>4.6339294419412E-3</v>
      </c>
      <c r="L9">
        <f>'No Vp 100'!AL8</f>
        <v>265.57278187211477</v>
      </c>
      <c r="M9">
        <f>'No Vp 100'!FI8</f>
        <v>1.5478062336638223</v>
      </c>
      <c r="N9">
        <f>'No Vp 100'!AJ8</f>
        <v>47.78734283330661</v>
      </c>
      <c r="O9">
        <f>'No Vp 100'!FK8</f>
        <v>0.268943682444159</v>
      </c>
      <c r="P9">
        <f>'No Vp 100'!AK8</f>
        <v>137.05780698071337</v>
      </c>
      <c r="Q9">
        <f>'No Vp 100'!FJ8</f>
        <v>0.88144107129053906</v>
      </c>
    </row>
    <row r="10" spans="1:17" x14ac:dyDescent="0.3">
      <c r="A10" s="88">
        <f>'No Vp 100'!A9</f>
        <v>5.7679365626615837</v>
      </c>
      <c r="B10">
        <f>'No Vp 100'!M9</f>
        <v>0.69594170931186849</v>
      </c>
      <c r="C10">
        <f>'No Vp 100'!Q9</f>
        <v>1.0115227535893519E-3</v>
      </c>
      <c r="D10">
        <f>2*0.712/'No Vp 100'!F9</f>
        <v>6.7250473805360924</v>
      </c>
      <c r="E10">
        <f>D10*SQRT(('No Vp 100'!Q9/'No Vp 100'!M9)^2+(0.0002/'No Vp 100'!F9)^2)</f>
        <v>1.16572026163784E-2</v>
      </c>
      <c r="F10">
        <f>'No Vp 100'!AE9</f>
        <v>2.7603937737948043</v>
      </c>
      <c r="G10">
        <f>'No Vp 100'!Z9</f>
        <v>4.1588312946318241E-3</v>
      </c>
      <c r="H10">
        <f>'No Vp 100'!AC9</f>
        <v>6.2505645246103798</v>
      </c>
      <c r="I10">
        <f>'No Vp 100'!AA9</f>
        <v>1.0679519383003475E-2</v>
      </c>
      <c r="J10">
        <f>'No Vp 100'!AD9</f>
        <v>3.0693525477859995</v>
      </c>
      <c r="K10">
        <f>'No Vp 100'!AB9</f>
        <v>4.6620381130036536E-3</v>
      </c>
      <c r="L10">
        <f>'No Vp 100'!AL9</f>
        <v>269.00369239606323</v>
      </c>
      <c r="M10">
        <f>'No Vp 100'!FI9</f>
        <v>1.5684028013111577</v>
      </c>
      <c r="N10">
        <f>'No Vp 100'!AJ9</f>
        <v>48.0351058333938</v>
      </c>
      <c r="O10">
        <f>'No Vp 100'!FK9</f>
        <v>0.27039196034595053</v>
      </c>
      <c r="P10">
        <f>'No Vp 100'!AK9</f>
        <v>138.87007100114607</v>
      </c>
      <c r="Q10">
        <f>'No Vp 100'!FJ9</f>
        <v>0.89378847716980536</v>
      </c>
    </row>
    <row r="11" spans="1:17" x14ac:dyDescent="0.3">
      <c r="A11" s="88">
        <f>'No Vp 100'!A10</f>
        <v>6.5857783140837629</v>
      </c>
      <c r="B11">
        <f>'No Vp 100'!M10</f>
        <v>0.69489314877420816</v>
      </c>
      <c r="C11">
        <f>'No Vp 100'!Q10</f>
        <v>1.0130314161884931E-3</v>
      </c>
      <c r="D11">
        <f>2*0.712/'No Vp 100'!F10</f>
        <v>6.7569580991915421</v>
      </c>
      <c r="E11">
        <f>D11*SQRT(('No Vp 100'!Q10/'No Vp 100'!M10)^2+(0.0002/'No Vp 100'!F10)^2)</f>
        <v>1.1753748644480713E-2</v>
      </c>
      <c r="F11">
        <f>'No Vp 100'!AE10</f>
        <v>2.7562347473406108</v>
      </c>
      <c r="G11">
        <f>'No Vp 100'!Z10</f>
        <v>4.1641710847941998E-3</v>
      </c>
      <c r="H11">
        <f>'No Vp 100'!AC10</f>
        <v>6.2789212995126942</v>
      </c>
      <c r="I11">
        <f>'No Vp 100'!AA10</f>
        <v>1.0769232456070317E-2</v>
      </c>
      <c r="J11">
        <f>'No Vp 100'!AD10</f>
        <v>3.0816030626864932</v>
      </c>
      <c r="K11">
        <f>'No Vp 100'!AB10</f>
        <v>4.6956890021448896E-3</v>
      </c>
      <c r="L11">
        <f>'No Vp 100'!AL10</f>
        <v>273.71815190122339</v>
      </c>
      <c r="M11">
        <f>'No Vp 100'!FI10</f>
        <v>1.5964183468974376</v>
      </c>
      <c r="N11">
        <f>'No Vp 100'!AJ10</f>
        <v>48.107588511468961</v>
      </c>
      <c r="O11">
        <f>'No Vp 100'!FK10</f>
        <v>0.27085425654618572</v>
      </c>
      <c r="P11">
        <f>'No Vp 100'!AK10</f>
        <v>141.41772483170382</v>
      </c>
      <c r="Q11">
        <f>'No Vp 100'!FJ10</f>
        <v>0.91061691515371568</v>
      </c>
    </row>
    <row r="12" spans="1:17" x14ac:dyDescent="0.3">
      <c r="A12" s="88">
        <f>'No Vp 100'!A11</f>
        <v>7.274487157386611</v>
      </c>
      <c r="B12">
        <f>'No Vp 100'!M11</f>
        <v>0.6940257685658715</v>
      </c>
      <c r="C12">
        <f>'No Vp 100'!Q11</f>
        <v>1.0142806575692159E-3</v>
      </c>
      <c r="D12">
        <f>2*0.712/'No Vp 100'!F11</f>
        <v>6.8086499672146106</v>
      </c>
      <c r="E12">
        <f>D12*SQRT(('No Vp 100'!Q11/'No Vp 100'!M11)^2+(0.0002/'No Vp 100'!F11)^2)</f>
        <v>1.1891335026225696E-2</v>
      </c>
      <c r="F12">
        <f>'No Vp 100'!AE11</f>
        <v>2.7506123431773082</v>
      </c>
      <c r="G12">
        <f>'No Vp 100'!Z11</f>
        <v>4.1650641697307724E-3</v>
      </c>
      <c r="H12">
        <f>'No Vp 100'!AC11</f>
        <v>6.3023062632276323</v>
      </c>
      <c r="I12">
        <f>'No Vp 100'!AA11</f>
        <v>1.0843686537276222E-2</v>
      </c>
      <c r="J12">
        <f>'No Vp 100'!AD11</f>
        <v>3.0905673804645217</v>
      </c>
      <c r="K12">
        <f>'No Vp 100'!AB11</f>
        <v>4.7217187877818716E-3</v>
      </c>
      <c r="L12">
        <f>'No Vp 100'!AL11</f>
        <v>277.71280631144322</v>
      </c>
      <c r="M12">
        <f>'No Vp 100'!FI11</f>
        <v>1.6201207530358348</v>
      </c>
      <c r="N12">
        <f>'No Vp 100'!AJ11</f>
        <v>48.091382041515033</v>
      </c>
      <c r="O12">
        <f>'No Vp 100'!FK11</f>
        <v>0.27080390682209227</v>
      </c>
      <c r="P12">
        <f>'No Vp 100'!AK11</f>
        <v>143.6638367438847</v>
      </c>
      <c r="Q12">
        <f>'No Vp 100'!FJ11</f>
        <v>0.92525322055099857</v>
      </c>
    </row>
    <row r="13" spans="1:17" x14ac:dyDescent="0.3">
      <c r="A13" s="88">
        <f>'No Vp 100'!A12</f>
        <v>7.834063092570239</v>
      </c>
      <c r="B13">
        <f>'No Vp 100'!M12</f>
        <v>0.6933307872929303</v>
      </c>
      <c r="C13">
        <f>'No Vp 100'!Q12</f>
        <v>1.0152823653699968E-3</v>
      </c>
      <c r="D13">
        <f>2*0.712/'No Vp 100'!F12</f>
        <v>6.8413609447230321</v>
      </c>
      <c r="E13">
        <f>D13*SQRT(('No Vp 100'!Q12/'No Vp 100'!M12)^2+(0.0002/'No Vp 100'!F12)^2)</f>
        <v>1.1982341514053543E-2</v>
      </c>
      <c r="F13">
        <f>'No Vp 100'!AE12</f>
        <v>2.7522210633057123</v>
      </c>
      <c r="G13">
        <f>'No Vp 100'!Z12</f>
        <v>4.1756824562262313E-3</v>
      </c>
      <c r="H13">
        <f>'No Vp 100'!AC12</f>
        <v>6.3208896317861125</v>
      </c>
      <c r="I13">
        <f>'No Vp 100'!AA12</f>
        <v>1.090326493702074E-2</v>
      </c>
      <c r="J13">
        <f>'No Vp 100'!AD12</f>
        <v>3.0968512624204383</v>
      </c>
      <c r="K13">
        <f>'No Vp 100'!AB12</f>
        <v>4.7411600665294151E-3</v>
      </c>
      <c r="L13">
        <f>'No Vp 100'!AL12</f>
        <v>280.42723116634073</v>
      </c>
      <c r="M13">
        <f>'No Vp 100'!FI12</f>
        <v>1.6365583771668437</v>
      </c>
      <c r="N13">
        <f>'No Vp 100'!AJ12</f>
        <v>48.292583822289842</v>
      </c>
      <c r="O13">
        <f>'No Vp 100'!FK12</f>
        <v>0.27198194382466812</v>
      </c>
      <c r="P13">
        <f>'No Vp 100'!AK12</f>
        <v>145.28753549172927</v>
      </c>
      <c r="Q13">
        <f>'No Vp 100'!FJ12</f>
        <v>0.93616280734671853</v>
      </c>
    </row>
    <row r="14" spans="1:17" x14ac:dyDescent="0.3">
      <c r="A14" s="88">
        <f>'No Vp 100'!A13</f>
        <v>8.5227719358730862</v>
      </c>
      <c r="B14">
        <f>'No Vp 100'!M13</f>
        <v>0.69248681671030432</v>
      </c>
      <c r="C14">
        <f>'No Vp 100'!Q13</f>
        <v>1.0164996659044819E-3</v>
      </c>
      <c r="D14">
        <f>2*0.712/'No Vp 100'!F13</f>
        <v>6.8677569019403286</v>
      </c>
      <c r="E14">
        <f>D14*SQRT(('No Vp 100'!Q13/'No Vp 100'!M13)^2+(0.0002/'No Vp 100'!F13)^2)</f>
        <v>1.2062884828567533E-2</v>
      </c>
      <c r="F14">
        <f>'No Vp 100'!AE13</f>
        <v>2.7477801189501236</v>
      </c>
      <c r="G14">
        <f>'No Vp 100'!Z13</f>
        <v>4.1782275363312161E-3</v>
      </c>
      <c r="H14">
        <f>'No Vp 100'!AC13</f>
        <v>6.3431117540689819</v>
      </c>
      <c r="I14">
        <f>'No Vp 100'!AA13</f>
        <v>1.0975162054274496E-2</v>
      </c>
      <c r="J14">
        <f>'No Vp 100'!AD13</f>
        <v>3.1034774258103122</v>
      </c>
      <c r="K14">
        <f>'No Vp 100'!AB13</f>
        <v>4.7631798470375202E-3</v>
      </c>
      <c r="L14">
        <f>'No Vp 100'!AL13</f>
        <v>284.09293164737159</v>
      </c>
      <c r="M14">
        <f>'No Vp 100'!FI13</f>
        <v>1.6584678841532845</v>
      </c>
      <c r="N14">
        <f>'No Vp 100'!AJ13</f>
        <v>48.313076582838384</v>
      </c>
      <c r="O14">
        <f>'No Vp 100'!FK13</f>
        <v>0.27213976456426975</v>
      </c>
      <c r="P14">
        <f>'No Vp 100'!AK13</f>
        <v>147.51355852745945</v>
      </c>
      <c r="Q14">
        <f>'No Vp 100'!FJ13</f>
        <v>0.95063433221032612</v>
      </c>
    </row>
    <row r="15" spans="1:17" x14ac:dyDescent="0.3">
      <c r="A15" s="88">
        <f>'No Vp 100'!A14</f>
        <v>9.1253921737631298</v>
      </c>
      <c r="B15">
        <f>'No Vp 100'!M14</f>
        <v>0.69175884509037111</v>
      </c>
      <c r="C15">
        <f>'No Vp 100'!Q14</f>
        <v>1.0175503483713353E-3</v>
      </c>
      <c r="D15">
        <f>2*0.712/'No Vp 100'!F14</f>
        <v>6.9010396707813202</v>
      </c>
      <c r="E15">
        <f>D15*SQRT(('No Vp 100'!Q14/'No Vp 100'!M14)^2+(0.0002/'No Vp 100'!F14)^2)</f>
        <v>1.2156738310743449E-2</v>
      </c>
      <c r="F15">
        <f>'No Vp 100'!AE14</f>
        <v>2.7427149229532919</v>
      </c>
      <c r="G15">
        <f>'No Vp 100'!Z14</f>
        <v>4.1784128206378921E-3</v>
      </c>
      <c r="H15">
        <f>'No Vp 100'!AC14</f>
        <v>6.3618910632753929</v>
      </c>
      <c r="I15">
        <f>'No Vp 100'!AA14</f>
        <v>1.103658370927338E-2</v>
      </c>
      <c r="J15">
        <f>'No Vp 100'!AD14</f>
        <v>3.1085618388232157</v>
      </c>
      <c r="K15">
        <f>'No Vp 100'!AB14</f>
        <v>4.7811870012114408E-3</v>
      </c>
      <c r="L15">
        <f>'No Vp 100'!AL14</f>
        <v>287.28481999751904</v>
      </c>
      <c r="M15">
        <f>'No Vp 100'!FI14</f>
        <v>1.6775219713352227</v>
      </c>
      <c r="N15">
        <f>'No Vp 100'!AJ14</f>
        <v>48.287247074451592</v>
      </c>
      <c r="O15">
        <f>'No Vp 100'!FK14</f>
        <v>0.27202858042670536</v>
      </c>
      <c r="P15">
        <f>'No Vp 100'!AK14</f>
        <v>149.48705946290468</v>
      </c>
      <c r="Q15">
        <f>'No Vp 100'!FJ14</f>
        <v>0.96336994844681301</v>
      </c>
    </row>
    <row r="16" spans="1:17" x14ac:dyDescent="0.3">
      <c r="A16" s="88">
        <f>'No Vp 100'!A15</f>
        <v>9.5558352008274561</v>
      </c>
      <c r="B16">
        <f>'No Vp 100'!M15</f>
        <v>0.69124441213842269</v>
      </c>
      <c r="C16">
        <f>'No Vp 100'!Q15</f>
        <v>1.0182931896831821E-3</v>
      </c>
      <c r="D16">
        <f>2*0.712/'No Vp 100'!F15</f>
        <v>6.9278990562996867</v>
      </c>
      <c r="E16">
        <f>D16*SQRT(('No Vp 100'!Q15/'No Vp 100'!M15)^2+(0.0002/'No Vp 100'!F15)^2)</f>
        <v>1.2230990096368346E-2</v>
      </c>
      <c r="F16">
        <f>'No Vp 100'!AE15</f>
        <v>2.7439390632107599</v>
      </c>
      <c r="G16">
        <f>'No Vp 100'!Z15</f>
        <v>4.1863623830211503E-3</v>
      </c>
      <c r="H16">
        <f>'No Vp 100'!AC15</f>
        <v>6.3749343761682491</v>
      </c>
      <c r="I16">
        <f>'No Vp 100'!AA15</f>
        <v>1.1079629417478146E-2</v>
      </c>
      <c r="J16">
        <f>'No Vp 100'!AD15</f>
        <v>3.1120062575571725</v>
      </c>
      <c r="K16">
        <f>'No Vp 100'!AB15</f>
        <v>4.7936983856971468E-3</v>
      </c>
      <c r="L16">
        <f>'No Vp 100'!AL15</f>
        <v>289.18475151570192</v>
      </c>
      <c r="M16">
        <f>'No Vp 100'!FI15</f>
        <v>1.6891113481669757</v>
      </c>
      <c r="N16">
        <f>'No Vp 100'!AJ15</f>
        <v>48.43834477928926</v>
      </c>
      <c r="O16">
        <f>'No Vp 100'!FK15</f>
        <v>0.27291369432155388</v>
      </c>
      <c r="P16">
        <f>'No Vp 100'!AK15</f>
        <v>150.70878830889143</v>
      </c>
      <c r="Q16">
        <f>'No Vp 100'!FJ15</f>
        <v>0.97154074659410083</v>
      </c>
    </row>
    <row r="17" spans="1:17" x14ac:dyDescent="0.3">
      <c r="A17" s="88">
        <f>'No Vp 100'!A16</f>
        <v>10.115411136011028</v>
      </c>
      <c r="B17">
        <f>'No Vp 100'!M16</f>
        <v>0.69058187719080544</v>
      </c>
      <c r="C17">
        <f>'No Vp 100'!Q16</f>
        <v>1.0192502984531226E-3</v>
      </c>
      <c r="D17">
        <f>2*0.712/'No Vp 100'!F16</f>
        <v>6.9549683363976209</v>
      </c>
      <c r="E17">
        <f>D17*SQRT(('No Vp 100'!Q16/'No Vp 100'!M16)^2+(0.0002/'No Vp 100'!F16)^2)</f>
        <v>1.2309603349878188E-2</v>
      </c>
      <c r="F17">
        <f>'No Vp 100'!AE16</f>
        <v>2.7445775212011192</v>
      </c>
      <c r="G17">
        <f>'No Vp 100'!Z16</f>
        <v>4.1950926500362818E-3</v>
      </c>
      <c r="H17">
        <f>'No Vp 100'!AC16</f>
        <v>6.3915567990909166</v>
      </c>
      <c r="I17">
        <f>'No Vp 100'!AA16</f>
        <v>1.1134851581915821E-2</v>
      </c>
      <c r="J17">
        <f>'No Vp 100'!AD16</f>
        <v>3.1165471647261782</v>
      </c>
      <c r="K17">
        <f>'No Vp 100'!AB16</f>
        <v>4.8100286202378871E-3</v>
      </c>
      <c r="L17">
        <f>'No Vp 100'!AL16</f>
        <v>291.70678065361307</v>
      </c>
      <c r="M17">
        <f>'No Vp 100'!FI16</f>
        <v>1.7044431967982601</v>
      </c>
      <c r="N17">
        <f>'No Vp 100'!AJ16</f>
        <v>48.600500634916159</v>
      </c>
      <c r="O17">
        <f>'No Vp 100'!FK16</f>
        <v>0.27386940781843871</v>
      </c>
      <c r="P17">
        <f>'No Vp 100'!AK16</f>
        <v>152.30704241147305</v>
      </c>
      <c r="Q17">
        <f>'No Vp 100'!FJ16</f>
        <v>0.98219058842483242</v>
      </c>
    </row>
    <row r="18" spans="1:17" x14ac:dyDescent="0.3">
      <c r="A18" s="88">
        <f>'No Vp 100'!A17</f>
        <v>10.631942768488157</v>
      </c>
      <c r="B18">
        <f>'No Vp 100'!M17</f>
        <v>0.68997715714342744</v>
      </c>
      <c r="C18">
        <f>'No Vp 100'!Q17</f>
        <v>1.0201242601241022E-3</v>
      </c>
      <c r="D18">
        <f>2*0.712/'No Vp 100'!F17</f>
        <v>6.9822499810803329</v>
      </c>
      <c r="E18">
        <f>D18*SQRT(('No Vp 100'!Q17/'No Vp 100'!M17)^2+(0.0002/'No Vp 100'!F17)^2)</f>
        <v>1.2387567950556346E-2</v>
      </c>
      <c r="F18">
        <f>'No Vp 100'!AE17</f>
        <v>2.7356508107199455</v>
      </c>
      <c r="G18">
        <f>'No Vp 100'!Z17</f>
        <v>4.1875408237733412E-3</v>
      </c>
      <c r="H18">
        <f>'No Vp 100'!AC17</f>
        <v>6.4068581923291505</v>
      </c>
      <c r="I18">
        <f>'No Vp 100'!AA17</f>
        <v>1.1185717118330208E-2</v>
      </c>
      <c r="J18">
        <f>'No Vp 100'!AD17</f>
        <v>3.1210812074058802</v>
      </c>
      <c r="K18">
        <f>'No Vp 100'!AB17</f>
        <v>4.8256285200498194E-3</v>
      </c>
      <c r="L18">
        <f>'No Vp 100'!AL17</f>
        <v>294.74009565877822</v>
      </c>
      <c r="M18">
        <f>'No Vp 100'!FI17</f>
        <v>1.7223280209752783</v>
      </c>
      <c r="N18">
        <f>'No Vp 100'!AJ17</f>
        <v>48.411936428603283</v>
      </c>
      <c r="O18">
        <f>'No Vp 100'!FK17</f>
        <v>0.27282642039681376</v>
      </c>
      <c r="P18">
        <f>'No Vp 100'!AK17</f>
        <v>154.10819512745854</v>
      </c>
      <c r="Q18">
        <f>'No Vp 100'!FJ17</f>
        <v>0.99359188292009115</v>
      </c>
    </row>
    <row r="19" spans="1:17" x14ac:dyDescent="0.3">
      <c r="A19" s="88">
        <f>'No Vp 100'!A18</f>
        <v>10.933252887433179</v>
      </c>
      <c r="B19">
        <f>'No Vp 100'!M18</f>
        <v>0.68962775108165864</v>
      </c>
      <c r="C19">
        <f>'No Vp 100'!Q18</f>
        <v>1.0206293849027404E-3</v>
      </c>
      <c r="D19">
        <f>2*0.712/'No Vp 100'!F18</f>
        <v>7.0028520866348609</v>
      </c>
      <c r="E19">
        <f>D19*SQRT(('No Vp 100'!Q18/'No Vp 100'!M18)^2+(0.0002/'No Vp 100'!F18)^2)</f>
        <v>1.2443970617964871E-2</v>
      </c>
      <c r="F19">
        <f>'No Vp 100'!AE18</f>
        <v>2.7299359641504011</v>
      </c>
      <c r="G19">
        <f>'No Vp 100'!Z18</f>
        <v>4.1822564039299022E-3</v>
      </c>
      <c r="H19">
        <f>'No Vp 100'!AC18</f>
        <v>6.4159595564760963</v>
      </c>
      <c r="I19">
        <f>'No Vp 100'!AA18</f>
        <v>1.1215766633482843E-2</v>
      </c>
      <c r="J19">
        <f>'No Vp 100'!AD18</f>
        <v>3.1239707105691474</v>
      </c>
      <c r="K19">
        <f>'No Vp 100'!AB18</f>
        <v>4.8351143544802105E-3</v>
      </c>
      <c r="L19">
        <f>'No Vp 100'!AL18</f>
        <v>296.58297045160936</v>
      </c>
      <c r="M19">
        <f>'No Vp 100'!FI18</f>
        <v>1.7331689543425512</v>
      </c>
      <c r="N19">
        <f>'No Vp 100'!AJ18</f>
        <v>48.283195112792512</v>
      </c>
      <c r="O19">
        <f>'No Vp 100'!FK18</f>
        <v>0.27211114877979081</v>
      </c>
      <c r="P19">
        <f>'No Vp 100'!AK18</f>
        <v>155.1841118395534</v>
      </c>
      <c r="Q19">
        <f>'No Vp 100'!FJ18</f>
        <v>1.0003921866129262</v>
      </c>
    </row>
    <row r="20" spans="1:17" x14ac:dyDescent="0.3">
      <c r="A20" s="88">
        <f>'No Vp 100'!A19</f>
        <v>11.148474400965315</v>
      </c>
      <c r="B20">
        <f>'No Vp 100'!M19</f>
        <v>0.68937967115441801</v>
      </c>
      <c r="C20">
        <f>'No Vp 100'!Q19</f>
        <v>1.0209880895701263E-3</v>
      </c>
      <c r="D20">
        <f>2*0.712/'No Vp 100'!F19</f>
        <v>7.0374604395306317</v>
      </c>
      <c r="E20">
        <f>D20*SQRT(('No Vp 100'!Q19/'No Vp 100'!M19)^2+(0.0002/'No Vp 100'!F19)^2)</f>
        <v>1.2530597586725829E-2</v>
      </c>
      <c r="F20">
        <f>'No Vp 100'!AE19</f>
        <v>2.7267950848778142</v>
      </c>
      <c r="G20">
        <f>'No Vp 100'!Z19</f>
        <v>4.17999780480326E-3</v>
      </c>
      <c r="H20">
        <f>'No Vp 100'!AC19</f>
        <v>6.4226322693991982</v>
      </c>
      <c r="I20">
        <f>'No Vp 100'!AA19</f>
        <v>1.1237609903760975E-2</v>
      </c>
      <c r="J20">
        <f>'No Vp 100'!AD19</f>
        <v>3.126164390694087</v>
      </c>
      <c r="K20">
        <f>'No Vp 100'!AB19</f>
        <v>4.8420973806595049E-3</v>
      </c>
      <c r="L20">
        <f>'No Vp 100'!AL19</f>
        <v>297.85905969700173</v>
      </c>
      <c r="M20">
        <f>'No Vp 100'!FI19</f>
        <v>1.7407163978525875</v>
      </c>
      <c r="N20">
        <f>'No Vp 100'!AJ19</f>
        <v>48.224180646451998</v>
      </c>
      <c r="O20">
        <f>'No Vp 100'!FK19</f>
        <v>0.27178765630148444</v>
      </c>
      <c r="P20">
        <f>'No Vp 100'!AK19</f>
        <v>155.92956197470662</v>
      </c>
      <c r="Q20">
        <f>'No Vp 100'!FJ19</f>
        <v>1.0051634013246278</v>
      </c>
    </row>
    <row r="21" spans="1:17" x14ac:dyDescent="0.3">
      <c r="A21" s="88">
        <f>'No Vp 100'!A20</f>
        <v>11.535873125323196</v>
      </c>
      <c r="B21">
        <f>'No Vp 100'!M20</f>
        <v>0.68893591827363032</v>
      </c>
      <c r="C21">
        <f>'No Vp 100'!Q20</f>
        <v>1.0216298479723681E-3</v>
      </c>
      <c r="D21">
        <f>2*0.712/'No Vp 100'!F20</f>
        <v>7.0583901339130142</v>
      </c>
      <c r="E21">
        <f>D21*SQRT(('No Vp 100'!Q20/'No Vp 100'!M20)^2+(0.0002/'No Vp 100'!F20)^2)</f>
        <v>1.259045532916379E-2</v>
      </c>
      <c r="F21">
        <f>'No Vp 100'!AE20</f>
        <v>2.7271972993260039</v>
      </c>
      <c r="G21">
        <f>'No Vp 100'!Z20</f>
        <v>4.1858026911558693E-3</v>
      </c>
      <c r="H21">
        <f>'No Vp 100'!AC20</f>
        <v>6.4352263931062712</v>
      </c>
      <c r="I21">
        <f>'No Vp 100'!AA20</f>
        <v>1.1278238236576511E-2</v>
      </c>
      <c r="J21">
        <f>'No Vp 100'!AD20</f>
        <v>3.1303908145998784</v>
      </c>
      <c r="K21">
        <f>'No Vp 100'!AB20</f>
        <v>4.855117333371131E-3</v>
      </c>
      <c r="L21">
        <f>'No Vp 100'!AL20</f>
        <v>299.80244162997315</v>
      </c>
      <c r="M21">
        <f>'No Vp 100'!FI20</f>
        <v>1.7524869079602714</v>
      </c>
      <c r="N21">
        <f>'No Vp 100'!AJ20</f>
        <v>48.331681332728877</v>
      </c>
      <c r="O21">
        <f>'No Vp 100'!FK20</f>
        <v>0.27242173292831007</v>
      </c>
      <c r="P21">
        <f>'No Vp 100'!AK20</f>
        <v>157.09726659965571</v>
      </c>
      <c r="Q21">
        <f>'No Vp 100'!FJ20</f>
        <v>1.012996862765086</v>
      </c>
    </row>
    <row r="22" spans="1:17" x14ac:dyDescent="0.3">
      <c r="A22" s="88">
        <f>'No Vp 100'!A21</f>
        <v>12.052404757800351</v>
      </c>
      <c r="B22">
        <f>'No Vp 100'!M21</f>
        <v>0.6883501084388236</v>
      </c>
      <c r="C22">
        <f>'No Vp 100'!Q21</f>
        <v>1.0224772813077893E-3</v>
      </c>
      <c r="D22">
        <f>2*0.712/'No Vp 100'!F21</f>
        <v>7.0864908175482091</v>
      </c>
      <c r="E22">
        <f>D22*SQRT(('No Vp 100'!Q21/'No Vp 100'!M21)^2+(0.0002/'No Vp 100'!F21)^2)</f>
        <v>1.2670818740132482E-2</v>
      </c>
      <c r="F22">
        <f>'No Vp 100'!AE21</f>
        <v>2.7216461896517852</v>
      </c>
      <c r="G22">
        <f>'No Vp 100'!Z21</f>
        <v>4.1835099222671986E-3</v>
      </c>
      <c r="H22">
        <f>'No Vp 100'!AC21</f>
        <v>6.4539115232892206</v>
      </c>
      <c r="I22">
        <f>'No Vp 100'!AA21</f>
        <v>1.1336676488148838E-2</v>
      </c>
      <c r="J22">
        <f>'No Vp 100'!AD21</f>
        <v>3.136500693515079</v>
      </c>
      <c r="K22">
        <f>'No Vp 100'!AB21</f>
        <v>4.8732412647962946E-3</v>
      </c>
      <c r="L22">
        <f>'No Vp 100'!AL21</f>
        <v>303.03055821504768</v>
      </c>
      <c r="M22">
        <f>'No Vp 100'!FI21</f>
        <v>1.7716956191519662</v>
      </c>
      <c r="N22">
        <f>'No Vp 100'!AJ21</f>
        <v>48.258125469009116</v>
      </c>
      <c r="O22">
        <f>'No Vp 100'!FK21</f>
        <v>0.27203245179511287</v>
      </c>
      <c r="P22">
        <f>'No Vp 100'!AK21</f>
        <v>159.01531068469498</v>
      </c>
      <c r="Q22">
        <f>'No Vp 100'!FJ21</f>
        <v>1.0254163199096196</v>
      </c>
    </row>
    <row r="23" spans="1:17" x14ac:dyDescent="0.3">
      <c r="A23" s="88">
        <f>'No Vp 100'!A22</f>
        <v>12.31067057403893</v>
      </c>
      <c r="B23">
        <f>'No Vp 100'!M22</f>
        <v>0.68806011768450803</v>
      </c>
      <c r="C23">
        <f>'No Vp 100'!Q22</f>
        <v>1.0228968730074837E-3</v>
      </c>
      <c r="D23">
        <f>2*0.712/'No Vp 100'!F22</f>
        <v>7.1077136042857934</v>
      </c>
      <c r="E23">
        <f>D23*SQRT(('No Vp 100'!Q22/'No Vp 100'!M22)^2+(0.0002/'No Vp 100'!F22)^2)</f>
        <v>1.2727862528015676E-2</v>
      </c>
      <c r="F23">
        <f>'No Vp 100'!AE22</f>
        <v>2.7140609791594006</v>
      </c>
      <c r="G23">
        <f>'No Vp 100'!Z22</f>
        <v>4.1744398759688481E-3</v>
      </c>
      <c r="H23">
        <f>'No Vp 100'!AC22</f>
        <v>6.4644737864750779</v>
      </c>
      <c r="I23">
        <f>'No Vp 100'!AA22</f>
        <v>1.1368647682458207E-2</v>
      </c>
      <c r="J23">
        <f>'No Vp 100'!AD22</f>
        <v>3.1396696546270704</v>
      </c>
      <c r="K23">
        <f>'No Vp 100'!AB22</f>
        <v>4.8824754809146569E-3</v>
      </c>
      <c r="L23">
        <f>'No Vp 100'!AL22</f>
        <v>305.10131748491784</v>
      </c>
      <c r="M23">
        <f>'No Vp 100'!FI22</f>
        <v>1.7838058107949826</v>
      </c>
      <c r="N23">
        <f>'No Vp 100'!AJ22</f>
        <v>48.050212882568793</v>
      </c>
      <c r="O23">
        <f>'No Vp 100'!FK22</f>
        <v>0.27086349671307897</v>
      </c>
      <c r="P23">
        <f>'No Vp 100'!AK22</f>
        <v>160.24573300955367</v>
      </c>
      <c r="Q23">
        <f>'No Vp 100'!FJ22</f>
        <v>1.0330821584199767</v>
      </c>
    </row>
    <row r="24" spans="1:17" x14ac:dyDescent="0.3">
      <c r="A24" s="88">
        <f>'No Vp 100'!A23</f>
        <v>12.482847784864649</v>
      </c>
      <c r="B24">
        <f>'No Vp 100'!M23</f>
        <v>0.68786793116786382</v>
      </c>
      <c r="C24">
        <f>'No Vp 100'!Q23</f>
        <v>1.0231749814907439E-3</v>
      </c>
      <c r="D24">
        <f>2*0.712/'No Vp 100'!F23</f>
        <v>7.1290638898457708</v>
      </c>
      <c r="E24">
        <f>D24*SQRT(('No Vp 100'!Q23/'No Vp 100'!M23)^2+(0.0002/'No Vp 100'!F23)^2)</f>
        <v>1.2782871499055966E-2</v>
      </c>
      <c r="F24">
        <f>'No Vp 100'!AE23</f>
        <v>2.7143735850086865</v>
      </c>
      <c r="G24">
        <f>'No Vp 100'!Z23</f>
        <v>4.1771795090154449E-3</v>
      </c>
      <c r="H24">
        <f>'No Vp 100'!AC23</f>
        <v>6.4721173107072323</v>
      </c>
      <c r="I24">
        <f>'No Vp 100'!AA23</f>
        <v>1.1391324983349136E-2</v>
      </c>
      <c r="J24">
        <f>'No Vp 100'!AD23</f>
        <v>3.1417778212885885</v>
      </c>
      <c r="K24">
        <f>'No Vp 100'!AB23</f>
        <v>4.8886158180107215E-3</v>
      </c>
      <c r="L24">
        <f>'No Vp 100'!AL23</f>
        <v>306.15342563592168</v>
      </c>
      <c r="M24">
        <f>'No Vp 100'!FI23</f>
        <v>1.7901923677599889</v>
      </c>
      <c r="N24">
        <f>'No Vp 100'!AJ23</f>
        <v>48.101577807981357</v>
      </c>
      <c r="O24">
        <f>'No Vp 100'!FK23</f>
        <v>0.27116554206896826</v>
      </c>
      <c r="P24">
        <f>'No Vp 100'!AK23</f>
        <v>160.92810865089729</v>
      </c>
      <c r="Q24">
        <f>'No Vp 100'!FJ23</f>
        <v>1.0376095761945545</v>
      </c>
    </row>
    <row r="26" spans="1:17" x14ac:dyDescent="0.3">
      <c r="A26" t="s">
        <v>324</v>
      </c>
    </row>
    <row r="27" spans="1:17" x14ac:dyDescent="0.3">
      <c r="A27" t="s">
        <v>325</v>
      </c>
    </row>
    <row r="28" spans="1:17" x14ac:dyDescent="0.3">
      <c r="A28" t="s">
        <v>326</v>
      </c>
    </row>
    <row r="29" spans="1:17" x14ac:dyDescent="0.3">
      <c r="A29" t="s">
        <v>327</v>
      </c>
    </row>
    <row r="30" spans="1:17" x14ac:dyDescent="0.3">
      <c r="A30"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lpstr>Plot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2026-08-12T03:41:55Z</dcterms:modified>
</cp:coreProperties>
</file>