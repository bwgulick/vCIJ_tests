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lick\Downloads\vCIJ_tests\"/>
    </mc:Choice>
  </mc:AlternateContent>
  <xr:revisionPtr revIDLastSave="0" documentId="13_ncr:1_{F73D36C6-25FF-43D9-BCD5-C552F1D3DF1B}" xr6:coauthVersionLast="47" xr6:coauthVersionMax="47" xr10:uidLastSave="{00000000-0000-0000-0000-000000000000}"/>
  <bookViews>
    <workbookView xWindow="-120" yWindow="-120" windowWidth="29040" windowHeight="15720" activeTab="3" xr2:uid="{AF17594D-297A-453C-A603-553966F3F3E4}"/>
  </bookViews>
  <sheets>
    <sheet name="Summary" sheetId="24" r:id="rId1"/>
    <sheet name="Inputs" sheetId="1" r:id="rId2"/>
    <sheet name="Align" sheetId="2" r:id="rId3"/>
    <sheet name="FS_NoVs111" sheetId="14" r:id="rId4"/>
    <sheet name="FS_NoVp111" sheetId="15" r:id="rId5"/>
    <sheet name="FS_NoVs100" sheetId="16" r:id="rId6"/>
    <sheet name="FS_NoVp100" sheetId="17" r:id="rId7"/>
    <sheet name="Cook_NoVs111" sheetId="18" r:id="rId8"/>
    <sheet name="Cook_NoVp111" sheetId="19" r:id="rId9"/>
    <sheet name="Cook_NoVs100" sheetId="20" r:id="rId10"/>
    <sheet name="Cook_NoVp100" sheetId="21" r:id="rId11"/>
    <sheet name="Global_FS" sheetId="22" r:id="rId12"/>
    <sheet name="Global_Cook" sheetId="23" r:id="rId13"/>
  </sheets>
  <definedNames>
    <definedName name="alpha_100">Inputs!$M$6</definedName>
    <definedName name="alpha_111">Inputs!$M$15</definedName>
    <definedName name="CutoffLowBar">Inputs!$M$23</definedName>
    <definedName name="CutoffOilBar">Inputs!$M$22</definedName>
    <definedName name="gamma_100">Inputs!$M$8</definedName>
    <definedName name="gamma_111">Inputs!$M$17</definedName>
    <definedName name="gC11_0">Global_Cook!$CW$4</definedName>
    <definedName name="gC11a">Global_Cook!$CW$14</definedName>
    <definedName name="gC11p">Global_Cook!$CW$7</definedName>
    <definedName name="gC12_0">Global_Cook!$CW$5</definedName>
    <definedName name="gC12a">Global_Cook!$CW$15</definedName>
    <definedName name="gC12p">Global_Cook!$CW$8</definedName>
    <definedName name="gC44_0">Global_Cook!$CW$6</definedName>
    <definedName name="gC44a">Global_Cook!$CW$16</definedName>
    <definedName name="gC44p">Global_Cook!$CW$9</definedName>
    <definedName name="gK0">Global_Cook!$CW$11</definedName>
    <definedName name="gK0p">Global_Cook!$CW$12</definedName>
    <definedName name="Lfin_100">Inputs!$M$5</definedName>
    <definedName name="Lfin_111">Inputs!$M$14</definedName>
    <definedName name="Linit_100">Inputs!$M$4</definedName>
    <definedName name="Linit_111">Inputs!$M$13</definedName>
    <definedName name="nData">22</definedName>
    <definedName name="NormalizeFlag">Inputs!$M$24</definedName>
    <definedName name="rho_100">Inputs!$M$7</definedName>
    <definedName name="rho_111">Inputs!$M$16</definedName>
    <definedName name="SBR0_100">Inputs!$M$10</definedName>
    <definedName name="SBR0_111">Inputs!$M$19</definedName>
    <definedName name="scal_100">Inputs!$M$11</definedName>
    <definedName name="scal_111">Inputs!$M$20</definedName>
    <definedName name="solver_adj" localSheetId="8" hidden="1">Cook_NoVp111!$AP$4:$AP$9</definedName>
    <definedName name="solver_adj" localSheetId="9" hidden="1">Cook_NoVs100!$AP$4:$AP$9</definedName>
    <definedName name="solver_adj" localSheetId="7" hidden="1">Cook_NoVs111!$AP$4:$AP$9</definedName>
    <definedName name="solver_adj" localSheetId="6" hidden="1">FS_NoVp100!$AI$4:$AI$9,FS_NoVp100!$G$5:$G$25</definedName>
    <definedName name="solver_adj" localSheetId="4" hidden="1">FS_NoVp111!$AI$4:$AI$9,FS_NoVp111!$G$5:$G$25</definedName>
    <definedName name="solver_adj" localSheetId="5" hidden="1">FS_NoVs100!$AI$4:$AI$9,FS_NoVs100!$G$5:$G$25</definedName>
    <definedName name="solver_adj" localSheetId="3" hidden="1">FS_NoVs111!$AI$4:$AI$9,FS_NoVs111!$G$5:$G$25</definedName>
    <definedName name="solver_adj" localSheetId="12" hidden="1">Global_Cook!$CW$4:$CW$9</definedName>
    <definedName name="solver_adj" localSheetId="11" hidden="1">Global_FS!$AP$4:$AP$9,Global_FS!$G$5:$G$25</definedName>
    <definedName name="solver_eng" localSheetId="10" hidden="1">1</definedName>
    <definedName name="solver_eng" localSheetId="8" hidden="1">1</definedName>
    <definedName name="solver_eng" localSheetId="9" hidden="1">1</definedName>
    <definedName name="solver_eng" localSheetId="7" hidden="1">1</definedName>
    <definedName name="solver_eng" localSheetId="6" hidden="1">1</definedName>
    <definedName name="solver_eng" localSheetId="4" hidden="1">1</definedName>
    <definedName name="solver_eng" localSheetId="5" hidden="1">1</definedName>
    <definedName name="solver_eng" localSheetId="3" hidden="1">1</definedName>
    <definedName name="solver_eng" localSheetId="12" hidden="1">1</definedName>
    <definedName name="solver_eng" localSheetId="11" hidden="1">1</definedName>
    <definedName name="solver_neg" localSheetId="10" hidden="1">1</definedName>
    <definedName name="solver_neg" localSheetId="8" hidden="1">1</definedName>
    <definedName name="solver_neg" localSheetId="9" hidden="1">1</definedName>
    <definedName name="solver_neg" localSheetId="7" hidden="1">1</definedName>
    <definedName name="solver_neg" localSheetId="6" hidden="1">1</definedName>
    <definedName name="solver_neg" localSheetId="4" hidden="1">1</definedName>
    <definedName name="solver_neg" localSheetId="5" hidden="1">1</definedName>
    <definedName name="solver_neg" localSheetId="3" hidden="1">1</definedName>
    <definedName name="solver_neg" localSheetId="12" hidden="1">1</definedName>
    <definedName name="solver_neg" localSheetId="11" hidden="1">1</definedName>
    <definedName name="solver_num" localSheetId="10" hidden="1">0</definedName>
    <definedName name="solver_num" localSheetId="8" hidden="1">0</definedName>
    <definedName name="solver_num" localSheetId="9" hidden="1">0</definedName>
    <definedName name="solver_num" localSheetId="7" hidden="1">0</definedName>
    <definedName name="solver_num" localSheetId="6" hidden="1">0</definedName>
    <definedName name="solver_num" localSheetId="4" hidden="1">0</definedName>
    <definedName name="solver_num" localSheetId="5" hidden="1">0</definedName>
    <definedName name="solver_num" localSheetId="3" hidden="1">0</definedName>
    <definedName name="solver_num" localSheetId="12" hidden="1">0</definedName>
    <definedName name="solver_num" localSheetId="11" hidden="1">0</definedName>
    <definedName name="solver_opt" localSheetId="8" hidden="1">Cook_NoVp111!$AP$18</definedName>
    <definedName name="solver_opt" localSheetId="9" hidden="1">Cook_NoVs100!$AP$18</definedName>
    <definedName name="solver_opt" localSheetId="7" hidden="1">Cook_NoVs111!$AP$18</definedName>
    <definedName name="solver_opt" localSheetId="6" hidden="1">FS_NoVp100!$AI$18</definedName>
    <definedName name="solver_opt" localSheetId="4" hidden="1">FS_NoVp111!$AI$18</definedName>
    <definedName name="solver_opt" localSheetId="5" hidden="1">FS_NoVs100!$AI$18</definedName>
    <definedName name="solver_opt" localSheetId="3" hidden="1">FS_NoVs111!$AI$18</definedName>
    <definedName name="solver_opt" localSheetId="12" hidden="1">Global_Cook!$CW$18</definedName>
    <definedName name="solver_opt" localSheetId="11" hidden="1">Global_FS!$AP$18</definedName>
    <definedName name="solver_typ" localSheetId="10" hidden="1">1</definedName>
    <definedName name="solver_typ" localSheetId="8" hidden="1">2</definedName>
    <definedName name="solver_typ" localSheetId="9" hidden="1">2</definedName>
    <definedName name="solver_typ" localSheetId="7" hidden="1">2</definedName>
    <definedName name="solver_typ" localSheetId="6" hidden="1">2</definedName>
    <definedName name="solver_typ" localSheetId="4" hidden="1">2</definedName>
    <definedName name="solver_typ" localSheetId="5" hidden="1">2</definedName>
    <definedName name="solver_typ" localSheetId="3" hidden="1">2</definedName>
    <definedName name="solver_typ" localSheetId="12" hidden="1">2</definedName>
    <definedName name="solver_typ" localSheetId="11" hidden="1">2</definedName>
    <definedName name="solver_val" localSheetId="10" hidden="1">0</definedName>
    <definedName name="solver_val" localSheetId="8" hidden="1">0</definedName>
    <definedName name="solver_val" localSheetId="9" hidden="1">0</definedName>
    <definedName name="solver_val" localSheetId="7" hidden="1">0</definedName>
    <definedName name="solver_val" localSheetId="6" hidden="1">0</definedName>
    <definedName name="solver_val" localSheetId="4" hidden="1">0</definedName>
    <definedName name="solver_val" localSheetId="5" hidden="1">0</definedName>
    <definedName name="solver_val" localSheetId="3" hidden="1">0</definedName>
    <definedName name="solver_val" localSheetId="12" hidden="1">0</definedName>
    <definedName name="solver_val" localSheetId="11" hidden="1">0</definedName>
    <definedName name="solver_ver" localSheetId="10" hidden="1">3</definedName>
    <definedName name="solver_ver" localSheetId="8" hidden="1">3</definedName>
    <definedName name="solver_ver" localSheetId="9" hidden="1">3</definedName>
    <definedName name="solver_ver" localSheetId="7" hidden="1">3</definedName>
    <definedName name="solver_ver" localSheetId="6" hidden="1">3</definedName>
    <definedName name="solver_ver" localSheetId="4" hidden="1">3</definedName>
    <definedName name="solver_ver" localSheetId="5" hidden="1">3</definedName>
    <definedName name="solver_ver" localSheetId="3" hidden="1">3</definedName>
    <definedName name="solver_ver" localSheetId="12" hidden="1">3</definedName>
    <definedName name="solver_ver" localSheetId="11" hidden="1">3</definedName>
    <definedName name="T_100">Inputs!$M$9</definedName>
    <definedName name="T_111">Inputs!$M$18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O10" i="24" l="1"/>
  <c r="N10" i="24"/>
  <c r="M10" i="24"/>
  <c r="K12" i="24"/>
  <c r="J12" i="24"/>
  <c r="I12" i="24"/>
  <c r="H12" i="24"/>
  <c r="G12" i="24"/>
  <c r="F12" i="24"/>
  <c r="E12" i="24"/>
  <c r="D12" i="24"/>
  <c r="C12" i="24"/>
  <c r="B12" i="24"/>
  <c r="K11" i="24"/>
  <c r="J11" i="24"/>
  <c r="I11" i="24"/>
  <c r="H11" i="24"/>
  <c r="G11" i="24"/>
  <c r="F11" i="24"/>
  <c r="E11" i="24"/>
  <c r="D11" i="24"/>
  <c r="C11" i="24"/>
  <c r="B11" i="24"/>
  <c r="K10" i="24"/>
  <c r="J10" i="24"/>
  <c r="I10" i="24"/>
  <c r="H10" i="24"/>
  <c r="G10" i="24"/>
  <c r="F10" i="24"/>
  <c r="E10" i="24"/>
  <c r="D10" i="24"/>
  <c r="C10" i="24"/>
  <c r="B10" i="24"/>
  <c r="K9" i="24"/>
  <c r="J9" i="24"/>
  <c r="I9" i="24"/>
  <c r="H9" i="24"/>
  <c r="G9" i="24"/>
  <c r="F9" i="24"/>
  <c r="E9" i="24"/>
  <c r="D9" i="24"/>
  <c r="C9" i="24"/>
  <c r="B9" i="24"/>
  <c r="K8" i="24"/>
  <c r="J8" i="24"/>
  <c r="I8" i="24"/>
  <c r="H8" i="24"/>
  <c r="G8" i="24"/>
  <c r="F8" i="24"/>
  <c r="E8" i="24"/>
  <c r="D8" i="24"/>
  <c r="C8" i="24"/>
  <c r="B8" i="24"/>
  <c r="K7" i="24"/>
  <c r="J7" i="24"/>
  <c r="I7" i="24"/>
  <c r="H7" i="24"/>
  <c r="G7" i="24"/>
  <c r="F7" i="24"/>
  <c r="E7" i="24"/>
  <c r="D7" i="24"/>
  <c r="C7" i="24"/>
  <c r="B7" i="24"/>
  <c r="K6" i="24"/>
  <c r="J6" i="24"/>
  <c r="I6" i="24"/>
  <c r="H6" i="24"/>
  <c r="G6" i="24"/>
  <c r="F6" i="24"/>
  <c r="E6" i="24"/>
  <c r="D6" i="24"/>
  <c r="C6" i="24"/>
  <c r="B6" i="24"/>
  <c r="K5" i="24"/>
  <c r="J5" i="24"/>
  <c r="I5" i="24"/>
  <c r="H5" i="24"/>
  <c r="G5" i="24"/>
  <c r="F5" i="24"/>
  <c r="E5" i="24"/>
  <c r="D5" i="24"/>
  <c r="C5" i="24"/>
  <c r="B5" i="24"/>
  <c r="K4" i="24"/>
  <c r="J4" i="24"/>
  <c r="I4" i="24"/>
  <c r="H4" i="24"/>
  <c r="G4" i="24"/>
  <c r="F4" i="24"/>
  <c r="E4" i="24"/>
  <c r="D4" i="24"/>
  <c r="C4" i="24"/>
  <c r="B4" i="24"/>
  <c r="DA9" i="23"/>
  <c r="DA8" i="23"/>
  <c r="DA7" i="23"/>
  <c r="DA6" i="23"/>
  <c r="DA5" i="23"/>
  <c r="DA4" i="23"/>
  <c r="CW12" i="23"/>
  <c r="DA11" i="23" s="1"/>
  <c r="CW11" i="23"/>
  <c r="CW16" i="23" s="1"/>
  <c r="CT25" i="23"/>
  <c r="CT24" i="23"/>
  <c r="CT23" i="23"/>
  <c r="CT22" i="23"/>
  <c r="CT21" i="23"/>
  <c r="CT20" i="23"/>
  <c r="CT19" i="23"/>
  <c r="CT7" i="23"/>
  <c r="CT6" i="23"/>
  <c r="CT5" i="23"/>
  <c r="CT4" i="23"/>
  <c r="CO4" i="23"/>
  <c r="CH4" i="23"/>
  <c r="CG4" i="23"/>
  <c r="CF4" i="23"/>
  <c r="CE4" i="23"/>
  <c r="CD4" i="23"/>
  <c r="CC4" i="23"/>
  <c r="BX25" i="23"/>
  <c r="BX24" i="23"/>
  <c r="BX23" i="23"/>
  <c r="BX22" i="23"/>
  <c r="BX21" i="23"/>
  <c r="BX20" i="23"/>
  <c r="BX19" i="23"/>
  <c r="BX7" i="23"/>
  <c r="BX6" i="23"/>
  <c r="BX5" i="23"/>
  <c r="BX4" i="23"/>
  <c r="BQ4" i="23"/>
  <c r="BL4" i="23"/>
  <c r="BK4" i="23"/>
  <c r="BJ4" i="23"/>
  <c r="BI4" i="23"/>
  <c r="BH4" i="23"/>
  <c r="BG4" i="23"/>
  <c r="BB25" i="23"/>
  <c r="BB24" i="23"/>
  <c r="BB23" i="23"/>
  <c r="BB22" i="23"/>
  <c r="BB21" i="23"/>
  <c r="BB20" i="23"/>
  <c r="BB19" i="23"/>
  <c r="BB7" i="23"/>
  <c r="BB6" i="23"/>
  <c r="BB5" i="23"/>
  <c r="BB4" i="23"/>
  <c r="AW4" i="23"/>
  <c r="AU4" i="23"/>
  <c r="AP4" i="23"/>
  <c r="AO4" i="23"/>
  <c r="AN4" i="23"/>
  <c r="AM4" i="23"/>
  <c r="AL4" i="23"/>
  <c r="AK4" i="23"/>
  <c r="AF25" i="23"/>
  <c r="AF24" i="23"/>
  <c r="AF23" i="23"/>
  <c r="AF22" i="23"/>
  <c r="AF21" i="23"/>
  <c r="AF20" i="23"/>
  <c r="AF19" i="23"/>
  <c r="AF7" i="23"/>
  <c r="AF6" i="23"/>
  <c r="AF5" i="23"/>
  <c r="AF4" i="23"/>
  <c r="AA4" i="23"/>
  <c r="Y4" i="23"/>
  <c r="T4" i="23"/>
  <c r="S4" i="23"/>
  <c r="R4" i="23"/>
  <c r="Q4" i="23"/>
  <c r="P4" i="23"/>
  <c r="O4" i="23"/>
  <c r="H25" i="23"/>
  <c r="G25" i="23"/>
  <c r="D25" i="23"/>
  <c r="C25" i="23"/>
  <c r="B25" i="23"/>
  <c r="A25" i="23"/>
  <c r="H24" i="23"/>
  <c r="G24" i="23"/>
  <c r="D24" i="23"/>
  <c r="C24" i="23"/>
  <c r="B24" i="23"/>
  <c r="A24" i="23"/>
  <c r="H23" i="23"/>
  <c r="G23" i="23"/>
  <c r="D23" i="23"/>
  <c r="C23" i="23"/>
  <c r="B23" i="23"/>
  <c r="A23" i="23"/>
  <c r="H22" i="23"/>
  <c r="G22" i="23"/>
  <c r="D22" i="23"/>
  <c r="C22" i="23"/>
  <c r="B22" i="23"/>
  <c r="A22" i="23"/>
  <c r="H21" i="23"/>
  <c r="G21" i="23"/>
  <c r="D21" i="23"/>
  <c r="C21" i="23"/>
  <c r="B21" i="23"/>
  <c r="A21" i="23"/>
  <c r="H20" i="23"/>
  <c r="G20" i="23"/>
  <c r="D20" i="23"/>
  <c r="C20" i="23"/>
  <c r="B20" i="23"/>
  <c r="A20" i="23"/>
  <c r="H19" i="23"/>
  <c r="G19" i="23"/>
  <c r="D19" i="23"/>
  <c r="C19" i="23"/>
  <c r="B19" i="23"/>
  <c r="A19" i="23"/>
  <c r="H18" i="23"/>
  <c r="G18" i="23"/>
  <c r="D18" i="23"/>
  <c r="C18" i="23"/>
  <c r="B18" i="23"/>
  <c r="A18" i="23"/>
  <c r="H17" i="23"/>
  <c r="G17" i="23"/>
  <c r="D17" i="23"/>
  <c r="C17" i="23"/>
  <c r="B17" i="23"/>
  <c r="A17" i="23"/>
  <c r="H16" i="23"/>
  <c r="G16" i="23"/>
  <c r="D16" i="23"/>
  <c r="C16" i="23"/>
  <c r="B16" i="23"/>
  <c r="A16" i="23"/>
  <c r="H15" i="23"/>
  <c r="G15" i="23"/>
  <c r="D15" i="23"/>
  <c r="C15" i="23"/>
  <c r="B15" i="23"/>
  <c r="A15" i="23"/>
  <c r="H14" i="23"/>
  <c r="G14" i="23"/>
  <c r="D14" i="23"/>
  <c r="C14" i="23"/>
  <c r="B14" i="23"/>
  <c r="A14" i="23"/>
  <c r="H13" i="23"/>
  <c r="G13" i="23"/>
  <c r="D13" i="23"/>
  <c r="C13" i="23"/>
  <c r="B13" i="23"/>
  <c r="A13" i="23"/>
  <c r="H12" i="23"/>
  <c r="G12" i="23"/>
  <c r="D12" i="23"/>
  <c r="C12" i="23"/>
  <c r="B12" i="23"/>
  <c r="A12" i="23"/>
  <c r="H11" i="23"/>
  <c r="G11" i="23"/>
  <c r="D11" i="23"/>
  <c r="C11" i="23"/>
  <c r="B11" i="23"/>
  <c r="A11" i="23"/>
  <c r="H10" i="23"/>
  <c r="G10" i="23"/>
  <c r="D10" i="23"/>
  <c r="C10" i="23"/>
  <c r="B10" i="23"/>
  <c r="A10" i="23"/>
  <c r="H9" i="23"/>
  <c r="G9" i="23"/>
  <c r="D9" i="23"/>
  <c r="C9" i="23"/>
  <c r="B9" i="23"/>
  <c r="A9" i="23"/>
  <c r="H8" i="23"/>
  <c r="G8" i="23"/>
  <c r="D8" i="23"/>
  <c r="C8" i="23"/>
  <c r="B8" i="23"/>
  <c r="A8" i="23"/>
  <c r="H7" i="23"/>
  <c r="G7" i="23"/>
  <c r="D7" i="23"/>
  <c r="C7" i="23"/>
  <c r="B7" i="23"/>
  <c r="A7" i="23"/>
  <c r="H6" i="23"/>
  <c r="G6" i="23"/>
  <c r="D6" i="23"/>
  <c r="C6" i="23"/>
  <c r="B6" i="23"/>
  <c r="A6" i="23"/>
  <c r="H5" i="23"/>
  <c r="G5" i="23"/>
  <c r="D5" i="23"/>
  <c r="C5" i="23"/>
  <c r="B5" i="23"/>
  <c r="A5" i="23"/>
  <c r="H4" i="23"/>
  <c r="G4" i="23"/>
  <c r="D4" i="23"/>
  <c r="C4" i="23"/>
  <c r="B4" i="23"/>
  <c r="A4" i="23"/>
  <c r="AT9" i="22"/>
  <c r="AT8" i="22"/>
  <c r="AT7" i="22"/>
  <c r="AT6" i="22"/>
  <c r="AT5" i="22"/>
  <c r="AT4" i="22"/>
  <c r="AP12" i="22"/>
  <c r="AT11" i="22" s="1"/>
  <c r="AP11" i="22"/>
  <c r="AP15" i="22" s="1"/>
  <c r="AI25" i="22"/>
  <c r="M25" i="22"/>
  <c r="L25" i="22"/>
  <c r="I25" i="22"/>
  <c r="K25" i="22" s="1"/>
  <c r="H25" i="22"/>
  <c r="D25" i="22"/>
  <c r="C25" i="22"/>
  <c r="B25" i="22"/>
  <c r="A25" i="22"/>
  <c r="AI24" i="22"/>
  <c r="M24" i="22"/>
  <c r="L24" i="22"/>
  <c r="I24" i="22"/>
  <c r="K24" i="22" s="1"/>
  <c r="H24" i="22"/>
  <c r="D24" i="22"/>
  <c r="C24" i="22"/>
  <c r="B24" i="22"/>
  <c r="A24" i="22"/>
  <c r="AI23" i="22"/>
  <c r="M23" i="22"/>
  <c r="L23" i="22"/>
  <c r="I23" i="22"/>
  <c r="J23" i="22" s="1"/>
  <c r="H23" i="22"/>
  <c r="D23" i="22"/>
  <c r="C23" i="22"/>
  <c r="B23" i="22"/>
  <c r="A23" i="22"/>
  <c r="AI22" i="22"/>
  <c r="M22" i="22"/>
  <c r="L22" i="22"/>
  <c r="I22" i="22"/>
  <c r="J22" i="22" s="1"/>
  <c r="H22" i="22"/>
  <c r="D22" i="22"/>
  <c r="C22" i="22"/>
  <c r="B22" i="22"/>
  <c r="A22" i="22"/>
  <c r="AI21" i="22"/>
  <c r="M21" i="22"/>
  <c r="L21" i="22"/>
  <c r="I21" i="22"/>
  <c r="K21" i="22" s="1"/>
  <c r="H21" i="22"/>
  <c r="D21" i="22"/>
  <c r="C21" i="22"/>
  <c r="B21" i="22"/>
  <c r="A21" i="22"/>
  <c r="AI20" i="22"/>
  <c r="M20" i="22"/>
  <c r="L20" i="22"/>
  <c r="I20" i="22"/>
  <c r="J20" i="22" s="1"/>
  <c r="H20" i="22"/>
  <c r="D20" i="22"/>
  <c r="C20" i="22"/>
  <c r="B20" i="22"/>
  <c r="A20" i="22"/>
  <c r="AI19" i="22"/>
  <c r="M19" i="22"/>
  <c r="L19" i="22"/>
  <c r="I19" i="22"/>
  <c r="K19" i="22" s="1"/>
  <c r="H19" i="22"/>
  <c r="D19" i="22"/>
  <c r="C19" i="22"/>
  <c r="B19" i="22"/>
  <c r="A19" i="22"/>
  <c r="M18" i="22"/>
  <c r="L18" i="22"/>
  <c r="I18" i="22"/>
  <c r="K18" i="22" s="1"/>
  <c r="H18" i="22"/>
  <c r="D18" i="22"/>
  <c r="C18" i="22"/>
  <c r="B18" i="22"/>
  <c r="A18" i="22"/>
  <c r="M17" i="22"/>
  <c r="L17" i="22"/>
  <c r="I17" i="22"/>
  <c r="K17" i="22" s="1"/>
  <c r="H17" i="22"/>
  <c r="D17" i="22"/>
  <c r="C17" i="22"/>
  <c r="B17" i="22"/>
  <c r="A17" i="22"/>
  <c r="M16" i="22"/>
  <c r="L16" i="22"/>
  <c r="I16" i="22"/>
  <c r="K16" i="22" s="1"/>
  <c r="H16" i="22"/>
  <c r="D16" i="22"/>
  <c r="C16" i="22"/>
  <c r="B16" i="22"/>
  <c r="A16" i="22"/>
  <c r="M15" i="22"/>
  <c r="L15" i="22"/>
  <c r="I15" i="22"/>
  <c r="K15" i="22" s="1"/>
  <c r="H15" i="22"/>
  <c r="D15" i="22"/>
  <c r="C15" i="22"/>
  <c r="B15" i="22"/>
  <c r="A15" i="22"/>
  <c r="M14" i="22"/>
  <c r="L14" i="22"/>
  <c r="I14" i="22"/>
  <c r="K14" i="22" s="1"/>
  <c r="H14" i="22"/>
  <c r="D14" i="22"/>
  <c r="C14" i="22"/>
  <c r="B14" i="22"/>
  <c r="A14" i="22"/>
  <c r="M13" i="22"/>
  <c r="L13" i="22"/>
  <c r="I13" i="22"/>
  <c r="K13" i="22" s="1"/>
  <c r="H13" i="22"/>
  <c r="D13" i="22"/>
  <c r="C13" i="22"/>
  <c r="B13" i="22"/>
  <c r="A13" i="22"/>
  <c r="M12" i="22"/>
  <c r="L12" i="22"/>
  <c r="I12" i="22"/>
  <c r="K12" i="22" s="1"/>
  <c r="H12" i="22"/>
  <c r="D12" i="22"/>
  <c r="C12" i="22"/>
  <c r="B12" i="22"/>
  <c r="A12" i="22"/>
  <c r="M11" i="22"/>
  <c r="L11" i="22"/>
  <c r="I11" i="22"/>
  <c r="K11" i="22" s="1"/>
  <c r="H11" i="22"/>
  <c r="D11" i="22"/>
  <c r="C11" i="22"/>
  <c r="B11" i="22"/>
  <c r="A11" i="22"/>
  <c r="M10" i="22"/>
  <c r="L10" i="22"/>
  <c r="I10" i="22"/>
  <c r="K10" i="22" s="1"/>
  <c r="H10" i="22"/>
  <c r="D10" i="22"/>
  <c r="C10" i="22"/>
  <c r="B10" i="22"/>
  <c r="A10" i="22"/>
  <c r="M9" i="22"/>
  <c r="L9" i="22"/>
  <c r="I9" i="22"/>
  <c r="J9" i="22" s="1"/>
  <c r="H9" i="22"/>
  <c r="D9" i="22"/>
  <c r="C9" i="22"/>
  <c r="B9" i="22"/>
  <c r="A9" i="22"/>
  <c r="M8" i="22"/>
  <c r="L8" i="22"/>
  <c r="I8" i="22"/>
  <c r="J8" i="22" s="1"/>
  <c r="H8" i="22"/>
  <c r="D8" i="22"/>
  <c r="C8" i="22"/>
  <c r="B8" i="22"/>
  <c r="A8" i="22"/>
  <c r="AI7" i="22"/>
  <c r="M7" i="22"/>
  <c r="L7" i="22"/>
  <c r="I7" i="22"/>
  <c r="K7" i="22" s="1"/>
  <c r="H7" i="22"/>
  <c r="D7" i="22"/>
  <c r="C7" i="22"/>
  <c r="B7" i="22"/>
  <c r="A7" i="22"/>
  <c r="AI6" i="22"/>
  <c r="M6" i="22"/>
  <c r="L6" i="22"/>
  <c r="I6" i="22"/>
  <c r="J6" i="22" s="1"/>
  <c r="H6" i="22"/>
  <c r="D6" i="22"/>
  <c r="C6" i="22"/>
  <c r="B6" i="22"/>
  <c r="A6" i="22"/>
  <c r="AI5" i="22"/>
  <c r="M5" i="22"/>
  <c r="L5" i="22"/>
  <c r="I5" i="22"/>
  <c r="J5" i="22" s="1"/>
  <c r="H5" i="22"/>
  <c r="D5" i="22"/>
  <c r="C5" i="22"/>
  <c r="B5" i="22"/>
  <c r="A5" i="22"/>
  <c r="AI4" i="22"/>
  <c r="AC4" i="22"/>
  <c r="X4" i="22"/>
  <c r="W4" i="22"/>
  <c r="U4" i="22"/>
  <c r="T4" i="22"/>
  <c r="R4" i="22"/>
  <c r="M4" i="22"/>
  <c r="L4" i="22"/>
  <c r="K4" i="22"/>
  <c r="J4" i="22"/>
  <c r="I4" i="22"/>
  <c r="H4" i="22"/>
  <c r="G4" i="22"/>
  <c r="D4" i="22"/>
  <c r="C4" i="22"/>
  <c r="B4" i="22"/>
  <c r="A4" i="22"/>
  <c r="AT9" i="21"/>
  <c r="AT8" i="21"/>
  <c r="AT7" i="21"/>
  <c r="AT6" i="21"/>
  <c r="AT5" i="21"/>
  <c r="AT4" i="21"/>
  <c r="AP12" i="21"/>
  <c r="AP11" i="21"/>
  <c r="AT10" i="21" s="1"/>
  <c r="AJ25" i="21"/>
  <c r="H25" i="21"/>
  <c r="G25" i="21"/>
  <c r="D25" i="21"/>
  <c r="C25" i="21"/>
  <c r="B25" i="21"/>
  <c r="A25" i="21"/>
  <c r="AJ24" i="21"/>
  <c r="H24" i="21"/>
  <c r="G24" i="21"/>
  <c r="D24" i="21"/>
  <c r="C24" i="21"/>
  <c r="B24" i="21"/>
  <c r="A24" i="21"/>
  <c r="AJ23" i="21"/>
  <c r="H23" i="21"/>
  <c r="G23" i="21"/>
  <c r="D23" i="21"/>
  <c r="C23" i="21"/>
  <c r="B23" i="21"/>
  <c r="A23" i="21"/>
  <c r="AJ22" i="21"/>
  <c r="H22" i="21"/>
  <c r="G22" i="21"/>
  <c r="D22" i="21"/>
  <c r="C22" i="21"/>
  <c r="B22" i="21"/>
  <c r="A22" i="21"/>
  <c r="AJ21" i="21"/>
  <c r="H21" i="21"/>
  <c r="G21" i="21"/>
  <c r="D21" i="21"/>
  <c r="C21" i="21"/>
  <c r="B21" i="21"/>
  <c r="A21" i="21"/>
  <c r="AJ20" i="21"/>
  <c r="H20" i="21"/>
  <c r="G20" i="21"/>
  <c r="D20" i="21"/>
  <c r="C20" i="21"/>
  <c r="B20" i="21"/>
  <c r="A20" i="21"/>
  <c r="AJ19" i="21"/>
  <c r="H19" i="21"/>
  <c r="G19" i="21"/>
  <c r="D19" i="21"/>
  <c r="C19" i="21"/>
  <c r="B19" i="21"/>
  <c r="A19" i="21"/>
  <c r="H18" i="21"/>
  <c r="G18" i="21"/>
  <c r="D18" i="21"/>
  <c r="C18" i="21"/>
  <c r="B18" i="21"/>
  <c r="A18" i="21"/>
  <c r="H17" i="21"/>
  <c r="G17" i="21"/>
  <c r="D17" i="21"/>
  <c r="C17" i="21"/>
  <c r="B17" i="21"/>
  <c r="A17" i="21"/>
  <c r="H16" i="21"/>
  <c r="G16" i="21"/>
  <c r="D16" i="21"/>
  <c r="C16" i="21"/>
  <c r="B16" i="21"/>
  <c r="A16" i="21"/>
  <c r="H15" i="21"/>
  <c r="G15" i="21"/>
  <c r="D15" i="21"/>
  <c r="C15" i="21"/>
  <c r="B15" i="21"/>
  <c r="A15" i="21"/>
  <c r="H14" i="21"/>
  <c r="G14" i="21"/>
  <c r="D14" i="21"/>
  <c r="C14" i="21"/>
  <c r="B14" i="21"/>
  <c r="A14" i="21"/>
  <c r="H13" i="21"/>
  <c r="G13" i="21"/>
  <c r="D13" i="21"/>
  <c r="C13" i="21"/>
  <c r="B13" i="21"/>
  <c r="A13" i="21"/>
  <c r="H12" i="21"/>
  <c r="G12" i="21"/>
  <c r="D12" i="21"/>
  <c r="C12" i="21"/>
  <c r="B12" i="21"/>
  <c r="A12" i="21"/>
  <c r="H11" i="21"/>
  <c r="G11" i="21"/>
  <c r="D11" i="21"/>
  <c r="C11" i="21"/>
  <c r="B11" i="21"/>
  <c r="A11" i="21"/>
  <c r="H10" i="21"/>
  <c r="G10" i="21"/>
  <c r="D10" i="21"/>
  <c r="C10" i="21"/>
  <c r="B10" i="21"/>
  <c r="A10" i="21"/>
  <c r="H9" i="21"/>
  <c r="G9" i="21"/>
  <c r="D9" i="21"/>
  <c r="C9" i="21"/>
  <c r="B9" i="21"/>
  <c r="A9" i="21"/>
  <c r="H8" i="21"/>
  <c r="G8" i="21"/>
  <c r="D8" i="21"/>
  <c r="C8" i="21"/>
  <c r="B8" i="21"/>
  <c r="A8" i="21"/>
  <c r="AJ7" i="21"/>
  <c r="H7" i="21"/>
  <c r="G7" i="21"/>
  <c r="D7" i="21"/>
  <c r="C7" i="21"/>
  <c r="B7" i="21"/>
  <c r="A7" i="21"/>
  <c r="AJ6" i="21"/>
  <c r="H6" i="21"/>
  <c r="G6" i="21"/>
  <c r="D6" i="21"/>
  <c r="C6" i="21"/>
  <c r="B6" i="21"/>
  <c r="A6" i="21"/>
  <c r="AJ5" i="21"/>
  <c r="H5" i="21"/>
  <c r="G5" i="21"/>
  <c r="D5" i="21"/>
  <c r="C5" i="21"/>
  <c r="B5" i="21"/>
  <c r="A5" i="21"/>
  <c r="AJ4" i="21"/>
  <c r="AA4" i="21"/>
  <c r="T4" i="21"/>
  <c r="S4" i="21"/>
  <c r="R4" i="21"/>
  <c r="Q4" i="21"/>
  <c r="P4" i="21"/>
  <c r="O4" i="21"/>
  <c r="H4" i="21"/>
  <c r="G4" i="21"/>
  <c r="D4" i="21"/>
  <c r="C4" i="21"/>
  <c r="B4" i="21"/>
  <c r="A4" i="21"/>
  <c r="AT9" i="20"/>
  <c r="AT8" i="20"/>
  <c r="AT7" i="20"/>
  <c r="AT6" i="20"/>
  <c r="AT5" i="20"/>
  <c r="AT4" i="20"/>
  <c r="AP12" i="20"/>
  <c r="AP11" i="20"/>
  <c r="AP16" i="20" s="1"/>
  <c r="AJ25" i="20"/>
  <c r="H25" i="20"/>
  <c r="G25" i="20"/>
  <c r="D25" i="20"/>
  <c r="C25" i="20"/>
  <c r="B25" i="20"/>
  <c r="A25" i="20"/>
  <c r="AJ24" i="20"/>
  <c r="H24" i="20"/>
  <c r="G24" i="20"/>
  <c r="D24" i="20"/>
  <c r="C24" i="20"/>
  <c r="B24" i="20"/>
  <c r="A24" i="20"/>
  <c r="AJ23" i="20"/>
  <c r="H23" i="20"/>
  <c r="G23" i="20"/>
  <c r="D23" i="20"/>
  <c r="C23" i="20"/>
  <c r="B23" i="20"/>
  <c r="A23" i="20"/>
  <c r="AJ22" i="20"/>
  <c r="H22" i="20"/>
  <c r="G22" i="20"/>
  <c r="D22" i="20"/>
  <c r="C22" i="20"/>
  <c r="B22" i="20"/>
  <c r="A22" i="20"/>
  <c r="AJ21" i="20"/>
  <c r="H21" i="20"/>
  <c r="G21" i="20"/>
  <c r="D21" i="20"/>
  <c r="C21" i="20"/>
  <c r="B21" i="20"/>
  <c r="A21" i="20"/>
  <c r="AJ20" i="20"/>
  <c r="H20" i="20"/>
  <c r="G20" i="20"/>
  <c r="D20" i="20"/>
  <c r="C20" i="20"/>
  <c r="B20" i="20"/>
  <c r="A20" i="20"/>
  <c r="AJ19" i="20"/>
  <c r="H19" i="20"/>
  <c r="G19" i="20"/>
  <c r="D19" i="20"/>
  <c r="C19" i="20"/>
  <c r="B19" i="20"/>
  <c r="A19" i="20"/>
  <c r="H18" i="20"/>
  <c r="G18" i="20"/>
  <c r="D18" i="20"/>
  <c r="C18" i="20"/>
  <c r="B18" i="20"/>
  <c r="A18" i="20"/>
  <c r="H17" i="20"/>
  <c r="G17" i="20"/>
  <c r="D17" i="20"/>
  <c r="C17" i="20"/>
  <c r="B17" i="20"/>
  <c r="A17" i="20"/>
  <c r="H16" i="20"/>
  <c r="G16" i="20"/>
  <c r="D16" i="20"/>
  <c r="C16" i="20"/>
  <c r="B16" i="20"/>
  <c r="A16" i="20"/>
  <c r="H15" i="20"/>
  <c r="G15" i="20"/>
  <c r="D15" i="20"/>
  <c r="C15" i="20"/>
  <c r="B15" i="20"/>
  <c r="A15" i="20"/>
  <c r="H14" i="20"/>
  <c r="G14" i="20"/>
  <c r="D14" i="20"/>
  <c r="C14" i="20"/>
  <c r="B14" i="20"/>
  <c r="A14" i="20"/>
  <c r="H13" i="20"/>
  <c r="G13" i="20"/>
  <c r="D13" i="20"/>
  <c r="C13" i="20"/>
  <c r="B13" i="20"/>
  <c r="A13" i="20"/>
  <c r="H12" i="20"/>
  <c r="G12" i="20"/>
  <c r="D12" i="20"/>
  <c r="C12" i="20"/>
  <c r="B12" i="20"/>
  <c r="A12" i="20"/>
  <c r="H11" i="20"/>
  <c r="G11" i="20"/>
  <c r="D11" i="20"/>
  <c r="C11" i="20"/>
  <c r="B11" i="20"/>
  <c r="A11" i="20"/>
  <c r="H10" i="20"/>
  <c r="G10" i="20"/>
  <c r="D10" i="20"/>
  <c r="C10" i="20"/>
  <c r="B10" i="20"/>
  <c r="A10" i="20"/>
  <c r="H9" i="20"/>
  <c r="G9" i="20"/>
  <c r="D9" i="20"/>
  <c r="C9" i="20"/>
  <c r="B9" i="20"/>
  <c r="A9" i="20"/>
  <c r="H8" i="20"/>
  <c r="G8" i="20"/>
  <c r="D8" i="20"/>
  <c r="C8" i="20"/>
  <c r="B8" i="20"/>
  <c r="A8" i="20"/>
  <c r="AJ7" i="20"/>
  <c r="H7" i="20"/>
  <c r="G7" i="20"/>
  <c r="D7" i="20"/>
  <c r="C7" i="20"/>
  <c r="B7" i="20"/>
  <c r="A7" i="20"/>
  <c r="AJ6" i="20"/>
  <c r="H6" i="20"/>
  <c r="G6" i="20"/>
  <c r="D6" i="20"/>
  <c r="C6" i="20"/>
  <c r="B6" i="20"/>
  <c r="A6" i="20"/>
  <c r="AJ5" i="20"/>
  <c r="H5" i="20"/>
  <c r="G5" i="20"/>
  <c r="D5" i="20"/>
  <c r="C5" i="20"/>
  <c r="B5" i="20"/>
  <c r="A5" i="20"/>
  <c r="AJ4" i="20"/>
  <c r="Y4" i="20"/>
  <c r="T4" i="20"/>
  <c r="S4" i="20"/>
  <c r="R4" i="20"/>
  <c r="Q4" i="20"/>
  <c r="P4" i="20"/>
  <c r="O4" i="20"/>
  <c r="H4" i="20"/>
  <c r="G4" i="20"/>
  <c r="D4" i="20"/>
  <c r="C4" i="20"/>
  <c r="B4" i="20"/>
  <c r="A4" i="20"/>
  <c r="AT9" i="19"/>
  <c r="AT8" i="19"/>
  <c r="AT7" i="19"/>
  <c r="AT6" i="19"/>
  <c r="AT5" i="19"/>
  <c r="AT4" i="19"/>
  <c r="AP12" i="19"/>
  <c r="AT11" i="19" s="1"/>
  <c r="AP11" i="19"/>
  <c r="AJ25" i="19"/>
  <c r="H25" i="19"/>
  <c r="G25" i="19"/>
  <c r="D25" i="19"/>
  <c r="C25" i="19"/>
  <c r="B25" i="19"/>
  <c r="A25" i="19"/>
  <c r="AJ24" i="19"/>
  <c r="H24" i="19"/>
  <c r="G24" i="19"/>
  <c r="D24" i="19"/>
  <c r="C24" i="19"/>
  <c r="B24" i="19"/>
  <c r="A24" i="19"/>
  <c r="AJ23" i="19"/>
  <c r="H23" i="19"/>
  <c r="G23" i="19"/>
  <c r="D23" i="19"/>
  <c r="C23" i="19"/>
  <c r="B23" i="19"/>
  <c r="A23" i="19"/>
  <c r="AJ22" i="19"/>
  <c r="H22" i="19"/>
  <c r="G22" i="19"/>
  <c r="D22" i="19"/>
  <c r="C22" i="19"/>
  <c r="B22" i="19"/>
  <c r="A22" i="19"/>
  <c r="AJ21" i="19"/>
  <c r="H21" i="19"/>
  <c r="G21" i="19"/>
  <c r="D21" i="19"/>
  <c r="C21" i="19"/>
  <c r="B21" i="19"/>
  <c r="A21" i="19"/>
  <c r="AJ20" i="19"/>
  <c r="H20" i="19"/>
  <c r="G20" i="19"/>
  <c r="D20" i="19"/>
  <c r="C20" i="19"/>
  <c r="B20" i="19"/>
  <c r="A20" i="19"/>
  <c r="AJ19" i="19"/>
  <c r="H19" i="19"/>
  <c r="G19" i="19"/>
  <c r="D19" i="19"/>
  <c r="C19" i="19"/>
  <c r="B19" i="19"/>
  <c r="A19" i="19"/>
  <c r="H18" i="19"/>
  <c r="G18" i="19"/>
  <c r="D18" i="19"/>
  <c r="C18" i="19"/>
  <c r="B18" i="19"/>
  <c r="A18" i="19"/>
  <c r="H17" i="19"/>
  <c r="G17" i="19"/>
  <c r="D17" i="19"/>
  <c r="C17" i="19"/>
  <c r="B17" i="19"/>
  <c r="A17" i="19"/>
  <c r="H16" i="19"/>
  <c r="G16" i="19"/>
  <c r="D16" i="19"/>
  <c r="C16" i="19"/>
  <c r="B16" i="19"/>
  <c r="A16" i="19"/>
  <c r="H15" i="19"/>
  <c r="G15" i="19"/>
  <c r="D15" i="19"/>
  <c r="C15" i="19"/>
  <c r="B15" i="19"/>
  <c r="A15" i="19"/>
  <c r="H14" i="19"/>
  <c r="G14" i="19"/>
  <c r="D14" i="19"/>
  <c r="C14" i="19"/>
  <c r="B14" i="19"/>
  <c r="A14" i="19"/>
  <c r="H13" i="19"/>
  <c r="G13" i="19"/>
  <c r="D13" i="19"/>
  <c r="C13" i="19"/>
  <c r="B13" i="19"/>
  <c r="A13" i="19"/>
  <c r="H12" i="19"/>
  <c r="G12" i="19"/>
  <c r="D12" i="19"/>
  <c r="C12" i="19"/>
  <c r="B12" i="19"/>
  <c r="A12" i="19"/>
  <c r="H11" i="19"/>
  <c r="G11" i="19"/>
  <c r="D11" i="19"/>
  <c r="C11" i="19"/>
  <c r="B11" i="19"/>
  <c r="A11" i="19"/>
  <c r="H10" i="19"/>
  <c r="G10" i="19"/>
  <c r="D10" i="19"/>
  <c r="C10" i="19"/>
  <c r="B10" i="19"/>
  <c r="A10" i="19"/>
  <c r="H9" i="19"/>
  <c r="G9" i="19"/>
  <c r="D9" i="19"/>
  <c r="C9" i="19"/>
  <c r="B9" i="19"/>
  <c r="A9" i="19"/>
  <c r="H8" i="19"/>
  <c r="G8" i="19"/>
  <c r="D8" i="19"/>
  <c r="C8" i="19"/>
  <c r="B8" i="19"/>
  <c r="A8" i="19"/>
  <c r="AJ7" i="19"/>
  <c r="H7" i="19"/>
  <c r="G7" i="19"/>
  <c r="D7" i="19"/>
  <c r="C7" i="19"/>
  <c r="B7" i="19"/>
  <c r="A7" i="19"/>
  <c r="AJ6" i="19"/>
  <c r="H6" i="19"/>
  <c r="G6" i="19"/>
  <c r="D6" i="19"/>
  <c r="C6" i="19"/>
  <c r="B6" i="19"/>
  <c r="A6" i="19"/>
  <c r="AJ5" i="19"/>
  <c r="H5" i="19"/>
  <c r="G5" i="19"/>
  <c r="D5" i="19"/>
  <c r="C5" i="19"/>
  <c r="B5" i="19"/>
  <c r="A5" i="19"/>
  <c r="AJ4" i="19"/>
  <c r="AA4" i="19"/>
  <c r="Y4" i="19"/>
  <c r="T4" i="19"/>
  <c r="S4" i="19"/>
  <c r="R4" i="19"/>
  <c r="Q4" i="19"/>
  <c r="P4" i="19"/>
  <c r="O4" i="19"/>
  <c r="H4" i="19"/>
  <c r="G4" i="19"/>
  <c r="D4" i="19"/>
  <c r="C4" i="19"/>
  <c r="B4" i="19"/>
  <c r="A4" i="19"/>
  <c r="AT9" i="18"/>
  <c r="AT8" i="18"/>
  <c r="AT7" i="18"/>
  <c r="AT6" i="18"/>
  <c r="AT5" i="18"/>
  <c r="AT4" i="18"/>
  <c r="AP12" i="18"/>
  <c r="AT11" i="18" s="1"/>
  <c r="AP11" i="18"/>
  <c r="AP16" i="18" s="1"/>
  <c r="AJ25" i="18"/>
  <c r="H25" i="18"/>
  <c r="G25" i="18"/>
  <c r="D25" i="18"/>
  <c r="C25" i="18"/>
  <c r="B25" i="18"/>
  <c r="A25" i="18"/>
  <c r="AJ24" i="18"/>
  <c r="H24" i="18"/>
  <c r="G24" i="18"/>
  <c r="D24" i="18"/>
  <c r="C24" i="18"/>
  <c r="B24" i="18"/>
  <c r="A24" i="18"/>
  <c r="AJ23" i="18"/>
  <c r="H23" i="18"/>
  <c r="G23" i="18"/>
  <c r="D23" i="18"/>
  <c r="C23" i="18"/>
  <c r="B23" i="18"/>
  <c r="A23" i="18"/>
  <c r="AJ22" i="18"/>
  <c r="H22" i="18"/>
  <c r="G22" i="18"/>
  <c r="D22" i="18"/>
  <c r="C22" i="18"/>
  <c r="B22" i="18"/>
  <c r="A22" i="18"/>
  <c r="AJ21" i="18"/>
  <c r="H21" i="18"/>
  <c r="G21" i="18"/>
  <c r="D21" i="18"/>
  <c r="C21" i="18"/>
  <c r="B21" i="18"/>
  <c r="A21" i="18"/>
  <c r="AJ20" i="18"/>
  <c r="H20" i="18"/>
  <c r="G20" i="18"/>
  <c r="D20" i="18"/>
  <c r="C20" i="18"/>
  <c r="B20" i="18"/>
  <c r="A20" i="18"/>
  <c r="AJ19" i="18"/>
  <c r="H19" i="18"/>
  <c r="G19" i="18"/>
  <c r="D19" i="18"/>
  <c r="C19" i="18"/>
  <c r="B19" i="18"/>
  <c r="A19" i="18"/>
  <c r="H18" i="18"/>
  <c r="G18" i="18"/>
  <c r="D18" i="18"/>
  <c r="C18" i="18"/>
  <c r="B18" i="18"/>
  <c r="A18" i="18"/>
  <c r="H17" i="18"/>
  <c r="G17" i="18"/>
  <c r="D17" i="18"/>
  <c r="C17" i="18"/>
  <c r="B17" i="18"/>
  <c r="A17" i="18"/>
  <c r="H16" i="18"/>
  <c r="G16" i="18"/>
  <c r="D16" i="18"/>
  <c r="C16" i="18"/>
  <c r="B16" i="18"/>
  <c r="A16" i="18"/>
  <c r="H15" i="18"/>
  <c r="G15" i="18"/>
  <c r="D15" i="18"/>
  <c r="C15" i="18"/>
  <c r="B15" i="18"/>
  <c r="A15" i="18"/>
  <c r="H14" i="18"/>
  <c r="G14" i="18"/>
  <c r="D14" i="18"/>
  <c r="C14" i="18"/>
  <c r="B14" i="18"/>
  <c r="A14" i="18"/>
  <c r="H13" i="18"/>
  <c r="G13" i="18"/>
  <c r="D13" i="18"/>
  <c r="C13" i="18"/>
  <c r="B13" i="18"/>
  <c r="A13" i="18"/>
  <c r="H12" i="18"/>
  <c r="G12" i="18"/>
  <c r="D12" i="18"/>
  <c r="C12" i="18"/>
  <c r="B12" i="18"/>
  <c r="A12" i="18"/>
  <c r="H11" i="18"/>
  <c r="G11" i="18"/>
  <c r="D11" i="18"/>
  <c r="C11" i="18"/>
  <c r="B11" i="18"/>
  <c r="A11" i="18"/>
  <c r="H10" i="18"/>
  <c r="G10" i="18"/>
  <c r="D10" i="18"/>
  <c r="C10" i="18"/>
  <c r="B10" i="18"/>
  <c r="A10" i="18"/>
  <c r="H9" i="18"/>
  <c r="G9" i="18"/>
  <c r="D9" i="18"/>
  <c r="C9" i="18"/>
  <c r="B9" i="18"/>
  <c r="A9" i="18"/>
  <c r="H8" i="18"/>
  <c r="G8" i="18"/>
  <c r="D8" i="18"/>
  <c r="C8" i="18"/>
  <c r="B8" i="18"/>
  <c r="A8" i="18"/>
  <c r="AJ7" i="18"/>
  <c r="H7" i="18"/>
  <c r="G7" i="18"/>
  <c r="D7" i="18"/>
  <c r="C7" i="18"/>
  <c r="B7" i="18"/>
  <c r="A7" i="18"/>
  <c r="AJ6" i="18"/>
  <c r="H6" i="18"/>
  <c r="G6" i="18"/>
  <c r="D6" i="18"/>
  <c r="C6" i="18"/>
  <c r="B6" i="18"/>
  <c r="A6" i="18"/>
  <c r="AJ5" i="18"/>
  <c r="H5" i="18"/>
  <c r="G5" i="18"/>
  <c r="D5" i="18"/>
  <c r="C5" i="18"/>
  <c r="B5" i="18"/>
  <c r="A5" i="18"/>
  <c r="AJ4" i="18"/>
  <c r="AA4" i="18"/>
  <c r="Y4" i="18"/>
  <c r="T4" i="18"/>
  <c r="S4" i="18"/>
  <c r="R4" i="18"/>
  <c r="Q4" i="18"/>
  <c r="P4" i="18"/>
  <c r="O4" i="18"/>
  <c r="H4" i="18"/>
  <c r="G4" i="18"/>
  <c r="D4" i="18"/>
  <c r="C4" i="18"/>
  <c r="B4" i="18"/>
  <c r="A4" i="18"/>
  <c r="AM9" i="17"/>
  <c r="AM8" i="17"/>
  <c r="AM7" i="17"/>
  <c r="AM6" i="17"/>
  <c r="AM5" i="17"/>
  <c r="AM4" i="17"/>
  <c r="AI12" i="17"/>
  <c r="AM11" i="17" s="1"/>
  <c r="AI11" i="17"/>
  <c r="AI16" i="17" s="1"/>
  <c r="AC25" i="17"/>
  <c r="M25" i="17"/>
  <c r="L25" i="17"/>
  <c r="I25" i="17"/>
  <c r="K25" i="17" s="1"/>
  <c r="H25" i="17"/>
  <c r="D25" i="17"/>
  <c r="C25" i="17"/>
  <c r="B25" i="17"/>
  <c r="A25" i="17"/>
  <c r="AC24" i="17"/>
  <c r="M24" i="17"/>
  <c r="L24" i="17"/>
  <c r="I24" i="17"/>
  <c r="K24" i="17" s="1"/>
  <c r="H24" i="17"/>
  <c r="D24" i="17"/>
  <c r="C24" i="17"/>
  <c r="B24" i="17"/>
  <c r="A24" i="17"/>
  <c r="AC23" i="17"/>
  <c r="M23" i="17"/>
  <c r="L23" i="17"/>
  <c r="I23" i="17"/>
  <c r="K23" i="17" s="1"/>
  <c r="H23" i="17"/>
  <c r="D23" i="17"/>
  <c r="C23" i="17"/>
  <c r="B23" i="17"/>
  <c r="A23" i="17"/>
  <c r="AC22" i="17"/>
  <c r="M22" i="17"/>
  <c r="L22" i="17"/>
  <c r="I22" i="17"/>
  <c r="J22" i="17" s="1"/>
  <c r="H22" i="17"/>
  <c r="D22" i="17"/>
  <c r="C22" i="17"/>
  <c r="B22" i="17"/>
  <c r="A22" i="17"/>
  <c r="AC21" i="17"/>
  <c r="M21" i="17"/>
  <c r="L21" i="17"/>
  <c r="I21" i="17"/>
  <c r="K21" i="17" s="1"/>
  <c r="H21" i="17"/>
  <c r="D21" i="17"/>
  <c r="C21" i="17"/>
  <c r="B21" i="17"/>
  <c r="A21" i="17"/>
  <c r="AC20" i="17"/>
  <c r="M20" i="17"/>
  <c r="L20" i="17"/>
  <c r="I20" i="17"/>
  <c r="J20" i="17" s="1"/>
  <c r="H20" i="17"/>
  <c r="D20" i="17"/>
  <c r="C20" i="17"/>
  <c r="B20" i="17"/>
  <c r="A20" i="17"/>
  <c r="AC19" i="17"/>
  <c r="M19" i="17"/>
  <c r="L19" i="17"/>
  <c r="I19" i="17"/>
  <c r="K19" i="17" s="1"/>
  <c r="H19" i="17"/>
  <c r="D19" i="17"/>
  <c r="C19" i="17"/>
  <c r="B19" i="17"/>
  <c r="A19" i="17"/>
  <c r="M18" i="17"/>
  <c r="L18" i="17"/>
  <c r="I18" i="17"/>
  <c r="K18" i="17" s="1"/>
  <c r="H18" i="17"/>
  <c r="D18" i="17"/>
  <c r="C18" i="17"/>
  <c r="B18" i="17"/>
  <c r="A18" i="17"/>
  <c r="M17" i="17"/>
  <c r="L17" i="17"/>
  <c r="I17" i="17"/>
  <c r="K17" i="17" s="1"/>
  <c r="H17" i="17"/>
  <c r="D17" i="17"/>
  <c r="C17" i="17"/>
  <c r="B17" i="17"/>
  <c r="A17" i="17"/>
  <c r="M16" i="17"/>
  <c r="L16" i="17"/>
  <c r="I16" i="17"/>
  <c r="J16" i="17" s="1"/>
  <c r="H16" i="17"/>
  <c r="D16" i="17"/>
  <c r="C16" i="17"/>
  <c r="B16" i="17"/>
  <c r="A16" i="17"/>
  <c r="M15" i="17"/>
  <c r="L15" i="17"/>
  <c r="I15" i="17"/>
  <c r="K15" i="17" s="1"/>
  <c r="H15" i="17"/>
  <c r="D15" i="17"/>
  <c r="C15" i="17"/>
  <c r="B15" i="17"/>
  <c r="A15" i="17"/>
  <c r="M14" i="17"/>
  <c r="L14" i="17"/>
  <c r="I14" i="17"/>
  <c r="J14" i="17" s="1"/>
  <c r="H14" i="17"/>
  <c r="D14" i="17"/>
  <c r="C14" i="17"/>
  <c r="B14" i="17"/>
  <c r="A14" i="17"/>
  <c r="M13" i="17"/>
  <c r="L13" i="17"/>
  <c r="I13" i="17"/>
  <c r="K13" i="17" s="1"/>
  <c r="H13" i="17"/>
  <c r="D13" i="17"/>
  <c r="C13" i="17"/>
  <c r="B13" i="17"/>
  <c r="A13" i="17"/>
  <c r="M12" i="17"/>
  <c r="L12" i="17"/>
  <c r="I12" i="17"/>
  <c r="K12" i="17" s="1"/>
  <c r="H12" i="17"/>
  <c r="D12" i="17"/>
  <c r="C12" i="17"/>
  <c r="B12" i="17"/>
  <c r="A12" i="17"/>
  <c r="M11" i="17"/>
  <c r="L11" i="17"/>
  <c r="I11" i="17"/>
  <c r="J11" i="17" s="1"/>
  <c r="H11" i="17"/>
  <c r="D11" i="17"/>
  <c r="C11" i="17"/>
  <c r="B11" i="17"/>
  <c r="A11" i="17"/>
  <c r="M10" i="17"/>
  <c r="L10" i="17"/>
  <c r="I10" i="17"/>
  <c r="K10" i="17" s="1"/>
  <c r="H10" i="17"/>
  <c r="D10" i="17"/>
  <c r="C10" i="17"/>
  <c r="B10" i="17"/>
  <c r="A10" i="17"/>
  <c r="M9" i="17"/>
  <c r="L9" i="17"/>
  <c r="I9" i="17"/>
  <c r="K9" i="17" s="1"/>
  <c r="H9" i="17"/>
  <c r="D9" i="17"/>
  <c r="C9" i="17"/>
  <c r="B9" i="17"/>
  <c r="A9" i="17"/>
  <c r="M8" i="17"/>
  <c r="L8" i="17"/>
  <c r="I8" i="17"/>
  <c r="K8" i="17" s="1"/>
  <c r="H8" i="17"/>
  <c r="D8" i="17"/>
  <c r="C8" i="17"/>
  <c r="B8" i="17"/>
  <c r="A8" i="17"/>
  <c r="AC7" i="17"/>
  <c r="M7" i="17"/>
  <c r="L7" i="17"/>
  <c r="I7" i="17"/>
  <c r="K7" i="17" s="1"/>
  <c r="H7" i="17"/>
  <c r="D7" i="17"/>
  <c r="C7" i="17"/>
  <c r="B7" i="17"/>
  <c r="A7" i="17"/>
  <c r="AC6" i="17"/>
  <c r="M6" i="17"/>
  <c r="L6" i="17"/>
  <c r="I6" i="17"/>
  <c r="K6" i="17" s="1"/>
  <c r="H6" i="17"/>
  <c r="D6" i="17"/>
  <c r="C6" i="17"/>
  <c r="B6" i="17"/>
  <c r="A6" i="17"/>
  <c r="AC5" i="17"/>
  <c r="M5" i="17"/>
  <c r="L5" i="17"/>
  <c r="I5" i="17"/>
  <c r="J5" i="17" s="1"/>
  <c r="H5" i="17"/>
  <c r="D5" i="17"/>
  <c r="C5" i="17"/>
  <c r="B5" i="17"/>
  <c r="A5" i="17"/>
  <c r="AC4" i="17"/>
  <c r="T4" i="17"/>
  <c r="M4" i="17"/>
  <c r="L4" i="17"/>
  <c r="K4" i="17"/>
  <c r="J4" i="17"/>
  <c r="I4" i="17"/>
  <c r="H4" i="17"/>
  <c r="G4" i="17"/>
  <c r="D4" i="17"/>
  <c r="C4" i="17"/>
  <c r="B4" i="17"/>
  <c r="A4" i="17"/>
  <c r="AM9" i="16"/>
  <c r="AM8" i="16"/>
  <c r="AM7" i="16"/>
  <c r="AM6" i="16"/>
  <c r="AM5" i="16"/>
  <c r="AM4" i="16"/>
  <c r="AI12" i="16"/>
  <c r="AM11" i="16" s="1"/>
  <c r="AI11" i="16"/>
  <c r="AI16" i="16" s="1"/>
  <c r="AC25" i="16"/>
  <c r="M25" i="16"/>
  <c r="L25" i="16"/>
  <c r="I25" i="16"/>
  <c r="K25" i="16" s="1"/>
  <c r="H25" i="16"/>
  <c r="D25" i="16"/>
  <c r="C25" i="16"/>
  <c r="B25" i="16"/>
  <c r="A25" i="16"/>
  <c r="AC24" i="16"/>
  <c r="M24" i="16"/>
  <c r="L24" i="16"/>
  <c r="I24" i="16"/>
  <c r="K24" i="16" s="1"/>
  <c r="H24" i="16"/>
  <c r="D24" i="16"/>
  <c r="C24" i="16"/>
  <c r="B24" i="16"/>
  <c r="A24" i="16"/>
  <c r="AC23" i="16"/>
  <c r="M23" i="16"/>
  <c r="L23" i="16"/>
  <c r="I23" i="16"/>
  <c r="J23" i="16" s="1"/>
  <c r="H23" i="16"/>
  <c r="D23" i="16"/>
  <c r="C23" i="16"/>
  <c r="B23" i="16"/>
  <c r="A23" i="16"/>
  <c r="AC22" i="16"/>
  <c r="M22" i="16"/>
  <c r="L22" i="16"/>
  <c r="I22" i="16"/>
  <c r="K22" i="16" s="1"/>
  <c r="H22" i="16"/>
  <c r="D22" i="16"/>
  <c r="C22" i="16"/>
  <c r="B22" i="16"/>
  <c r="A22" i="16"/>
  <c r="AC21" i="16"/>
  <c r="M21" i="16"/>
  <c r="L21" i="16"/>
  <c r="I21" i="16"/>
  <c r="J21" i="16" s="1"/>
  <c r="H21" i="16"/>
  <c r="D21" i="16"/>
  <c r="C21" i="16"/>
  <c r="B21" i="16"/>
  <c r="A21" i="16"/>
  <c r="AC20" i="16"/>
  <c r="M20" i="16"/>
  <c r="L20" i="16"/>
  <c r="I20" i="16"/>
  <c r="K20" i="16" s="1"/>
  <c r="H20" i="16"/>
  <c r="D20" i="16"/>
  <c r="C20" i="16"/>
  <c r="B20" i="16"/>
  <c r="A20" i="16"/>
  <c r="AC19" i="16"/>
  <c r="M19" i="16"/>
  <c r="L19" i="16"/>
  <c r="I19" i="16"/>
  <c r="J19" i="16" s="1"/>
  <c r="H19" i="16"/>
  <c r="D19" i="16"/>
  <c r="C19" i="16"/>
  <c r="B19" i="16"/>
  <c r="A19" i="16"/>
  <c r="M18" i="16"/>
  <c r="L18" i="16"/>
  <c r="I18" i="16"/>
  <c r="J18" i="16" s="1"/>
  <c r="H18" i="16"/>
  <c r="D18" i="16"/>
  <c r="C18" i="16"/>
  <c r="B18" i="16"/>
  <c r="A18" i="16"/>
  <c r="M17" i="16"/>
  <c r="L17" i="16"/>
  <c r="I17" i="16"/>
  <c r="J17" i="16" s="1"/>
  <c r="H17" i="16"/>
  <c r="D17" i="16"/>
  <c r="C17" i="16"/>
  <c r="B17" i="16"/>
  <c r="A17" i="16"/>
  <c r="M16" i="16"/>
  <c r="L16" i="16"/>
  <c r="I16" i="16"/>
  <c r="K16" i="16" s="1"/>
  <c r="H16" i="16"/>
  <c r="D16" i="16"/>
  <c r="C16" i="16"/>
  <c r="B16" i="16"/>
  <c r="A16" i="16"/>
  <c r="M15" i="16"/>
  <c r="L15" i="16"/>
  <c r="I15" i="16"/>
  <c r="K15" i="16" s="1"/>
  <c r="H15" i="16"/>
  <c r="D15" i="16"/>
  <c r="C15" i="16"/>
  <c r="B15" i="16"/>
  <c r="A15" i="16"/>
  <c r="M14" i="16"/>
  <c r="L14" i="16"/>
  <c r="I14" i="16"/>
  <c r="K14" i="16" s="1"/>
  <c r="H14" i="16"/>
  <c r="D14" i="16"/>
  <c r="C14" i="16"/>
  <c r="B14" i="16"/>
  <c r="A14" i="16"/>
  <c r="M13" i="16"/>
  <c r="L13" i="16"/>
  <c r="I13" i="16"/>
  <c r="K13" i="16" s="1"/>
  <c r="H13" i="16"/>
  <c r="D13" i="16"/>
  <c r="C13" i="16"/>
  <c r="B13" i="16"/>
  <c r="A13" i="16"/>
  <c r="M12" i="16"/>
  <c r="L12" i="16"/>
  <c r="I12" i="16"/>
  <c r="J12" i="16" s="1"/>
  <c r="H12" i="16"/>
  <c r="D12" i="16"/>
  <c r="C12" i="16"/>
  <c r="B12" i="16"/>
  <c r="A12" i="16"/>
  <c r="M11" i="16"/>
  <c r="L11" i="16"/>
  <c r="I11" i="16"/>
  <c r="J11" i="16" s="1"/>
  <c r="H11" i="16"/>
  <c r="D11" i="16"/>
  <c r="C11" i="16"/>
  <c r="B11" i="16"/>
  <c r="A11" i="16"/>
  <c r="M10" i="16"/>
  <c r="L10" i="16"/>
  <c r="I10" i="16"/>
  <c r="J10" i="16" s="1"/>
  <c r="H10" i="16"/>
  <c r="D10" i="16"/>
  <c r="C10" i="16"/>
  <c r="B10" i="16"/>
  <c r="A10" i="16"/>
  <c r="M9" i="16"/>
  <c r="L9" i="16"/>
  <c r="I9" i="16"/>
  <c r="K9" i="16" s="1"/>
  <c r="H9" i="16"/>
  <c r="D9" i="16"/>
  <c r="C9" i="16"/>
  <c r="B9" i="16"/>
  <c r="A9" i="16"/>
  <c r="M8" i="16"/>
  <c r="L8" i="16"/>
  <c r="I8" i="16"/>
  <c r="K8" i="16" s="1"/>
  <c r="H8" i="16"/>
  <c r="D8" i="16"/>
  <c r="C8" i="16"/>
  <c r="B8" i="16"/>
  <c r="A8" i="16"/>
  <c r="AC7" i="16"/>
  <c r="M7" i="16"/>
  <c r="L7" i="16"/>
  <c r="I7" i="16"/>
  <c r="J7" i="16" s="1"/>
  <c r="H7" i="16"/>
  <c r="D7" i="16"/>
  <c r="C7" i="16"/>
  <c r="B7" i="16"/>
  <c r="A7" i="16"/>
  <c r="AC6" i="16"/>
  <c r="M6" i="16"/>
  <c r="L6" i="16"/>
  <c r="I6" i="16"/>
  <c r="K6" i="16" s="1"/>
  <c r="H6" i="16"/>
  <c r="D6" i="16"/>
  <c r="C6" i="16"/>
  <c r="B6" i="16"/>
  <c r="A6" i="16"/>
  <c r="AC5" i="16"/>
  <c r="M5" i="16"/>
  <c r="L5" i="16"/>
  <c r="I5" i="16"/>
  <c r="J5" i="16" s="1"/>
  <c r="H5" i="16"/>
  <c r="D5" i="16"/>
  <c r="C5" i="16"/>
  <c r="B5" i="16"/>
  <c r="A5" i="16"/>
  <c r="AC4" i="16"/>
  <c r="R4" i="16"/>
  <c r="M4" i="16"/>
  <c r="L4" i="16"/>
  <c r="K4" i="16"/>
  <c r="J4" i="16"/>
  <c r="I4" i="16"/>
  <c r="H4" i="16"/>
  <c r="G4" i="16"/>
  <c r="D4" i="16"/>
  <c r="C4" i="16"/>
  <c r="B4" i="16"/>
  <c r="A4" i="16"/>
  <c r="AM9" i="15"/>
  <c r="AM8" i="15"/>
  <c r="AM7" i="15"/>
  <c r="AM6" i="15"/>
  <c r="AM5" i="15"/>
  <c r="AM4" i="15"/>
  <c r="AI12" i="15"/>
  <c r="AM11" i="15" s="1"/>
  <c r="AI11" i="15"/>
  <c r="AI16" i="15" s="1"/>
  <c r="AC25" i="15"/>
  <c r="M25" i="15"/>
  <c r="L25" i="15"/>
  <c r="I25" i="15"/>
  <c r="J25" i="15" s="1"/>
  <c r="H25" i="15"/>
  <c r="D25" i="15"/>
  <c r="C25" i="15"/>
  <c r="B25" i="15"/>
  <c r="A25" i="15"/>
  <c r="AC24" i="15"/>
  <c r="M24" i="15"/>
  <c r="L24" i="15"/>
  <c r="I24" i="15"/>
  <c r="J24" i="15" s="1"/>
  <c r="H24" i="15"/>
  <c r="D24" i="15"/>
  <c r="C24" i="15"/>
  <c r="B24" i="15"/>
  <c r="A24" i="15"/>
  <c r="AC23" i="15"/>
  <c r="M23" i="15"/>
  <c r="L23" i="15"/>
  <c r="I23" i="15"/>
  <c r="K23" i="15" s="1"/>
  <c r="H23" i="15"/>
  <c r="D23" i="15"/>
  <c r="C23" i="15"/>
  <c r="B23" i="15"/>
  <c r="A23" i="15"/>
  <c r="AC22" i="15"/>
  <c r="M22" i="15"/>
  <c r="L22" i="15"/>
  <c r="I22" i="15"/>
  <c r="K22" i="15" s="1"/>
  <c r="H22" i="15"/>
  <c r="D22" i="15"/>
  <c r="C22" i="15"/>
  <c r="B22" i="15"/>
  <c r="A22" i="15"/>
  <c r="AC21" i="15"/>
  <c r="M21" i="15"/>
  <c r="L21" i="15"/>
  <c r="I21" i="15"/>
  <c r="J21" i="15" s="1"/>
  <c r="H21" i="15"/>
  <c r="D21" i="15"/>
  <c r="C21" i="15"/>
  <c r="B21" i="15"/>
  <c r="A21" i="15"/>
  <c r="AC20" i="15"/>
  <c r="M20" i="15"/>
  <c r="L20" i="15"/>
  <c r="I20" i="15"/>
  <c r="K20" i="15" s="1"/>
  <c r="H20" i="15"/>
  <c r="D20" i="15"/>
  <c r="C20" i="15"/>
  <c r="B20" i="15"/>
  <c r="A20" i="15"/>
  <c r="AC19" i="15"/>
  <c r="M19" i="15"/>
  <c r="L19" i="15"/>
  <c r="I19" i="15"/>
  <c r="K19" i="15" s="1"/>
  <c r="H19" i="15"/>
  <c r="D19" i="15"/>
  <c r="C19" i="15"/>
  <c r="B19" i="15"/>
  <c r="A19" i="15"/>
  <c r="M18" i="15"/>
  <c r="L18" i="15"/>
  <c r="I18" i="15"/>
  <c r="K18" i="15" s="1"/>
  <c r="H18" i="15"/>
  <c r="D18" i="15"/>
  <c r="C18" i="15"/>
  <c r="B18" i="15"/>
  <c r="A18" i="15"/>
  <c r="M17" i="15"/>
  <c r="L17" i="15"/>
  <c r="I17" i="15"/>
  <c r="K17" i="15" s="1"/>
  <c r="H17" i="15"/>
  <c r="D17" i="15"/>
  <c r="C17" i="15"/>
  <c r="B17" i="15"/>
  <c r="A17" i="15"/>
  <c r="M16" i="15"/>
  <c r="L16" i="15"/>
  <c r="I16" i="15"/>
  <c r="K16" i="15" s="1"/>
  <c r="H16" i="15"/>
  <c r="D16" i="15"/>
  <c r="C16" i="15"/>
  <c r="B16" i="15"/>
  <c r="A16" i="15"/>
  <c r="M15" i="15"/>
  <c r="L15" i="15"/>
  <c r="I15" i="15"/>
  <c r="J15" i="15" s="1"/>
  <c r="H15" i="15"/>
  <c r="D15" i="15"/>
  <c r="C15" i="15"/>
  <c r="B15" i="15"/>
  <c r="A15" i="15"/>
  <c r="M14" i="15"/>
  <c r="L14" i="15"/>
  <c r="I14" i="15"/>
  <c r="J14" i="15" s="1"/>
  <c r="H14" i="15"/>
  <c r="D14" i="15"/>
  <c r="C14" i="15"/>
  <c r="B14" i="15"/>
  <c r="A14" i="15"/>
  <c r="M13" i="15"/>
  <c r="L13" i="15"/>
  <c r="I13" i="15"/>
  <c r="K13" i="15" s="1"/>
  <c r="H13" i="15"/>
  <c r="D13" i="15"/>
  <c r="C13" i="15"/>
  <c r="B13" i="15"/>
  <c r="A13" i="15"/>
  <c r="M12" i="15"/>
  <c r="L12" i="15"/>
  <c r="I12" i="15"/>
  <c r="J12" i="15" s="1"/>
  <c r="H12" i="15"/>
  <c r="D12" i="15"/>
  <c r="C12" i="15"/>
  <c r="B12" i="15"/>
  <c r="A12" i="15"/>
  <c r="M11" i="15"/>
  <c r="L11" i="15"/>
  <c r="I11" i="15"/>
  <c r="K11" i="15" s="1"/>
  <c r="H11" i="15"/>
  <c r="D11" i="15"/>
  <c r="C11" i="15"/>
  <c r="B11" i="15"/>
  <c r="A11" i="15"/>
  <c r="M10" i="15"/>
  <c r="L10" i="15"/>
  <c r="I10" i="15"/>
  <c r="K10" i="15" s="1"/>
  <c r="H10" i="15"/>
  <c r="D10" i="15"/>
  <c r="C10" i="15"/>
  <c r="B10" i="15"/>
  <c r="A10" i="15"/>
  <c r="M9" i="15"/>
  <c r="L9" i="15"/>
  <c r="I9" i="15"/>
  <c r="K9" i="15" s="1"/>
  <c r="H9" i="15"/>
  <c r="D9" i="15"/>
  <c r="C9" i="15"/>
  <c r="B9" i="15"/>
  <c r="A9" i="15"/>
  <c r="M8" i="15"/>
  <c r="L8" i="15"/>
  <c r="I8" i="15"/>
  <c r="J8" i="15" s="1"/>
  <c r="H8" i="15"/>
  <c r="D8" i="15"/>
  <c r="C8" i="15"/>
  <c r="B8" i="15"/>
  <c r="A8" i="15"/>
  <c r="AC7" i="15"/>
  <c r="M7" i="15"/>
  <c r="L7" i="15"/>
  <c r="I7" i="15"/>
  <c r="J7" i="15" s="1"/>
  <c r="H7" i="15"/>
  <c r="D7" i="15"/>
  <c r="C7" i="15"/>
  <c r="B7" i="15"/>
  <c r="A7" i="15"/>
  <c r="AC6" i="15"/>
  <c r="M6" i="15"/>
  <c r="L6" i="15"/>
  <c r="I6" i="15"/>
  <c r="J6" i="15" s="1"/>
  <c r="H6" i="15"/>
  <c r="D6" i="15"/>
  <c r="C6" i="15"/>
  <c r="B6" i="15"/>
  <c r="A6" i="15"/>
  <c r="AC5" i="15"/>
  <c r="M5" i="15"/>
  <c r="L5" i="15"/>
  <c r="I5" i="15"/>
  <c r="K5" i="15" s="1"/>
  <c r="H5" i="15"/>
  <c r="D5" i="15"/>
  <c r="C5" i="15"/>
  <c r="B5" i="15"/>
  <c r="A5" i="15"/>
  <c r="AC4" i="15"/>
  <c r="T4" i="15"/>
  <c r="R4" i="15"/>
  <c r="M4" i="15"/>
  <c r="L4" i="15"/>
  <c r="K4" i="15"/>
  <c r="J4" i="15"/>
  <c r="I4" i="15"/>
  <c r="H4" i="15"/>
  <c r="G4" i="15"/>
  <c r="D4" i="15"/>
  <c r="C4" i="15"/>
  <c r="B4" i="15"/>
  <c r="A4" i="15"/>
  <c r="AM9" i="14"/>
  <c r="AM8" i="14"/>
  <c r="AM7" i="14"/>
  <c r="AM6" i="14"/>
  <c r="AM5" i="14"/>
  <c r="AM4" i="14"/>
  <c r="AI12" i="14"/>
  <c r="AM11" i="14" s="1"/>
  <c r="AI11" i="14"/>
  <c r="AI16" i="14" s="1"/>
  <c r="AC25" i="14"/>
  <c r="M25" i="14"/>
  <c r="L25" i="14"/>
  <c r="I25" i="14"/>
  <c r="K25" i="14" s="1"/>
  <c r="H25" i="14"/>
  <c r="D25" i="14"/>
  <c r="C25" i="14"/>
  <c r="B25" i="14"/>
  <c r="A25" i="14"/>
  <c r="AC24" i="14"/>
  <c r="M24" i="14"/>
  <c r="L24" i="14"/>
  <c r="I24" i="14"/>
  <c r="K24" i="14" s="1"/>
  <c r="H24" i="14"/>
  <c r="D24" i="14"/>
  <c r="C24" i="14"/>
  <c r="B24" i="14"/>
  <c r="A24" i="14"/>
  <c r="AC23" i="14"/>
  <c r="M23" i="14"/>
  <c r="L23" i="14"/>
  <c r="I23" i="14"/>
  <c r="J23" i="14" s="1"/>
  <c r="H23" i="14"/>
  <c r="D23" i="14"/>
  <c r="C23" i="14"/>
  <c r="B23" i="14"/>
  <c r="A23" i="14"/>
  <c r="AC22" i="14"/>
  <c r="M22" i="14"/>
  <c r="L22" i="14"/>
  <c r="I22" i="14"/>
  <c r="K22" i="14" s="1"/>
  <c r="H22" i="14"/>
  <c r="D22" i="14"/>
  <c r="C22" i="14"/>
  <c r="B22" i="14"/>
  <c r="A22" i="14"/>
  <c r="AC21" i="14"/>
  <c r="M21" i="14"/>
  <c r="L21" i="14"/>
  <c r="I21" i="14"/>
  <c r="K21" i="14" s="1"/>
  <c r="H21" i="14"/>
  <c r="D21" i="14"/>
  <c r="C21" i="14"/>
  <c r="B21" i="14"/>
  <c r="A21" i="14"/>
  <c r="AC20" i="14"/>
  <c r="M20" i="14"/>
  <c r="L20" i="14"/>
  <c r="I20" i="14"/>
  <c r="K20" i="14" s="1"/>
  <c r="H20" i="14"/>
  <c r="D20" i="14"/>
  <c r="C20" i="14"/>
  <c r="B20" i="14"/>
  <c r="A20" i="14"/>
  <c r="AC19" i="14"/>
  <c r="M19" i="14"/>
  <c r="L19" i="14"/>
  <c r="I19" i="14"/>
  <c r="J19" i="14" s="1"/>
  <c r="H19" i="14"/>
  <c r="D19" i="14"/>
  <c r="C19" i="14"/>
  <c r="B19" i="14"/>
  <c r="A19" i="14"/>
  <c r="M18" i="14"/>
  <c r="L18" i="14"/>
  <c r="I18" i="14"/>
  <c r="J18" i="14" s="1"/>
  <c r="H18" i="14"/>
  <c r="D18" i="14"/>
  <c r="C18" i="14"/>
  <c r="B18" i="14"/>
  <c r="A18" i="14"/>
  <c r="M17" i="14"/>
  <c r="L17" i="14"/>
  <c r="I17" i="14"/>
  <c r="J17" i="14" s="1"/>
  <c r="T17" i="14" s="1"/>
  <c r="H17" i="14"/>
  <c r="D17" i="14"/>
  <c r="C17" i="14"/>
  <c r="B17" i="14"/>
  <c r="A17" i="14"/>
  <c r="M16" i="14"/>
  <c r="L16" i="14"/>
  <c r="I16" i="14"/>
  <c r="J16" i="14" s="1"/>
  <c r="T16" i="14" s="1"/>
  <c r="H16" i="14"/>
  <c r="D16" i="14"/>
  <c r="C16" i="14"/>
  <c r="B16" i="14"/>
  <c r="A16" i="14"/>
  <c r="M15" i="14"/>
  <c r="L15" i="14"/>
  <c r="I15" i="14"/>
  <c r="K15" i="14" s="1"/>
  <c r="H15" i="14"/>
  <c r="D15" i="14"/>
  <c r="C15" i="14"/>
  <c r="B15" i="14"/>
  <c r="A15" i="14"/>
  <c r="M14" i="14"/>
  <c r="L14" i="14"/>
  <c r="I14" i="14"/>
  <c r="J14" i="14" s="1"/>
  <c r="H14" i="14"/>
  <c r="D14" i="14"/>
  <c r="C14" i="14"/>
  <c r="B14" i="14"/>
  <c r="A14" i="14"/>
  <c r="M13" i="14"/>
  <c r="L13" i="14"/>
  <c r="I13" i="14"/>
  <c r="K13" i="14" s="1"/>
  <c r="H13" i="14"/>
  <c r="D13" i="14"/>
  <c r="C13" i="14"/>
  <c r="B13" i="14"/>
  <c r="A13" i="14"/>
  <c r="M12" i="14"/>
  <c r="L12" i="14"/>
  <c r="I12" i="14"/>
  <c r="J12" i="14" s="1"/>
  <c r="H12" i="14"/>
  <c r="D12" i="14"/>
  <c r="C12" i="14"/>
  <c r="B12" i="14"/>
  <c r="A12" i="14"/>
  <c r="M11" i="14"/>
  <c r="L11" i="14"/>
  <c r="I11" i="14"/>
  <c r="K11" i="14" s="1"/>
  <c r="H11" i="14"/>
  <c r="D11" i="14"/>
  <c r="C11" i="14"/>
  <c r="B11" i="14"/>
  <c r="A11" i="14"/>
  <c r="M10" i="14"/>
  <c r="L10" i="14"/>
  <c r="I10" i="14"/>
  <c r="K10" i="14" s="1"/>
  <c r="H10" i="14"/>
  <c r="D10" i="14"/>
  <c r="C10" i="14"/>
  <c r="B10" i="14"/>
  <c r="A10" i="14"/>
  <c r="M9" i="14"/>
  <c r="L9" i="14"/>
  <c r="I9" i="14"/>
  <c r="J9" i="14" s="1"/>
  <c r="H9" i="14"/>
  <c r="D9" i="14"/>
  <c r="C9" i="14"/>
  <c r="B9" i="14"/>
  <c r="A9" i="14"/>
  <c r="M8" i="14"/>
  <c r="L8" i="14"/>
  <c r="I8" i="14"/>
  <c r="K8" i="14" s="1"/>
  <c r="H8" i="14"/>
  <c r="D8" i="14"/>
  <c r="C8" i="14"/>
  <c r="B8" i="14"/>
  <c r="A8" i="14"/>
  <c r="AC7" i="14"/>
  <c r="M7" i="14"/>
  <c r="L7" i="14"/>
  <c r="I7" i="14"/>
  <c r="K7" i="14" s="1"/>
  <c r="H7" i="14"/>
  <c r="D7" i="14"/>
  <c r="C7" i="14"/>
  <c r="B7" i="14"/>
  <c r="A7" i="14"/>
  <c r="AC6" i="14"/>
  <c r="M6" i="14"/>
  <c r="L6" i="14"/>
  <c r="I6" i="14"/>
  <c r="K6" i="14" s="1"/>
  <c r="H6" i="14"/>
  <c r="D6" i="14"/>
  <c r="C6" i="14"/>
  <c r="B6" i="14"/>
  <c r="A6" i="14"/>
  <c r="AC5" i="14"/>
  <c r="M5" i="14"/>
  <c r="L5" i="14"/>
  <c r="I5" i="14"/>
  <c r="J5" i="14" s="1"/>
  <c r="H5" i="14"/>
  <c r="D5" i="14"/>
  <c r="C5" i="14"/>
  <c r="B5" i="14"/>
  <c r="A5" i="14"/>
  <c r="AC4" i="14"/>
  <c r="T4" i="14"/>
  <c r="R4" i="14"/>
  <c r="M4" i="14"/>
  <c r="L4" i="14"/>
  <c r="K4" i="14"/>
  <c r="J4" i="14"/>
  <c r="I4" i="14"/>
  <c r="H4" i="14"/>
  <c r="G4" i="14"/>
  <c r="D4" i="14"/>
  <c r="C4" i="14"/>
  <c r="B4" i="14"/>
  <c r="A4" i="14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D4" i="2"/>
  <c r="C4" i="2"/>
  <c r="B4" i="2"/>
  <c r="A4" i="2"/>
  <c r="M20" i="1"/>
  <c r="M11" i="1"/>
  <c r="CW15" i="23" l="1"/>
  <c r="AB4" i="23"/>
  <c r="CW14" i="23"/>
  <c r="AX4" i="23"/>
  <c r="BA4" i="23" s="1"/>
  <c r="BT4" i="23"/>
  <c r="BW4" i="23" s="1"/>
  <c r="CP4" i="23"/>
  <c r="CS4" i="23" s="1"/>
  <c r="DA10" i="23"/>
  <c r="J16" i="22"/>
  <c r="AC16" i="22" s="1"/>
  <c r="K23" i="22"/>
  <c r="AD23" i="22" s="1"/>
  <c r="AH23" i="22" s="1"/>
  <c r="J21" i="22"/>
  <c r="W21" i="22" s="1"/>
  <c r="J14" i="22"/>
  <c r="X14" i="22" s="1"/>
  <c r="J13" i="22"/>
  <c r="AC13" i="22" s="1"/>
  <c r="K9" i="22"/>
  <c r="AD9" i="22" s="1"/>
  <c r="AH9" i="22" s="1"/>
  <c r="K5" i="22"/>
  <c r="AD5" i="22" s="1"/>
  <c r="AH5" i="22" s="1"/>
  <c r="K6" i="22"/>
  <c r="AD6" i="22" s="1"/>
  <c r="AH6" i="22" s="1"/>
  <c r="X5" i="22"/>
  <c r="U5" i="22"/>
  <c r="AD4" i="22"/>
  <c r="AH4" i="22" s="1"/>
  <c r="AD24" i="22"/>
  <c r="AH24" i="22" s="1"/>
  <c r="AD16" i="22"/>
  <c r="AH16" i="22" s="1"/>
  <c r="AD15" i="22"/>
  <c r="AF15" i="22" s="1"/>
  <c r="AD7" i="22"/>
  <c r="AH7" i="22" s="1"/>
  <c r="X8" i="22"/>
  <c r="AC8" i="22"/>
  <c r="T23" i="22"/>
  <c r="R23" i="22"/>
  <c r="K8" i="22"/>
  <c r="AD8" i="22" s="1"/>
  <c r="AH8" i="22" s="1"/>
  <c r="AD19" i="22"/>
  <c r="AH19" i="22" s="1"/>
  <c r="AD11" i="22"/>
  <c r="AH11" i="22" s="1"/>
  <c r="AD21" i="22"/>
  <c r="AH21" i="22" s="1"/>
  <c r="AD25" i="22"/>
  <c r="AH25" i="22" s="1"/>
  <c r="J24" i="22"/>
  <c r="T24" i="22" s="1"/>
  <c r="J19" i="22"/>
  <c r="AP16" i="22"/>
  <c r="AC5" i="22"/>
  <c r="AD17" i="22"/>
  <c r="AH17" i="22" s="1"/>
  <c r="J25" i="22"/>
  <c r="AD13" i="22"/>
  <c r="AH13" i="22" s="1"/>
  <c r="K20" i="22"/>
  <c r="AD20" i="22" s="1"/>
  <c r="AF20" i="22" s="1"/>
  <c r="T22" i="22"/>
  <c r="R22" i="22"/>
  <c r="W22" i="22"/>
  <c r="U22" i="22"/>
  <c r="AC22" i="22"/>
  <c r="X22" i="22"/>
  <c r="W9" i="22"/>
  <c r="U9" i="22"/>
  <c r="X9" i="22"/>
  <c r="T9" i="22"/>
  <c r="R9" i="22"/>
  <c r="AC9" i="22"/>
  <c r="AD10" i="22"/>
  <c r="AH10" i="22" s="1"/>
  <c r="AD18" i="22"/>
  <c r="U6" i="22"/>
  <c r="T6" i="22"/>
  <c r="W6" i="22"/>
  <c r="R6" i="22"/>
  <c r="AC6" i="22"/>
  <c r="X6" i="22"/>
  <c r="X20" i="22"/>
  <c r="W20" i="22"/>
  <c r="U20" i="22"/>
  <c r="T20" i="22"/>
  <c r="R20" i="22"/>
  <c r="AC20" i="22"/>
  <c r="AD12" i="22"/>
  <c r="AH12" i="22" s="1"/>
  <c r="J10" i="22"/>
  <c r="J15" i="22"/>
  <c r="K22" i="22"/>
  <c r="AD22" i="22" s="1"/>
  <c r="AF22" i="22" s="1"/>
  <c r="R5" i="22"/>
  <c r="AD14" i="22"/>
  <c r="AH14" i="22" s="1"/>
  <c r="U23" i="22"/>
  <c r="T5" i="22"/>
  <c r="W23" i="22"/>
  <c r="J7" i="22"/>
  <c r="J17" i="22"/>
  <c r="X23" i="22"/>
  <c r="W5" i="22"/>
  <c r="R8" i="22"/>
  <c r="J11" i="22"/>
  <c r="J18" i="22"/>
  <c r="AT10" i="22"/>
  <c r="T8" i="22"/>
  <c r="U8" i="22"/>
  <c r="J12" i="22"/>
  <c r="AC23" i="22"/>
  <c r="AP14" i="22"/>
  <c r="W8" i="22"/>
  <c r="AP14" i="21"/>
  <c r="AP15" i="21"/>
  <c r="AP16" i="21"/>
  <c r="AT11" i="21"/>
  <c r="AB4" i="21"/>
  <c r="AP14" i="20"/>
  <c r="AP15" i="20"/>
  <c r="AT10" i="20"/>
  <c r="AT11" i="20"/>
  <c r="AB4" i="20"/>
  <c r="AP15" i="19"/>
  <c r="AB4" i="19"/>
  <c r="AP14" i="19"/>
  <c r="AP16" i="19"/>
  <c r="AT10" i="19"/>
  <c r="AT10" i="18"/>
  <c r="AB4" i="18"/>
  <c r="AF4" i="18" s="1"/>
  <c r="AP15" i="18"/>
  <c r="AP14" i="18"/>
  <c r="T11" i="17"/>
  <c r="K20" i="17"/>
  <c r="J21" i="17"/>
  <c r="K5" i="17"/>
  <c r="U5" i="17" s="1"/>
  <c r="J8" i="17"/>
  <c r="T8" i="17" s="1"/>
  <c r="K16" i="17"/>
  <c r="J15" i="17"/>
  <c r="T15" i="17" s="1"/>
  <c r="K14" i="17"/>
  <c r="K11" i="17"/>
  <c r="U11" i="17" s="1"/>
  <c r="Y11" i="17" s="1"/>
  <c r="T5" i="17"/>
  <c r="AI14" i="17"/>
  <c r="U9" i="17"/>
  <c r="X9" i="17" s="1"/>
  <c r="U24" i="17"/>
  <c r="Y24" i="17" s="1"/>
  <c r="U4" i="17"/>
  <c r="Y4" i="17" s="1"/>
  <c r="U20" i="17"/>
  <c r="X20" i="17" s="1"/>
  <c r="U14" i="17"/>
  <c r="Y14" i="17" s="1"/>
  <c r="U13" i="17"/>
  <c r="Y13" i="17" s="1"/>
  <c r="U10" i="17"/>
  <c r="U7" i="17"/>
  <c r="Y7" i="17" s="1"/>
  <c r="J12" i="17"/>
  <c r="T12" i="17" s="1"/>
  <c r="T14" i="17"/>
  <c r="U21" i="17"/>
  <c r="Y21" i="17" s="1"/>
  <c r="AI15" i="17"/>
  <c r="U8" i="17"/>
  <c r="X8" i="17" s="1"/>
  <c r="K22" i="17"/>
  <c r="U22" i="17" s="1"/>
  <c r="U23" i="17"/>
  <c r="Y23" i="17" s="1"/>
  <c r="J6" i="17"/>
  <c r="T6" i="17" s="1"/>
  <c r="T21" i="17"/>
  <c r="U12" i="17"/>
  <c r="Y12" i="17" s="1"/>
  <c r="U19" i="17"/>
  <c r="T16" i="17"/>
  <c r="T20" i="17"/>
  <c r="T22" i="17"/>
  <c r="U25" i="17"/>
  <c r="Y25" i="17" s="1"/>
  <c r="J17" i="17"/>
  <c r="J10" i="17"/>
  <c r="J23" i="17"/>
  <c r="J7" i="17"/>
  <c r="J19" i="17"/>
  <c r="J25" i="17"/>
  <c r="U6" i="17"/>
  <c r="Y6" i="17" s="1"/>
  <c r="J9" i="17"/>
  <c r="AM10" i="17"/>
  <c r="U18" i="17"/>
  <c r="Y18" i="17" s="1"/>
  <c r="U15" i="17"/>
  <c r="Y15" i="17" s="1"/>
  <c r="J18" i="17"/>
  <c r="J24" i="17"/>
  <c r="J13" i="17"/>
  <c r="U17" i="17"/>
  <c r="J22" i="16"/>
  <c r="U15" i="16"/>
  <c r="Y15" i="16" s="1"/>
  <c r="J16" i="16"/>
  <c r="J9" i="16"/>
  <c r="R9" i="16" s="1"/>
  <c r="K5" i="16"/>
  <c r="U5" i="16" s="1"/>
  <c r="Y5" i="16" s="1"/>
  <c r="U14" i="16"/>
  <c r="X14" i="16" s="1"/>
  <c r="AI14" i="16"/>
  <c r="U13" i="16"/>
  <c r="U4" i="16"/>
  <c r="K19" i="16"/>
  <c r="U19" i="16" s="1"/>
  <c r="Y19" i="16" s="1"/>
  <c r="K17" i="16"/>
  <c r="U17" i="16" s="1"/>
  <c r="Y17" i="16" s="1"/>
  <c r="J20" i="16"/>
  <c r="J8" i="16"/>
  <c r="R8" i="16" s="1"/>
  <c r="R5" i="16"/>
  <c r="K11" i="16"/>
  <c r="U11" i="16" s="1"/>
  <c r="Y11" i="16" s="1"/>
  <c r="K12" i="16"/>
  <c r="U12" i="16" s="1"/>
  <c r="X12" i="16" s="1"/>
  <c r="U24" i="16"/>
  <c r="Y24" i="16" s="1"/>
  <c r="J25" i="16"/>
  <c r="R10" i="16"/>
  <c r="R23" i="16"/>
  <c r="R17" i="16"/>
  <c r="R7" i="16"/>
  <c r="R18" i="16"/>
  <c r="R11" i="16"/>
  <c r="R12" i="16"/>
  <c r="R21" i="16"/>
  <c r="R19" i="16"/>
  <c r="J13" i="16"/>
  <c r="K18" i="16"/>
  <c r="U18" i="16" s="1"/>
  <c r="Y18" i="16" s="1"/>
  <c r="AI15" i="16"/>
  <c r="K7" i="16"/>
  <c r="U7" i="16" s="1"/>
  <c r="Y7" i="16" s="1"/>
  <c r="U20" i="16"/>
  <c r="U6" i="16"/>
  <c r="Y6" i="16" s="1"/>
  <c r="U9" i="16"/>
  <c r="Y9" i="16" s="1"/>
  <c r="J6" i="16"/>
  <c r="K23" i="16"/>
  <c r="U23" i="16" s="1"/>
  <c r="Y23" i="16" s="1"/>
  <c r="J14" i="16"/>
  <c r="U16" i="16"/>
  <c r="Y16" i="16" s="1"/>
  <c r="U8" i="16"/>
  <c r="Y8" i="16" s="1"/>
  <c r="U22" i="16"/>
  <c r="Y22" i="16" s="1"/>
  <c r="U25" i="16"/>
  <c r="Y25" i="16" s="1"/>
  <c r="AM10" i="16"/>
  <c r="K10" i="16"/>
  <c r="U10" i="16" s="1"/>
  <c r="Y10" i="16" s="1"/>
  <c r="J15" i="16"/>
  <c r="K21" i="16"/>
  <c r="U21" i="16" s="1"/>
  <c r="Y21" i="16" s="1"/>
  <c r="J24" i="16"/>
  <c r="T7" i="15"/>
  <c r="U23" i="15"/>
  <c r="X23" i="15" s="1"/>
  <c r="K12" i="15"/>
  <c r="U12" i="15" s="1"/>
  <c r="Y12" i="15" s="1"/>
  <c r="U11" i="15"/>
  <c r="X11" i="15" s="1"/>
  <c r="U10" i="15"/>
  <c r="X10" i="15" s="1"/>
  <c r="U9" i="15"/>
  <c r="X9" i="15" s="1"/>
  <c r="K21" i="15"/>
  <c r="U21" i="15" s="1"/>
  <c r="X21" i="15" s="1"/>
  <c r="K14" i="15"/>
  <c r="U14" i="15" s="1"/>
  <c r="X14" i="15" s="1"/>
  <c r="K6" i="15"/>
  <c r="U6" i="15" s="1"/>
  <c r="Y6" i="15" s="1"/>
  <c r="U18" i="15"/>
  <c r="Y18" i="15" s="1"/>
  <c r="T6" i="15"/>
  <c r="K7" i="15"/>
  <c r="U7" i="15" s="1"/>
  <c r="Y7" i="15" s="1"/>
  <c r="AI14" i="15"/>
  <c r="AI15" i="15"/>
  <c r="R6" i="15"/>
  <c r="U19" i="15"/>
  <c r="X19" i="15" s="1"/>
  <c r="U20" i="15"/>
  <c r="X20" i="15" s="1"/>
  <c r="J5" i="15"/>
  <c r="T5" i="15" s="1"/>
  <c r="J18" i="15"/>
  <c r="T18" i="15" s="1"/>
  <c r="U17" i="15"/>
  <c r="X17" i="15" s="1"/>
  <c r="J23" i="15"/>
  <c r="T23" i="15" s="1"/>
  <c r="U13" i="15"/>
  <c r="Y13" i="15" s="1"/>
  <c r="K15" i="15"/>
  <c r="U15" i="15" s="1"/>
  <c r="U16" i="15"/>
  <c r="X16" i="15" s="1"/>
  <c r="K24" i="15"/>
  <c r="U24" i="15" s="1"/>
  <c r="K25" i="15"/>
  <c r="U25" i="15" s="1"/>
  <c r="K8" i="15"/>
  <c r="U8" i="15" s="1"/>
  <c r="Y8" i="15" s="1"/>
  <c r="U22" i="15"/>
  <c r="Y22" i="15" s="1"/>
  <c r="R25" i="15"/>
  <c r="T25" i="15"/>
  <c r="R15" i="15"/>
  <c r="T15" i="15"/>
  <c r="T8" i="15"/>
  <c r="R8" i="15"/>
  <c r="R24" i="15"/>
  <c r="T24" i="15"/>
  <c r="J19" i="15"/>
  <c r="U5" i="15"/>
  <c r="X5" i="15" s="1"/>
  <c r="T12" i="15"/>
  <c r="R14" i="15"/>
  <c r="U4" i="15"/>
  <c r="J9" i="15"/>
  <c r="T14" i="15"/>
  <c r="R7" i="15"/>
  <c r="J11" i="15"/>
  <c r="J17" i="15"/>
  <c r="J20" i="15"/>
  <c r="AM10" i="15"/>
  <c r="J10" i="15"/>
  <c r="R12" i="15"/>
  <c r="J13" i="15"/>
  <c r="J16" i="15"/>
  <c r="R21" i="15"/>
  <c r="J22" i="15"/>
  <c r="T21" i="15"/>
  <c r="T14" i="14"/>
  <c r="J25" i="14"/>
  <c r="T25" i="14" s="1"/>
  <c r="K18" i="14"/>
  <c r="U18" i="14" s="1"/>
  <c r="K19" i="14"/>
  <c r="K17" i="14"/>
  <c r="K16" i="14"/>
  <c r="U16" i="14" s="1"/>
  <c r="Y16" i="14" s="1"/>
  <c r="K14" i="14"/>
  <c r="U14" i="14" s="1"/>
  <c r="Y14" i="14" s="1"/>
  <c r="J11" i="14"/>
  <c r="T11" i="14" s="1"/>
  <c r="U6" i="14"/>
  <c r="Y6" i="14" s="1"/>
  <c r="U13" i="14"/>
  <c r="X13" i="14" s="1"/>
  <c r="AI14" i="14"/>
  <c r="U15" i="14"/>
  <c r="K5" i="14"/>
  <c r="U5" i="14" s="1"/>
  <c r="Y5" i="14" s="1"/>
  <c r="U7" i="14"/>
  <c r="Y7" i="14" s="1"/>
  <c r="U10" i="14"/>
  <c r="R18" i="14"/>
  <c r="U19" i="14"/>
  <c r="U21" i="14"/>
  <c r="Y21" i="14" s="1"/>
  <c r="K9" i="14"/>
  <c r="U9" i="14" s="1"/>
  <c r="X9" i="14" s="1"/>
  <c r="T18" i="14"/>
  <c r="U20" i="14"/>
  <c r="Y20" i="14" s="1"/>
  <c r="T5" i="14"/>
  <c r="R5" i="14"/>
  <c r="T12" i="14"/>
  <c r="R12" i="14"/>
  <c r="R19" i="14"/>
  <c r="T19" i="14"/>
  <c r="U22" i="14"/>
  <c r="U24" i="14"/>
  <c r="Y24" i="14" s="1"/>
  <c r="T9" i="14"/>
  <c r="R9" i="14"/>
  <c r="U8" i="14"/>
  <c r="T23" i="14"/>
  <c r="R23" i="14"/>
  <c r="U17" i="14"/>
  <c r="X17" i="14" s="1"/>
  <c r="AB17" i="14" s="1"/>
  <c r="J7" i="14"/>
  <c r="J21" i="14"/>
  <c r="R16" i="14"/>
  <c r="J6" i="14"/>
  <c r="J20" i="14"/>
  <c r="J10" i="14"/>
  <c r="J13" i="14"/>
  <c r="U25" i="14"/>
  <c r="Y25" i="14" s="1"/>
  <c r="U4" i="14"/>
  <c r="AM10" i="14"/>
  <c r="J24" i="14"/>
  <c r="J8" i="14"/>
  <c r="K12" i="14"/>
  <c r="U12" i="14" s="1"/>
  <c r="X12" i="14" s="1"/>
  <c r="R14" i="14"/>
  <c r="J15" i="14"/>
  <c r="R17" i="14"/>
  <c r="J22" i="14"/>
  <c r="K23" i="14"/>
  <c r="AI15" i="14"/>
  <c r="U11" i="14"/>
  <c r="M3" i="2"/>
  <c r="L3" i="2"/>
  <c r="O2" i="2"/>
  <c r="K3" i="2"/>
  <c r="Q3" i="2"/>
  <c r="P2" i="2"/>
  <c r="M2" i="2"/>
  <c r="O3" i="2"/>
  <c r="Q2" i="2"/>
  <c r="N3" i="2"/>
  <c r="L2" i="2"/>
  <c r="AD4" i="23" l="1"/>
  <c r="AY4" i="23"/>
  <c r="CR4" i="23"/>
  <c r="BV4" i="23"/>
  <c r="AZ4" i="23"/>
  <c r="AE4" i="23"/>
  <c r="AC4" i="23"/>
  <c r="BU4" i="23"/>
  <c r="CQ4" i="23"/>
  <c r="X16" i="22"/>
  <c r="W16" i="22"/>
  <c r="X21" i="22"/>
  <c r="AF4" i="22"/>
  <c r="R21" i="22"/>
  <c r="U16" i="22"/>
  <c r="T16" i="22"/>
  <c r="R16" i="22"/>
  <c r="AF13" i="22"/>
  <c r="U21" i="22"/>
  <c r="R13" i="22"/>
  <c r="U25" i="22"/>
  <c r="U13" i="22"/>
  <c r="AF17" i="22"/>
  <c r="T21" i="22"/>
  <c r="AC21" i="22"/>
  <c r="AE16" i="22"/>
  <c r="T25" i="22"/>
  <c r="W25" i="22"/>
  <c r="AF24" i="22"/>
  <c r="R24" i="22"/>
  <c r="AG24" i="22"/>
  <c r="R19" i="22"/>
  <c r="U19" i="22"/>
  <c r="W19" i="22"/>
  <c r="T19" i="22"/>
  <c r="U14" i="22"/>
  <c r="W14" i="22"/>
  <c r="AC14" i="22"/>
  <c r="R14" i="22"/>
  <c r="T14" i="22"/>
  <c r="X13" i="22"/>
  <c r="W13" i="22"/>
  <c r="T13" i="22"/>
  <c r="AF11" i="22"/>
  <c r="AF7" i="22"/>
  <c r="AG4" i="22"/>
  <c r="AG8" i="22"/>
  <c r="AG16" i="22"/>
  <c r="AE19" i="22"/>
  <c r="AG20" i="22"/>
  <c r="AH15" i="22"/>
  <c r="AG21" i="22"/>
  <c r="AF10" i="22"/>
  <c r="AG9" i="22"/>
  <c r="AH20" i="22"/>
  <c r="AF16" i="22"/>
  <c r="AF12" i="22"/>
  <c r="AF25" i="22"/>
  <c r="AG18" i="22"/>
  <c r="AF9" i="22"/>
  <c r="AG15" i="22"/>
  <c r="AG23" i="22"/>
  <c r="AF21" i="22"/>
  <c r="AG22" i="22"/>
  <c r="AE15" i="22"/>
  <c r="AJ15" i="22" s="1"/>
  <c r="AG6" i="22"/>
  <c r="AF8" i="22"/>
  <c r="AG17" i="22"/>
  <c r="AF5" i="22"/>
  <c r="W24" i="22"/>
  <c r="AE9" i="22"/>
  <c r="AE22" i="22"/>
  <c r="AF6" i="22"/>
  <c r="AG5" i="22"/>
  <c r="AE17" i="22"/>
  <c r="X19" i="22"/>
  <c r="AC19" i="22"/>
  <c r="AG19" i="22"/>
  <c r="AG25" i="22"/>
  <c r="AF23" i="22"/>
  <c r="AG13" i="22"/>
  <c r="AG10" i="22"/>
  <c r="AG7" i="22"/>
  <c r="X25" i="22"/>
  <c r="R25" i="22"/>
  <c r="X24" i="22"/>
  <c r="U24" i="22"/>
  <c r="AE6" i="22"/>
  <c r="AF19" i="22"/>
  <c r="AC25" i="22"/>
  <c r="AC24" i="22"/>
  <c r="AG11" i="22"/>
  <c r="AC7" i="22"/>
  <c r="X7" i="22"/>
  <c r="W7" i="22"/>
  <c r="U7" i="22"/>
  <c r="R7" i="22"/>
  <c r="T7" i="22"/>
  <c r="AE4" i="22"/>
  <c r="AE14" i="22"/>
  <c r="AE5" i="22"/>
  <c r="AE8" i="22"/>
  <c r="AE7" i="22"/>
  <c r="AE13" i="22"/>
  <c r="AG12" i="22"/>
  <c r="AC11" i="22"/>
  <c r="X11" i="22"/>
  <c r="W11" i="22"/>
  <c r="U11" i="22"/>
  <c r="T11" i="22"/>
  <c r="R11" i="22"/>
  <c r="AE25" i="22"/>
  <c r="AE24" i="22"/>
  <c r="AH22" i="22"/>
  <c r="AF14" i="22"/>
  <c r="AE18" i="22"/>
  <c r="AH18" i="22"/>
  <c r="AE21" i="22"/>
  <c r="AF18" i="22"/>
  <c r="AE10" i="22"/>
  <c r="R15" i="22"/>
  <c r="T15" i="22"/>
  <c r="U15" i="22"/>
  <c r="AC15" i="22"/>
  <c r="X15" i="22"/>
  <c r="W15" i="22"/>
  <c r="R10" i="22"/>
  <c r="U10" i="22"/>
  <c r="AC10" i="22"/>
  <c r="X10" i="22"/>
  <c r="W10" i="22"/>
  <c r="T10" i="22"/>
  <c r="AE20" i="22"/>
  <c r="AE23" i="22"/>
  <c r="AC17" i="22"/>
  <c r="X17" i="22"/>
  <c r="W17" i="22"/>
  <c r="U17" i="22"/>
  <c r="T17" i="22"/>
  <c r="R17" i="22"/>
  <c r="AG14" i="22"/>
  <c r="AE11" i="22"/>
  <c r="AE12" i="22"/>
  <c r="AC12" i="22"/>
  <c r="X12" i="22"/>
  <c r="W12" i="22"/>
  <c r="U12" i="22"/>
  <c r="T12" i="22"/>
  <c r="R12" i="22"/>
  <c r="AC18" i="22"/>
  <c r="X18" i="22"/>
  <c r="W18" i="22"/>
  <c r="U18" i="22"/>
  <c r="T18" i="22"/>
  <c r="R18" i="22"/>
  <c r="AC4" i="21"/>
  <c r="AE4" i="21"/>
  <c r="AI4" i="21" s="1"/>
  <c r="AF4" i="21"/>
  <c r="AD4" i="21"/>
  <c r="AF4" i="20"/>
  <c r="AC4" i="20"/>
  <c r="AE4" i="20"/>
  <c r="AD4" i="20"/>
  <c r="AD4" i="19"/>
  <c r="AF4" i="19"/>
  <c r="AC4" i="19"/>
  <c r="AG4" i="19" s="1"/>
  <c r="AE4" i="19"/>
  <c r="AI4" i="19" s="1"/>
  <c r="AE4" i="18"/>
  <c r="AI4" i="18" s="1"/>
  <c r="AC4" i="18"/>
  <c r="AG4" i="18" s="1"/>
  <c r="AD4" i="18"/>
  <c r="V9" i="17"/>
  <c r="X23" i="17"/>
  <c r="V10" i="17"/>
  <c r="V21" i="17"/>
  <c r="V5" i="17"/>
  <c r="V20" i="17"/>
  <c r="Y9" i="17"/>
  <c r="Y20" i="17"/>
  <c r="U16" i="17"/>
  <c r="AB8" i="17"/>
  <c r="W18" i="17"/>
  <c r="AB20" i="17"/>
  <c r="X21" i="17"/>
  <c r="AB21" i="17" s="1"/>
  <c r="X13" i="17"/>
  <c r="W25" i="17"/>
  <c r="W14" i="17"/>
  <c r="V14" i="17"/>
  <c r="V24" i="17"/>
  <c r="X24" i="17"/>
  <c r="W13" i="17"/>
  <c r="Y8" i="17"/>
  <c r="W24" i="17"/>
  <c r="W21" i="17"/>
  <c r="X18" i="17"/>
  <c r="X10" i="17"/>
  <c r="W17" i="17"/>
  <c r="W12" i="17"/>
  <c r="V13" i="17"/>
  <c r="Y10" i="17"/>
  <c r="V6" i="17"/>
  <c r="V23" i="17"/>
  <c r="Y5" i="17"/>
  <c r="V12" i="17"/>
  <c r="W5" i="17"/>
  <c r="X5" i="17"/>
  <c r="AB5" i="17" s="1"/>
  <c r="X14" i="17"/>
  <c r="X4" i="17"/>
  <c r="AB4" i="17" s="1"/>
  <c r="W4" i="17"/>
  <c r="V8" i="17"/>
  <c r="W20" i="17"/>
  <c r="W10" i="17"/>
  <c r="V7" i="17"/>
  <c r="V17" i="17"/>
  <c r="W6" i="17"/>
  <c r="X7" i="17"/>
  <c r="W8" i="17"/>
  <c r="W7" i="17"/>
  <c r="W23" i="17"/>
  <c r="W9" i="17"/>
  <c r="V4" i="17"/>
  <c r="X6" i="17"/>
  <c r="AB6" i="17" s="1"/>
  <c r="W22" i="17"/>
  <c r="Y22" i="17"/>
  <c r="V22" i="17"/>
  <c r="X22" i="17"/>
  <c r="AB22" i="17" s="1"/>
  <c r="V15" i="17"/>
  <c r="V25" i="17"/>
  <c r="T18" i="17"/>
  <c r="X19" i="17"/>
  <c r="Y19" i="17"/>
  <c r="W11" i="17"/>
  <c r="T23" i="17"/>
  <c r="V19" i="17"/>
  <c r="T9" i="17"/>
  <c r="AB9" i="17" s="1"/>
  <c r="W19" i="17"/>
  <c r="V18" i="17"/>
  <c r="T10" i="17"/>
  <c r="T25" i="17"/>
  <c r="V11" i="17"/>
  <c r="T17" i="17"/>
  <c r="X12" i="17"/>
  <c r="AB12" i="17" s="1"/>
  <c r="X17" i="17"/>
  <c r="Y17" i="17"/>
  <c r="T19" i="17"/>
  <c r="X11" i="17"/>
  <c r="AB11" i="17" s="1"/>
  <c r="T13" i="17"/>
  <c r="T7" i="17"/>
  <c r="W15" i="17"/>
  <c r="T24" i="17"/>
  <c r="X25" i="17"/>
  <c r="X15" i="17"/>
  <c r="AB15" i="17" s="1"/>
  <c r="R22" i="16"/>
  <c r="W4" i="16"/>
  <c r="V15" i="16"/>
  <c r="X15" i="16"/>
  <c r="R16" i="16"/>
  <c r="V20" i="16"/>
  <c r="V13" i="16"/>
  <c r="V4" i="16"/>
  <c r="Z4" i="16" s="1"/>
  <c r="X4" i="16"/>
  <c r="Y4" i="16"/>
  <c r="Y14" i="16"/>
  <c r="V14" i="16"/>
  <c r="V8" i="16"/>
  <c r="Z8" i="16" s="1"/>
  <c r="W25" i="16"/>
  <c r="X6" i="16"/>
  <c r="X22" i="16"/>
  <c r="Y12" i="16"/>
  <c r="X24" i="16"/>
  <c r="Y13" i="16"/>
  <c r="W13" i="16"/>
  <c r="X13" i="16"/>
  <c r="W9" i="16"/>
  <c r="X11" i="16"/>
  <c r="V16" i="16"/>
  <c r="W22" i="16"/>
  <c r="X5" i="16"/>
  <c r="W10" i="16"/>
  <c r="V5" i="16"/>
  <c r="Z5" i="16" s="1"/>
  <c r="X23" i="16"/>
  <c r="V12" i="16"/>
  <c r="Z12" i="16" s="1"/>
  <c r="X21" i="16"/>
  <c r="V24" i="16"/>
  <c r="R20" i="16"/>
  <c r="X16" i="16"/>
  <c r="Y20" i="16"/>
  <c r="R25" i="16"/>
  <c r="V11" i="16"/>
  <c r="Z11" i="16" s="1"/>
  <c r="X8" i="16"/>
  <c r="X20" i="16"/>
  <c r="R14" i="16"/>
  <c r="W19" i="16"/>
  <c r="X9" i="16"/>
  <c r="X17" i="16"/>
  <c r="X7" i="16"/>
  <c r="V6" i="16"/>
  <c r="V21" i="16"/>
  <c r="Z21" i="16" s="1"/>
  <c r="V25" i="16"/>
  <c r="X19" i="16"/>
  <c r="X25" i="16"/>
  <c r="W24" i="16"/>
  <c r="V9" i="16"/>
  <c r="Z9" i="16" s="1"/>
  <c r="V17" i="16"/>
  <c r="W12" i="16"/>
  <c r="V22" i="16"/>
  <c r="R6" i="16"/>
  <c r="W17" i="16"/>
  <c r="W21" i="16"/>
  <c r="W5" i="16"/>
  <c r="V23" i="16"/>
  <c r="W15" i="16"/>
  <c r="W11" i="16"/>
  <c r="V10" i="16"/>
  <c r="Z10" i="16" s="1"/>
  <c r="W7" i="16"/>
  <c r="V7" i="16"/>
  <c r="V19" i="16"/>
  <c r="Z19" i="16" s="1"/>
  <c r="W18" i="16"/>
  <c r="W14" i="16"/>
  <c r="R24" i="16"/>
  <c r="W20" i="16"/>
  <c r="R15" i="16"/>
  <c r="X18" i="16"/>
  <c r="W23" i="16"/>
  <c r="W6" i="16"/>
  <c r="W16" i="16"/>
  <c r="X10" i="16"/>
  <c r="V18" i="16"/>
  <c r="W8" i="16"/>
  <c r="R13" i="16"/>
  <c r="Y11" i="15"/>
  <c r="X12" i="15"/>
  <c r="X18" i="15"/>
  <c r="AB18" i="15" s="1"/>
  <c r="AB23" i="15"/>
  <c r="Y23" i="15"/>
  <c r="Y10" i="15"/>
  <c r="Y9" i="15"/>
  <c r="X6" i="15"/>
  <c r="AB6" i="15" s="1"/>
  <c r="V6" i="15"/>
  <c r="Z6" i="15" s="1"/>
  <c r="V4" i="15"/>
  <c r="Z4" i="15" s="1"/>
  <c r="W6" i="15"/>
  <c r="Y20" i="15"/>
  <c r="AB14" i="15"/>
  <c r="R5" i="15"/>
  <c r="V12" i="15"/>
  <c r="Z12" i="15" s="1"/>
  <c r="V20" i="15"/>
  <c r="V21" i="15"/>
  <c r="Z21" i="15" s="1"/>
  <c r="Y14" i="15"/>
  <c r="V8" i="15"/>
  <c r="Z8" i="15" s="1"/>
  <c r="X13" i="15"/>
  <c r="V25" i="15"/>
  <c r="Z25" i="15" s="1"/>
  <c r="Y19" i="15"/>
  <c r="V19" i="15"/>
  <c r="V9" i="15"/>
  <c r="Y16" i="15"/>
  <c r="W14" i="15"/>
  <c r="V18" i="15"/>
  <c r="V11" i="15"/>
  <c r="W15" i="15"/>
  <c r="W17" i="15"/>
  <c r="V23" i="15"/>
  <c r="V10" i="15"/>
  <c r="W20" i="15"/>
  <c r="Y4" i="15"/>
  <c r="Y21" i="15"/>
  <c r="W25" i="15"/>
  <c r="W18" i="15"/>
  <c r="V16" i="15"/>
  <c r="V7" i="15"/>
  <c r="Z7" i="15" s="1"/>
  <c r="W7" i="15"/>
  <c r="W21" i="15"/>
  <c r="W19" i="15"/>
  <c r="W23" i="15"/>
  <c r="V14" i="15"/>
  <c r="Z14" i="15" s="1"/>
  <c r="AB21" i="15"/>
  <c r="V17" i="15"/>
  <c r="W16" i="15"/>
  <c r="X7" i="15"/>
  <c r="AB7" i="15" s="1"/>
  <c r="Y17" i="15"/>
  <c r="W24" i="15"/>
  <c r="W5" i="15"/>
  <c r="V13" i="15"/>
  <c r="AD13" i="15" s="1"/>
  <c r="R23" i="15"/>
  <c r="X8" i="15"/>
  <c r="AB8" i="15" s="1"/>
  <c r="W11" i="15"/>
  <c r="W12" i="15"/>
  <c r="W10" i="15"/>
  <c r="W13" i="15"/>
  <c r="AB5" i="15"/>
  <c r="W8" i="15"/>
  <c r="W9" i="15"/>
  <c r="W22" i="15"/>
  <c r="R18" i="15"/>
  <c r="V15" i="15"/>
  <c r="Z15" i="15" s="1"/>
  <c r="V22" i="15"/>
  <c r="X25" i="15"/>
  <c r="AB25" i="15" s="1"/>
  <c r="Y25" i="15"/>
  <c r="V5" i="15"/>
  <c r="Y5" i="15"/>
  <c r="T22" i="15"/>
  <c r="R22" i="15"/>
  <c r="V24" i="15"/>
  <c r="Y24" i="15"/>
  <c r="R16" i="15"/>
  <c r="T16" i="15"/>
  <c r="AB16" i="15" s="1"/>
  <c r="T19" i="15"/>
  <c r="R19" i="15"/>
  <c r="T13" i="15"/>
  <c r="R13" i="15"/>
  <c r="X4" i="15"/>
  <c r="AB4" i="15" s="1"/>
  <c r="T20" i="15"/>
  <c r="R20" i="15"/>
  <c r="R9" i="15"/>
  <c r="T9" i="15"/>
  <c r="X15" i="15"/>
  <c r="AB15" i="15" s="1"/>
  <c r="Y15" i="15"/>
  <c r="R11" i="15"/>
  <c r="T11" i="15"/>
  <c r="R10" i="15"/>
  <c r="T10" i="15"/>
  <c r="AB10" i="15" s="1"/>
  <c r="R17" i="15"/>
  <c r="T17" i="15"/>
  <c r="AB17" i="15" s="1"/>
  <c r="W4" i="15"/>
  <c r="X24" i="15"/>
  <c r="AB24" i="15" s="1"/>
  <c r="X22" i="15"/>
  <c r="AB12" i="15"/>
  <c r="V15" i="14"/>
  <c r="R25" i="14"/>
  <c r="V17" i="14"/>
  <c r="Z17" i="14" s="1"/>
  <c r="X14" i="14"/>
  <c r="AB14" i="14" s="1"/>
  <c r="AB9" i="14"/>
  <c r="V16" i="14"/>
  <c r="Z16" i="14" s="1"/>
  <c r="X16" i="14"/>
  <c r="AB16" i="14" s="1"/>
  <c r="V22" i="14"/>
  <c r="X6" i="14"/>
  <c r="W11" i="14"/>
  <c r="Y13" i="14"/>
  <c r="V6" i="14"/>
  <c r="V19" i="14"/>
  <c r="Z19" i="14" s="1"/>
  <c r="R11" i="14"/>
  <c r="V10" i="14"/>
  <c r="V18" i="14"/>
  <c r="Z18" i="14" s="1"/>
  <c r="AB12" i="14"/>
  <c r="W15" i="14"/>
  <c r="AD15" i="14" s="1"/>
  <c r="X10" i="14"/>
  <c r="X15" i="14"/>
  <c r="W21" i="14"/>
  <c r="X5" i="14"/>
  <c r="AB5" i="14" s="1"/>
  <c r="W10" i="14"/>
  <c r="W14" i="14"/>
  <c r="X25" i="14"/>
  <c r="AB25" i="14" s="1"/>
  <c r="V8" i="14"/>
  <c r="Y10" i="14"/>
  <c r="V7" i="14"/>
  <c r="W6" i="14"/>
  <c r="X7" i="14"/>
  <c r="W13" i="14"/>
  <c r="Y15" i="14"/>
  <c r="V14" i="14"/>
  <c r="Z14" i="14" s="1"/>
  <c r="V13" i="14"/>
  <c r="V5" i="14"/>
  <c r="Z5" i="14" s="1"/>
  <c r="X8" i="14"/>
  <c r="X18" i="14"/>
  <c r="AB18" i="14" s="1"/>
  <c r="W9" i="14"/>
  <c r="W25" i="14"/>
  <c r="Y17" i="14"/>
  <c r="W16" i="14"/>
  <c r="X20" i="14"/>
  <c r="X19" i="14"/>
  <c r="AB19" i="14" s="1"/>
  <c r="W5" i="14"/>
  <c r="X21" i="14"/>
  <c r="V21" i="14"/>
  <c r="W18" i="14"/>
  <c r="Y19" i="14"/>
  <c r="V20" i="14"/>
  <c r="W19" i="14"/>
  <c r="W17" i="14"/>
  <c r="V25" i="14"/>
  <c r="W7" i="14"/>
  <c r="W20" i="14"/>
  <c r="T15" i="14"/>
  <c r="R15" i="14"/>
  <c r="W8" i="14"/>
  <c r="V12" i="14"/>
  <c r="X24" i="14"/>
  <c r="T8" i="14"/>
  <c r="R8" i="14"/>
  <c r="T7" i="14"/>
  <c r="R7" i="14"/>
  <c r="V24" i="14"/>
  <c r="Y18" i="14"/>
  <c r="T24" i="14"/>
  <c r="R24" i="14"/>
  <c r="T13" i="14"/>
  <c r="AB13" i="14" s="1"/>
  <c r="R13" i="14"/>
  <c r="T10" i="14"/>
  <c r="R10" i="14"/>
  <c r="U23" i="14"/>
  <c r="T22" i="14"/>
  <c r="R22" i="14"/>
  <c r="T6" i="14"/>
  <c r="R6" i="14"/>
  <c r="X22" i="14"/>
  <c r="Y22" i="14"/>
  <c r="T21" i="14"/>
  <c r="R21" i="14"/>
  <c r="X11" i="14"/>
  <c r="AB11" i="14" s="1"/>
  <c r="V11" i="14"/>
  <c r="Y9" i="14"/>
  <c r="Y8" i="14"/>
  <c r="W24" i="14"/>
  <c r="W12" i="14"/>
  <c r="W22" i="14"/>
  <c r="T20" i="14"/>
  <c r="R20" i="14"/>
  <c r="Y12" i="14"/>
  <c r="V9" i="14"/>
  <c r="W4" i="14"/>
  <c r="Y11" i="14"/>
  <c r="Y4" i="14"/>
  <c r="V4" i="14"/>
  <c r="X4" i="14"/>
  <c r="AB4" i="14" s="1"/>
  <c r="N2" i="2"/>
  <c r="K2" i="2"/>
  <c r="F25" i="2" s="1"/>
  <c r="P3" i="2"/>
  <c r="G17" i="2" s="1"/>
  <c r="E25" i="23" l="1"/>
  <c r="I25" i="23" s="1"/>
  <c r="E25" i="20"/>
  <c r="I25" i="20" s="1"/>
  <c r="E25" i="22"/>
  <c r="N25" i="22" s="1"/>
  <c r="P25" i="22" s="1"/>
  <c r="S25" i="22" s="1"/>
  <c r="E25" i="21"/>
  <c r="I25" i="21" s="1"/>
  <c r="K25" i="21" s="1"/>
  <c r="L25" i="21" s="1"/>
  <c r="E25" i="18"/>
  <c r="I25" i="18" s="1"/>
  <c r="K25" i="18" s="1"/>
  <c r="L25" i="18" s="1"/>
  <c r="E25" i="17"/>
  <c r="N25" i="17" s="1"/>
  <c r="P25" i="17" s="1"/>
  <c r="E25" i="14"/>
  <c r="N25" i="14" s="1"/>
  <c r="P25" i="14" s="1"/>
  <c r="S25" i="14" s="1"/>
  <c r="AA25" i="14" s="1"/>
  <c r="E25" i="19"/>
  <c r="I25" i="19" s="1"/>
  <c r="E25" i="16"/>
  <c r="N25" i="16" s="1"/>
  <c r="P25" i="16" s="1"/>
  <c r="E25" i="15"/>
  <c r="N25" i="15" s="1"/>
  <c r="P25" i="15" s="1"/>
  <c r="F17" i="22"/>
  <c r="O17" i="22" s="1"/>
  <c r="Q17" i="22" s="1"/>
  <c r="V17" i="22" s="1"/>
  <c r="F17" i="23"/>
  <c r="J17" i="23" s="1"/>
  <c r="AG17" i="23" s="1"/>
  <c r="AH17" i="23" s="1"/>
  <c r="F17" i="18"/>
  <c r="J17" i="18" s="1"/>
  <c r="F17" i="20"/>
  <c r="J17" i="20" s="1"/>
  <c r="F17" i="19"/>
  <c r="J17" i="19" s="1"/>
  <c r="K17" i="19" s="1"/>
  <c r="L17" i="19" s="1"/>
  <c r="F17" i="17"/>
  <c r="O17" i="17" s="1"/>
  <c r="Q17" i="17" s="1"/>
  <c r="F17" i="21"/>
  <c r="J17" i="21" s="1"/>
  <c r="F17" i="15"/>
  <c r="O17" i="15" s="1"/>
  <c r="Q17" i="15" s="1"/>
  <c r="S17" i="15" s="1"/>
  <c r="AA17" i="15" s="1"/>
  <c r="F17" i="16"/>
  <c r="O17" i="16" s="1"/>
  <c r="Q17" i="16" s="1"/>
  <c r="F17" i="14"/>
  <c r="O17" i="14" s="1"/>
  <c r="Q17" i="14" s="1"/>
  <c r="G25" i="2"/>
  <c r="DA12" i="23"/>
  <c r="DA13" i="23"/>
  <c r="DA14" i="23"/>
  <c r="AJ4" i="22"/>
  <c r="AJ16" i="22"/>
  <c r="AL22" i="22"/>
  <c r="AJ9" i="22"/>
  <c r="AJ22" i="22"/>
  <c r="AL11" i="22"/>
  <c r="AK20" i="22"/>
  <c r="AL25" i="22"/>
  <c r="AJ24" i="22"/>
  <c r="AJ19" i="22"/>
  <c r="AL7" i="22"/>
  <c r="AJ23" i="22"/>
  <c r="AK22" i="22"/>
  <c r="AK6" i="22"/>
  <c r="AL19" i="22"/>
  <c r="AK9" i="22"/>
  <c r="AK16" i="22"/>
  <c r="AL6" i="22"/>
  <c r="AL16" i="22"/>
  <c r="AK19" i="22"/>
  <c r="AJ25" i="22"/>
  <c r="AL15" i="22"/>
  <c r="AK25" i="22"/>
  <c r="AJ10" i="22"/>
  <c r="AK17" i="22"/>
  <c r="AL9" i="22"/>
  <c r="AJ21" i="22"/>
  <c r="AK15" i="22"/>
  <c r="AJ17" i="22"/>
  <c r="AL23" i="22"/>
  <c r="AK10" i="22"/>
  <c r="AJ6" i="22"/>
  <c r="AL17" i="22"/>
  <c r="AJ5" i="22"/>
  <c r="AJ11" i="22"/>
  <c r="AK4" i="22"/>
  <c r="AT12" i="22" s="1"/>
  <c r="AK11" i="22"/>
  <c r="AK21" i="22"/>
  <c r="AK7" i="22"/>
  <c r="AL24" i="22"/>
  <c r="AK23" i="22"/>
  <c r="AL5" i="22"/>
  <c r="AK12" i="22"/>
  <c r="AK5" i="22"/>
  <c r="AJ7" i="22"/>
  <c r="AK24" i="22"/>
  <c r="AL12" i="22"/>
  <c r="AJ20" i="22"/>
  <c r="AK13" i="22"/>
  <c r="AL10" i="22"/>
  <c r="AL21" i="22"/>
  <c r="AL20" i="22"/>
  <c r="AK8" i="22"/>
  <c r="AJ8" i="22"/>
  <c r="AL8" i="22"/>
  <c r="AL13" i="22"/>
  <c r="AJ13" i="22"/>
  <c r="AL14" i="22"/>
  <c r="AJ14" i="22"/>
  <c r="AK14" i="22"/>
  <c r="AJ12" i="22"/>
  <c r="AK18" i="22"/>
  <c r="AL18" i="22"/>
  <c r="AJ18" i="22"/>
  <c r="AL4" i="22"/>
  <c r="AT13" i="22" s="1"/>
  <c r="AL4" i="21"/>
  <c r="AT12" i="21" s="1"/>
  <c r="AM4" i="21"/>
  <c r="AT13" i="21" s="1"/>
  <c r="AK4" i="21"/>
  <c r="AM4" i="20"/>
  <c r="AT13" i="20" s="1"/>
  <c r="AG4" i="20"/>
  <c r="AL4" i="20"/>
  <c r="AT12" i="20" s="1"/>
  <c r="AK4" i="20"/>
  <c r="AM4" i="19"/>
  <c r="AT13" i="19" s="1"/>
  <c r="AK4" i="19"/>
  <c r="AL4" i="19"/>
  <c r="AT12" i="19" s="1"/>
  <c r="AM4" i="18"/>
  <c r="AT13" i="18" s="1"/>
  <c r="AK4" i="18"/>
  <c r="AL4" i="18"/>
  <c r="AT12" i="18" s="1"/>
  <c r="AD10" i="17"/>
  <c r="AF9" i="17"/>
  <c r="AF20" i="17"/>
  <c r="AD5" i="17"/>
  <c r="AF23" i="17"/>
  <c r="V16" i="17"/>
  <c r="Y16" i="17"/>
  <c r="AB7" i="17"/>
  <c r="AD12" i="17"/>
  <c r="AD6" i="17"/>
  <c r="W16" i="17"/>
  <c r="X16" i="17"/>
  <c r="AB16" i="17" s="1"/>
  <c r="AD25" i="17"/>
  <c r="AE24" i="17"/>
  <c r="AD14" i="17"/>
  <c r="AE14" i="17"/>
  <c r="AD24" i="17"/>
  <c r="AB14" i="17"/>
  <c r="AE21" i="17"/>
  <c r="AF21" i="17"/>
  <c r="AF24" i="17"/>
  <c r="AD21" i="17"/>
  <c r="AE13" i="17"/>
  <c r="AB10" i="17"/>
  <c r="AB24" i="17"/>
  <c r="AB18" i="17"/>
  <c r="AD13" i="17"/>
  <c r="AF15" i="17"/>
  <c r="AF13" i="17"/>
  <c r="AE18" i="17"/>
  <c r="AF5" i="17"/>
  <c r="AE23" i="17"/>
  <c r="AF14" i="17"/>
  <c r="AE20" i="17"/>
  <c r="AG20" i="17" s="1"/>
  <c r="AF6" i="17"/>
  <c r="AE8" i="17"/>
  <c r="AD17" i="17"/>
  <c r="AD23" i="17"/>
  <c r="AE9" i="17"/>
  <c r="AD9" i="17"/>
  <c r="AE22" i="17"/>
  <c r="AE5" i="17"/>
  <c r="AF4" i="17"/>
  <c r="AM13" i="17" s="1"/>
  <c r="AF7" i="17"/>
  <c r="AE7" i="17"/>
  <c r="AD7" i="17"/>
  <c r="AE25" i="17"/>
  <c r="AF11" i="17"/>
  <c r="AE6" i="17"/>
  <c r="AD20" i="17"/>
  <c r="AD22" i="17"/>
  <c r="AD11" i="17"/>
  <c r="AD4" i="17"/>
  <c r="AF10" i="17"/>
  <c r="AD8" i="17"/>
  <c r="AF22" i="17"/>
  <c r="AF8" i="17"/>
  <c r="AE10" i="17"/>
  <c r="AE11" i="17"/>
  <c r="AE4" i="17"/>
  <c r="AM12" i="17" s="1"/>
  <c r="AE12" i="17"/>
  <c r="AB17" i="17"/>
  <c r="AF12" i="17"/>
  <c r="AB19" i="17"/>
  <c r="AE17" i="17"/>
  <c r="AB23" i="17"/>
  <c r="AB13" i="17"/>
  <c r="AD18" i="17"/>
  <c r="AB25" i="17"/>
  <c r="AD19" i="17"/>
  <c r="AF19" i="17"/>
  <c r="AE19" i="17"/>
  <c r="AF18" i="17"/>
  <c r="AF17" i="17"/>
  <c r="AD15" i="17"/>
  <c r="AE15" i="17"/>
  <c r="AF25" i="17"/>
  <c r="AD4" i="16"/>
  <c r="Z16" i="16"/>
  <c r="AD13" i="16"/>
  <c r="AF15" i="16"/>
  <c r="Z15" i="16"/>
  <c r="Z20" i="16"/>
  <c r="Z13" i="16"/>
  <c r="AF4" i="16"/>
  <c r="AM13" i="16" s="1"/>
  <c r="Z14" i="16"/>
  <c r="AE4" i="16"/>
  <c r="AM12" i="16" s="1"/>
  <c r="Z6" i="16"/>
  <c r="AD14" i="16"/>
  <c r="AF11" i="16"/>
  <c r="AE22" i="16"/>
  <c r="AE13" i="16"/>
  <c r="AE11" i="16"/>
  <c r="AF13" i="16"/>
  <c r="AD25" i="16"/>
  <c r="AF16" i="16"/>
  <c r="AF23" i="16"/>
  <c r="AE24" i="16"/>
  <c r="AD11" i="16"/>
  <c r="AF19" i="16"/>
  <c r="AE25" i="16"/>
  <c r="AD10" i="16"/>
  <c r="Z24" i="16"/>
  <c r="AF5" i="16"/>
  <c r="AE23" i="16"/>
  <c r="AF9" i="16"/>
  <c r="AE17" i="16"/>
  <c r="AD24" i="16"/>
  <c r="AD16" i="16"/>
  <c r="Z23" i="16"/>
  <c r="AD23" i="16"/>
  <c r="AD21" i="16"/>
  <c r="AF22" i="16"/>
  <c r="AE20" i="16"/>
  <c r="AE7" i="16"/>
  <c r="AE12" i="16"/>
  <c r="AE18" i="16"/>
  <c r="AE14" i="16"/>
  <c r="AF20" i="16"/>
  <c r="AF21" i="16"/>
  <c r="AF14" i="16"/>
  <c r="AE10" i="16"/>
  <c r="AE16" i="16"/>
  <c r="AE15" i="16"/>
  <c r="AD22" i="16"/>
  <c r="Z22" i="16"/>
  <c r="AD17" i="16"/>
  <c r="Z17" i="16"/>
  <c r="AD12" i="16"/>
  <c r="AF7" i="16"/>
  <c r="AE21" i="16"/>
  <c r="AF25" i="16"/>
  <c r="AD15" i="16"/>
  <c r="Z18" i="16"/>
  <c r="AF18" i="16"/>
  <c r="AD8" i="16"/>
  <c r="AF17" i="16"/>
  <c r="AD6" i="16"/>
  <c r="AD9" i="16"/>
  <c r="Z7" i="16"/>
  <c r="AD7" i="16"/>
  <c r="AD18" i="16"/>
  <c r="AF12" i="16"/>
  <c r="AE8" i="16"/>
  <c r="AD19" i="16"/>
  <c r="AD5" i="16"/>
  <c r="AF10" i="16"/>
  <c r="AD20" i="16"/>
  <c r="AE9" i="16"/>
  <c r="Z25" i="16"/>
  <c r="AF8" i="16"/>
  <c r="AF24" i="16"/>
  <c r="AE5" i="16"/>
  <c r="AE19" i="16"/>
  <c r="AF6" i="16"/>
  <c r="AE6" i="16"/>
  <c r="AE6" i="15"/>
  <c r="AF20" i="15"/>
  <c r="AB22" i="15"/>
  <c r="AE11" i="15"/>
  <c r="AD25" i="15"/>
  <c r="AD6" i="15"/>
  <c r="AF21" i="15"/>
  <c r="AF6" i="15"/>
  <c r="AG6" i="15" s="1"/>
  <c r="AB13" i="15"/>
  <c r="Z20" i="15"/>
  <c r="Z23" i="15"/>
  <c r="AD23" i="15"/>
  <c r="Z19" i="15"/>
  <c r="Z17" i="15"/>
  <c r="Z13" i="15"/>
  <c r="AE12" i="15"/>
  <c r="Z9" i="15"/>
  <c r="AE21" i="15"/>
  <c r="AD18" i="15"/>
  <c r="AE20" i="15"/>
  <c r="AD20" i="15"/>
  <c r="Z16" i="15"/>
  <c r="AD14" i="15"/>
  <c r="AD8" i="15"/>
  <c r="AF5" i="15"/>
  <c r="AF15" i="15"/>
  <c r="AF13" i="15"/>
  <c r="AD16" i="15"/>
  <c r="AD11" i="15"/>
  <c r="AE18" i="15"/>
  <c r="AF10" i="15"/>
  <c r="AF18" i="15"/>
  <c r="AE23" i="15"/>
  <c r="AE8" i="15"/>
  <c r="AD21" i="15"/>
  <c r="AD7" i="15"/>
  <c r="Z18" i="15"/>
  <c r="AF11" i="15"/>
  <c r="AF14" i="15"/>
  <c r="AD15" i="15"/>
  <c r="AE10" i="15"/>
  <c r="AF8" i="15"/>
  <c r="AE14" i="15"/>
  <c r="AF23" i="15"/>
  <c r="AD10" i="15"/>
  <c r="AE7" i="15"/>
  <c r="Z11" i="15"/>
  <c r="AE9" i="15"/>
  <c r="AD19" i="15"/>
  <c r="AE5" i="15"/>
  <c r="AF19" i="15"/>
  <c r="AD9" i="15"/>
  <c r="AE17" i="15"/>
  <c r="AE19" i="15"/>
  <c r="AF17" i="15"/>
  <c r="AF12" i="15"/>
  <c r="AF16" i="15"/>
  <c r="AF9" i="15"/>
  <c r="AE16" i="15"/>
  <c r="AD17" i="15"/>
  <c r="AE13" i="15"/>
  <c r="AE25" i="15"/>
  <c r="AF7" i="15"/>
  <c r="AF4" i="15"/>
  <c r="AM13" i="15" s="1"/>
  <c r="AD12" i="15"/>
  <c r="AF25" i="15"/>
  <c r="AD24" i="15"/>
  <c r="Z24" i="15"/>
  <c r="AF24" i="15"/>
  <c r="AE24" i="15"/>
  <c r="Z22" i="15"/>
  <c r="AE22" i="15"/>
  <c r="AF22" i="15"/>
  <c r="AB9" i="15"/>
  <c r="AB19" i="15"/>
  <c r="AD22" i="15"/>
  <c r="AE4" i="15"/>
  <c r="AM12" i="15" s="1"/>
  <c r="Z10" i="15"/>
  <c r="AE15" i="15"/>
  <c r="AB20" i="15"/>
  <c r="AD4" i="15"/>
  <c r="AB11" i="15"/>
  <c r="Z5" i="15"/>
  <c r="AD5" i="15"/>
  <c r="Z25" i="14"/>
  <c r="Z15" i="14"/>
  <c r="Z11" i="14"/>
  <c r="Z22" i="14"/>
  <c r="AD17" i="14"/>
  <c r="AB15" i="14"/>
  <c r="AE13" i="14"/>
  <c r="AD21" i="14"/>
  <c r="AE16" i="14"/>
  <c r="AF22" i="14"/>
  <c r="AF10" i="14"/>
  <c r="AB6" i="14"/>
  <c r="AF14" i="14"/>
  <c r="AD10" i="14"/>
  <c r="Z10" i="14"/>
  <c r="AD7" i="14"/>
  <c r="Z6" i="14"/>
  <c r="AD19" i="14"/>
  <c r="AF6" i="14"/>
  <c r="AD8" i="14"/>
  <c r="AF15" i="14"/>
  <c r="AB24" i="14"/>
  <c r="AB20" i="14"/>
  <c r="Z20" i="14"/>
  <c r="AE15" i="14"/>
  <c r="AF16" i="14"/>
  <c r="AB7" i="14"/>
  <c r="AD13" i="14"/>
  <c r="AF5" i="14"/>
  <c r="AE10" i="14"/>
  <c r="AF7" i="14"/>
  <c r="AF21" i="14"/>
  <c r="Z7" i="14"/>
  <c r="Z8" i="14"/>
  <c r="AD20" i="14"/>
  <c r="AE6" i="14"/>
  <c r="AB8" i="14"/>
  <c r="AD6" i="14"/>
  <c r="AD4" i="14"/>
  <c r="Z21" i="14"/>
  <c r="AE8" i="14"/>
  <c r="AE7" i="14"/>
  <c r="AF12" i="14"/>
  <c r="AF24" i="14"/>
  <c r="Z13" i="14"/>
  <c r="AE21" i="14"/>
  <c r="AD12" i="14"/>
  <c r="AE25" i="14"/>
  <c r="AE18" i="14"/>
  <c r="AD18" i="14"/>
  <c r="AF13" i="14"/>
  <c r="AB21" i="14"/>
  <c r="AD14" i="14"/>
  <c r="AF18" i="14"/>
  <c r="AE14" i="14"/>
  <c r="AF20" i="14"/>
  <c r="AE17" i="14"/>
  <c r="AE5" i="14"/>
  <c r="AE20" i="14"/>
  <c r="AD24" i="14"/>
  <c r="AE19" i="14"/>
  <c r="AD5" i="14"/>
  <c r="AF17" i="14"/>
  <c r="AF19" i="14"/>
  <c r="AD25" i="14"/>
  <c r="Z24" i="14"/>
  <c r="AF25" i="14"/>
  <c r="AD16" i="14"/>
  <c r="AE11" i="14"/>
  <c r="AB10" i="14"/>
  <c r="AF9" i="14"/>
  <c r="Z9" i="14"/>
  <c r="AE9" i="14"/>
  <c r="AD9" i="14"/>
  <c r="AE22" i="14"/>
  <c r="V23" i="14"/>
  <c r="Y23" i="14"/>
  <c r="AE12" i="14"/>
  <c r="X23" i="14"/>
  <c r="AB23" i="14" s="1"/>
  <c r="AF8" i="14"/>
  <c r="AD22" i="14"/>
  <c r="AE24" i="14"/>
  <c r="AB22" i="14"/>
  <c r="AD11" i="14"/>
  <c r="AF11" i="14"/>
  <c r="W23" i="14"/>
  <c r="Z12" i="14"/>
  <c r="Z4" i="14"/>
  <c r="AF4" i="14"/>
  <c r="AM13" i="14" s="1"/>
  <c r="AE4" i="14"/>
  <c r="F24" i="2"/>
  <c r="G24" i="2"/>
  <c r="F23" i="2"/>
  <c r="G23" i="2"/>
  <c r="F21" i="2"/>
  <c r="F22" i="2"/>
  <c r="G22" i="2"/>
  <c r="G21" i="2"/>
  <c r="F19" i="2"/>
  <c r="F20" i="2"/>
  <c r="G20" i="2"/>
  <c r="G19" i="2"/>
  <c r="F17" i="2"/>
  <c r="F18" i="2"/>
  <c r="G18" i="2"/>
  <c r="F11" i="2"/>
  <c r="F14" i="2"/>
  <c r="F7" i="2"/>
  <c r="F6" i="2"/>
  <c r="F15" i="2"/>
  <c r="G5" i="2"/>
  <c r="G8" i="2"/>
  <c r="G15" i="2"/>
  <c r="G10" i="2"/>
  <c r="G9" i="2"/>
  <c r="F12" i="2"/>
  <c r="G6" i="2"/>
  <c r="G13" i="2"/>
  <c r="F9" i="2"/>
  <c r="F4" i="2"/>
  <c r="G7" i="2"/>
  <c r="G16" i="2"/>
  <c r="G4" i="2"/>
  <c r="F5" i="2"/>
  <c r="F8" i="2"/>
  <c r="G11" i="2"/>
  <c r="F16" i="2"/>
  <c r="F10" i="2"/>
  <c r="G12" i="2"/>
  <c r="F13" i="2"/>
  <c r="G14" i="2"/>
  <c r="E16" i="23" l="1"/>
  <c r="I16" i="23" s="1"/>
  <c r="E16" i="20"/>
  <c r="I16" i="20" s="1"/>
  <c r="E16" i="22"/>
  <c r="N16" i="22" s="1"/>
  <c r="P16" i="22" s="1"/>
  <c r="E16" i="21"/>
  <c r="I16" i="21" s="1"/>
  <c r="K16" i="21" s="1"/>
  <c r="L16" i="21" s="1"/>
  <c r="E16" i="18"/>
  <c r="I16" i="18" s="1"/>
  <c r="K16" i="18" s="1"/>
  <c r="L16" i="18" s="1"/>
  <c r="E16" i="19"/>
  <c r="I16" i="19" s="1"/>
  <c r="E16" i="17"/>
  <c r="N16" i="17" s="1"/>
  <c r="P16" i="17" s="1"/>
  <c r="E16" i="15"/>
  <c r="N16" i="15" s="1"/>
  <c r="P16" i="15" s="1"/>
  <c r="E16" i="14"/>
  <c r="N16" i="14" s="1"/>
  <c r="P16" i="14" s="1"/>
  <c r="S16" i="14" s="1"/>
  <c r="AA16" i="14" s="1"/>
  <c r="AC16" i="14" s="1"/>
  <c r="E16" i="16"/>
  <c r="N16" i="16" s="1"/>
  <c r="P16" i="16" s="1"/>
  <c r="F11" i="22"/>
  <c r="O11" i="22" s="1"/>
  <c r="Q11" i="22" s="1"/>
  <c r="F11" i="23"/>
  <c r="J11" i="23" s="1"/>
  <c r="AG11" i="23" s="1"/>
  <c r="AH11" i="23" s="1"/>
  <c r="F11" i="21"/>
  <c r="J11" i="21" s="1"/>
  <c r="F11" i="20"/>
  <c r="J11" i="20" s="1"/>
  <c r="F11" i="17"/>
  <c r="O11" i="17" s="1"/>
  <c r="Q11" i="17" s="1"/>
  <c r="F11" i="19"/>
  <c r="J11" i="19" s="1"/>
  <c r="K11" i="19" s="1"/>
  <c r="L11" i="19" s="1"/>
  <c r="F11" i="15"/>
  <c r="O11" i="15" s="1"/>
  <c r="Q11" i="15" s="1"/>
  <c r="S11" i="15" s="1"/>
  <c r="AA11" i="15" s="1"/>
  <c r="F11" i="18"/>
  <c r="J11" i="18" s="1"/>
  <c r="F11" i="16"/>
  <c r="O11" i="16" s="1"/>
  <c r="Q11" i="16" s="1"/>
  <c r="F11" i="14"/>
  <c r="O11" i="14" s="1"/>
  <c r="Q11" i="14" s="1"/>
  <c r="F12" i="23"/>
  <c r="J12" i="23" s="1"/>
  <c r="AG12" i="23" s="1"/>
  <c r="AH12" i="23" s="1"/>
  <c r="F12" i="21"/>
  <c r="J12" i="21" s="1"/>
  <c r="F12" i="19"/>
  <c r="J12" i="19" s="1"/>
  <c r="K12" i="19" s="1"/>
  <c r="L12" i="19" s="1"/>
  <c r="F12" i="22"/>
  <c r="O12" i="22" s="1"/>
  <c r="Q12" i="22" s="1"/>
  <c r="F12" i="16"/>
  <c r="O12" i="16" s="1"/>
  <c r="Q12" i="16" s="1"/>
  <c r="F12" i="17"/>
  <c r="O12" i="17" s="1"/>
  <c r="Q12" i="17" s="1"/>
  <c r="F12" i="20"/>
  <c r="J12" i="20" s="1"/>
  <c r="F12" i="14"/>
  <c r="O12" i="14" s="1"/>
  <c r="Q12" i="14" s="1"/>
  <c r="F12" i="15"/>
  <c r="O12" i="15" s="1"/>
  <c r="Q12" i="15" s="1"/>
  <c r="S12" i="15" s="1"/>
  <c r="AA12" i="15" s="1"/>
  <c r="AC12" i="15" s="1"/>
  <c r="F12" i="18"/>
  <c r="J12" i="18" s="1"/>
  <c r="F6" i="23"/>
  <c r="J6" i="23" s="1"/>
  <c r="AG6" i="23" s="1"/>
  <c r="AH6" i="23" s="1"/>
  <c r="F6" i="22"/>
  <c r="O6" i="22" s="1"/>
  <c r="Q6" i="22" s="1"/>
  <c r="F6" i="21"/>
  <c r="J6" i="21" s="1"/>
  <c r="F6" i="20"/>
  <c r="J6" i="20" s="1"/>
  <c r="F6" i="18"/>
  <c r="J6" i="18" s="1"/>
  <c r="F6" i="14"/>
  <c r="O6" i="14" s="1"/>
  <c r="Q6" i="14" s="1"/>
  <c r="F6" i="19"/>
  <c r="J6" i="19" s="1"/>
  <c r="K6" i="19" s="1"/>
  <c r="L6" i="19" s="1"/>
  <c r="F6" i="16"/>
  <c r="O6" i="16" s="1"/>
  <c r="Q6" i="16" s="1"/>
  <c r="F6" i="15"/>
  <c r="O6" i="15" s="1"/>
  <c r="Q6" i="15" s="1"/>
  <c r="S6" i="15" s="1"/>
  <c r="AA6" i="15" s="1"/>
  <c r="F6" i="17"/>
  <c r="O6" i="17" s="1"/>
  <c r="Q6" i="17" s="1"/>
  <c r="F18" i="23"/>
  <c r="J18" i="23" s="1"/>
  <c r="AG18" i="23" s="1"/>
  <c r="AH18" i="23" s="1"/>
  <c r="AI18" i="23" s="1"/>
  <c r="F18" i="22"/>
  <c r="O18" i="22" s="1"/>
  <c r="Q18" i="22" s="1"/>
  <c r="F18" i="21"/>
  <c r="J18" i="21" s="1"/>
  <c r="F18" i="19"/>
  <c r="J18" i="19" s="1"/>
  <c r="K18" i="19" s="1"/>
  <c r="L18" i="19" s="1"/>
  <c r="M18" i="19" s="1"/>
  <c r="F18" i="20"/>
  <c r="J18" i="20" s="1"/>
  <c r="F18" i="16"/>
  <c r="O18" i="16" s="1"/>
  <c r="Q18" i="16" s="1"/>
  <c r="F18" i="17"/>
  <c r="O18" i="17" s="1"/>
  <c r="Q18" i="17" s="1"/>
  <c r="F18" i="14"/>
  <c r="O18" i="14" s="1"/>
  <c r="Q18" i="14" s="1"/>
  <c r="F18" i="18"/>
  <c r="J18" i="18" s="1"/>
  <c r="F18" i="15"/>
  <c r="O18" i="15" s="1"/>
  <c r="Q18" i="15" s="1"/>
  <c r="S18" i="15" s="1"/>
  <c r="AA18" i="15" s="1"/>
  <c r="E23" i="23"/>
  <c r="I23" i="23" s="1"/>
  <c r="E23" i="22"/>
  <c r="N23" i="22" s="1"/>
  <c r="P23" i="22" s="1"/>
  <c r="E23" i="19"/>
  <c r="I23" i="19" s="1"/>
  <c r="E23" i="18"/>
  <c r="I23" i="18" s="1"/>
  <c r="K23" i="18" s="1"/>
  <c r="L23" i="18" s="1"/>
  <c r="E23" i="20"/>
  <c r="I23" i="20" s="1"/>
  <c r="E23" i="15"/>
  <c r="N23" i="15" s="1"/>
  <c r="P23" i="15" s="1"/>
  <c r="E23" i="14"/>
  <c r="N23" i="14" s="1"/>
  <c r="P23" i="14" s="1"/>
  <c r="S23" i="14" s="1"/>
  <c r="E23" i="17"/>
  <c r="N23" i="17" s="1"/>
  <c r="P23" i="17" s="1"/>
  <c r="E23" i="16"/>
  <c r="N23" i="16" s="1"/>
  <c r="P23" i="16" s="1"/>
  <c r="E23" i="21"/>
  <c r="I23" i="21" s="1"/>
  <c r="K23" i="21" s="1"/>
  <c r="L23" i="21" s="1"/>
  <c r="E10" i="23"/>
  <c r="I10" i="23" s="1"/>
  <c r="E10" i="22"/>
  <c r="N10" i="22" s="1"/>
  <c r="P10" i="22" s="1"/>
  <c r="E10" i="21"/>
  <c r="I10" i="21" s="1"/>
  <c r="K10" i="21" s="1"/>
  <c r="L10" i="21" s="1"/>
  <c r="E10" i="19"/>
  <c r="I10" i="19" s="1"/>
  <c r="E10" i="17"/>
  <c r="N10" i="17" s="1"/>
  <c r="P10" i="17" s="1"/>
  <c r="E10" i="18"/>
  <c r="I10" i="18" s="1"/>
  <c r="K10" i="18" s="1"/>
  <c r="L10" i="18" s="1"/>
  <c r="E10" i="20"/>
  <c r="I10" i="20" s="1"/>
  <c r="E10" i="16"/>
  <c r="N10" i="16" s="1"/>
  <c r="P10" i="16" s="1"/>
  <c r="E10" i="14"/>
  <c r="N10" i="14" s="1"/>
  <c r="P10" i="14" s="1"/>
  <c r="S10" i="14" s="1"/>
  <c r="AA10" i="14" s="1"/>
  <c r="E10" i="15"/>
  <c r="N10" i="15" s="1"/>
  <c r="P10" i="15" s="1"/>
  <c r="E12" i="22"/>
  <c r="N12" i="22" s="1"/>
  <c r="P12" i="22" s="1"/>
  <c r="E12" i="21"/>
  <c r="I12" i="21" s="1"/>
  <c r="K12" i="21" s="1"/>
  <c r="L12" i="21" s="1"/>
  <c r="E12" i="20"/>
  <c r="I12" i="20" s="1"/>
  <c r="E12" i="23"/>
  <c r="I12" i="23" s="1"/>
  <c r="E12" i="19"/>
  <c r="I12" i="19" s="1"/>
  <c r="E12" i="16"/>
  <c r="N12" i="16" s="1"/>
  <c r="P12" i="16" s="1"/>
  <c r="E12" i="17"/>
  <c r="N12" i="17" s="1"/>
  <c r="P12" i="17" s="1"/>
  <c r="E12" i="14"/>
  <c r="N12" i="14" s="1"/>
  <c r="P12" i="14" s="1"/>
  <c r="S12" i="14" s="1"/>
  <c r="AA12" i="14" s="1"/>
  <c r="E12" i="15"/>
  <c r="N12" i="15" s="1"/>
  <c r="P12" i="15" s="1"/>
  <c r="E12" i="18"/>
  <c r="I12" i="18" s="1"/>
  <c r="K12" i="18" s="1"/>
  <c r="L12" i="18" s="1"/>
  <c r="E18" i="22"/>
  <c r="N18" i="22" s="1"/>
  <c r="P18" i="22" s="1"/>
  <c r="E18" i="21"/>
  <c r="I18" i="21" s="1"/>
  <c r="K18" i="21" s="1"/>
  <c r="L18" i="21" s="1"/>
  <c r="E18" i="19"/>
  <c r="I18" i="19" s="1"/>
  <c r="E18" i="20"/>
  <c r="I18" i="20" s="1"/>
  <c r="E18" i="23"/>
  <c r="I18" i="23" s="1"/>
  <c r="E18" i="16"/>
  <c r="N18" i="16" s="1"/>
  <c r="P18" i="16" s="1"/>
  <c r="E18" i="17"/>
  <c r="N18" i="17" s="1"/>
  <c r="P18" i="17" s="1"/>
  <c r="E18" i="14"/>
  <c r="N18" i="14" s="1"/>
  <c r="P18" i="14" s="1"/>
  <c r="S18" i="14" s="1"/>
  <c r="AA18" i="14" s="1"/>
  <c r="AC18" i="14" s="1"/>
  <c r="E18" i="18"/>
  <c r="I18" i="18" s="1"/>
  <c r="K18" i="18" s="1"/>
  <c r="L18" i="18" s="1"/>
  <c r="E18" i="15"/>
  <c r="N18" i="15" s="1"/>
  <c r="P18" i="15" s="1"/>
  <c r="F24" i="23"/>
  <c r="J24" i="23" s="1"/>
  <c r="AG24" i="23" s="1"/>
  <c r="AH24" i="23" s="1"/>
  <c r="F24" i="21"/>
  <c r="J24" i="21" s="1"/>
  <c r="F24" i="22"/>
  <c r="O24" i="22" s="1"/>
  <c r="Q24" i="22" s="1"/>
  <c r="F24" i="18"/>
  <c r="J24" i="18" s="1"/>
  <c r="F24" i="19"/>
  <c r="J24" i="19" s="1"/>
  <c r="K24" i="19" s="1"/>
  <c r="L24" i="19" s="1"/>
  <c r="F24" i="20"/>
  <c r="J24" i="20" s="1"/>
  <c r="F24" i="14"/>
  <c r="O24" i="14" s="1"/>
  <c r="Q24" i="14" s="1"/>
  <c r="F24" i="15"/>
  <c r="O24" i="15" s="1"/>
  <c r="Q24" i="15" s="1"/>
  <c r="S24" i="15" s="1"/>
  <c r="AA24" i="15" s="1"/>
  <c r="F24" i="17"/>
  <c r="O24" i="17" s="1"/>
  <c r="Q24" i="17" s="1"/>
  <c r="F24" i="16"/>
  <c r="O24" i="16" s="1"/>
  <c r="Q24" i="16" s="1"/>
  <c r="E8" i="23"/>
  <c r="I8" i="23" s="1"/>
  <c r="E8" i="21"/>
  <c r="I8" i="21" s="1"/>
  <c r="K8" i="21" s="1"/>
  <c r="L8" i="21" s="1"/>
  <c r="E8" i="22"/>
  <c r="N8" i="22" s="1"/>
  <c r="P8" i="22" s="1"/>
  <c r="E8" i="19"/>
  <c r="I8" i="19" s="1"/>
  <c r="E8" i="15"/>
  <c r="N8" i="15" s="1"/>
  <c r="P8" i="15" s="1"/>
  <c r="E8" i="14"/>
  <c r="N8" i="14" s="1"/>
  <c r="P8" i="14" s="1"/>
  <c r="S8" i="14" s="1"/>
  <c r="AA8" i="14" s="1"/>
  <c r="AC8" i="14" s="1"/>
  <c r="E8" i="20"/>
  <c r="I8" i="20" s="1"/>
  <c r="E8" i="18"/>
  <c r="I8" i="18" s="1"/>
  <c r="K8" i="18" s="1"/>
  <c r="L8" i="18" s="1"/>
  <c r="E8" i="16"/>
  <c r="N8" i="16" s="1"/>
  <c r="P8" i="16" s="1"/>
  <c r="E8" i="17"/>
  <c r="N8" i="17" s="1"/>
  <c r="P8" i="17" s="1"/>
  <c r="F20" i="23"/>
  <c r="J20" i="23" s="1"/>
  <c r="AG20" i="23" s="1"/>
  <c r="AH20" i="23" s="1"/>
  <c r="F20" i="21"/>
  <c r="J20" i="21" s="1"/>
  <c r="F20" i="22"/>
  <c r="O20" i="22" s="1"/>
  <c r="Q20" i="22" s="1"/>
  <c r="F20" i="14"/>
  <c r="O20" i="14" s="1"/>
  <c r="Q20" i="14" s="1"/>
  <c r="F20" i="16"/>
  <c r="O20" i="16" s="1"/>
  <c r="Q20" i="16" s="1"/>
  <c r="F20" i="20"/>
  <c r="J20" i="20" s="1"/>
  <c r="F20" i="17"/>
  <c r="O20" i="17" s="1"/>
  <c r="Q20" i="17" s="1"/>
  <c r="F20" i="15"/>
  <c r="O20" i="15" s="1"/>
  <c r="Q20" i="15" s="1"/>
  <c r="S20" i="15" s="1"/>
  <c r="AA20" i="15" s="1"/>
  <c r="F20" i="19"/>
  <c r="J20" i="19" s="1"/>
  <c r="K20" i="19" s="1"/>
  <c r="L20" i="19" s="1"/>
  <c r="F20" i="18"/>
  <c r="J20" i="18" s="1"/>
  <c r="E20" i="23"/>
  <c r="I20" i="23" s="1"/>
  <c r="E20" i="21"/>
  <c r="I20" i="21" s="1"/>
  <c r="K20" i="21" s="1"/>
  <c r="L20" i="21" s="1"/>
  <c r="E20" i="20"/>
  <c r="I20" i="20" s="1"/>
  <c r="E20" i="22"/>
  <c r="N20" i="22" s="1"/>
  <c r="P20" i="22" s="1"/>
  <c r="E20" i="19"/>
  <c r="I20" i="19" s="1"/>
  <c r="E20" i="15"/>
  <c r="N20" i="15" s="1"/>
  <c r="P20" i="15" s="1"/>
  <c r="E20" i="14"/>
  <c r="N20" i="14" s="1"/>
  <c r="P20" i="14" s="1"/>
  <c r="S20" i="14" s="1"/>
  <c r="AA20" i="14" s="1"/>
  <c r="E20" i="16"/>
  <c r="N20" i="16" s="1"/>
  <c r="P20" i="16" s="1"/>
  <c r="E20" i="17"/>
  <c r="N20" i="17" s="1"/>
  <c r="P20" i="17" s="1"/>
  <c r="S20" i="17" s="1"/>
  <c r="E20" i="18"/>
  <c r="I20" i="18" s="1"/>
  <c r="K20" i="18" s="1"/>
  <c r="L20" i="18" s="1"/>
  <c r="F25" i="22"/>
  <c r="O25" i="22" s="1"/>
  <c r="Q25" i="22" s="1"/>
  <c r="F25" i="21"/>
  <c r="J25" i="21" s="1"/>
  <c r="F25" i="23"/>
  <c r="J25" i="23" s="1"/>
  <c r="AG25" i="23" s="1"/>
  <c r="AH25" i="23" s="1"/>
  <c r="F25" i="20"/>
  <c r="J25" i="20" s="1"/>
  <c r="K25" i="20" s="1"/>
  <c r="L25" i="20" s="1"/>
  <c r="F25" i="19"/>
  <c r="J25" i="19" s="1"/>
  <c r="K25" i="19" s="1"/>
  <c r="L25" i="19" s="1"/>
  <c r="F25" i="14"/>
  <c r="O25" i="14" s="1"/>
  <c r="Q25" i="14" s="1"/>
  <c r="F25" i="15"/>
  <c r="O25" i="15" s="1"/>
  <c r="Q25" i="15" s="1"/>
  <c r="S25" i="15" s="1"/>
  <c r="AA25" i="15" s="1"/>
  <c r="F25" i="17"/>
  <c r="O25" i="17" s="1"/>
  <c r="Q25" i="17" s="1"/>
  <c r="S25" i="17" s="1"/>
  <c r="AA25" i="17" s="1"/>
  <c r="F25" i="18"/>
  <c r="J25" i="18" s="1"/>
  <c r="F25" i="16"/>
  <c r="O25" i="16" s="1"/>
  <c r="Q25" i="16" s="1"/>
  <c r="T25" i="16" s="1"/>
  <c r="S25" i="16" s="1"/>
  <c r="AA25" i="16" s="1"/>
  <c r="F15" i="23"/>
  <c r="J15" i="23" s="1"/>
  <c r="AG15" i="23" s="1"/>
  <c r="AH15" i="23" s="1"/>
  <c r="F15" i="20"/>
  <c r="J15" i="20" s="1"/>
  <c r="F15" i="22"/>
  <c r="O15" i="22" s="1"/>
  <c r="Q15" i="22" s="1"/>
  <c r="F15" i="21"/>
  <c r="J15" i="21" s="1"/>
  <c r="F15" i="18"/>
  <c r="J15" i="18" s="1"/>
  <c r="F15" i="15"/>
  <c r="O15" i="15" s="1"/>
  <c r="Q15" i="15" s="1"/>
  <c r="S15" i="15" s="1"/>
  <c r="AA15" i="15" s="1"/>
  <c r="AC15" i="15" s="1"/>
  <c r="F15" i="19"/>
  <c r="J15" i="19" s="1"/>
  <c r="K15" i="19" s="1"/>
  <c r="L15" i="19" s="1"/>
  <c r="F15" i="14"/>
  <c r="O15" i="14" s="1"/>
  <c r="Q15" i="14" s="1"/>
  <c r="F15" i="16"/>
  <c r="O15" i="16" s="1"/>
  <c r="Q15" i="16" s="1"/>
  <c r="F15" i="17"/>
  <c r="O15" i="17" s="1"/>
  <c r="Q15" i="17" s="1"/>
  <c r="F4" i="23"/>
  <c r="F4" i="22"/>
  <c r="O4" i="22" s="1"/>
  <c r="Q4" i="22" s="1"/>
  <c r="F4" i="21"/>
  <c r="F4" i="20"/>
  <c r="F4" i="17"/>
  <c r="O4" i="17" s="1"/>
  <c r="Q4" i="17" s="1"/>
  <c r="F4" i="18"/>
  <c r="F4" i="19"/>
  <c r="F4" i="14"/>
  <c r="O4" i="14" s="1"/>
  <c r="Q4" i="14" s="1"/>
  <c r="F4" i="16"/>
  <c r="O4" i="16" s="1"/>
  <c r="Q4" i="16" s="1"/>
  <c r="F4" i="15"/>
  <c r="O4" i="15" s="1"/>
  <c r="Q4" i="15" s="1"/>
  <c r="S4" i="15" s="1"/>
  <c r="AA4" i="15" s="1"/>
  <c r="F5" i="23"/>
  <c r="J5" i="23" s="1"/>
  <c r="AG5" i="23" s="1"/>
  <c r="AH5" i="23" s="1"/>
  <c r="F5" i="21"/>
  <c r="J5" i="21" s="1"/>
  <c r="F5" i="22"/>
  <c r="O5" i="22" s="1"/>
  <c r="Q5" i="22" s="1"/>
  <c r="F5" i="16"/>
  <c r="O5" i="16" s="1"/>
  <c r="Q5" i="16" s="1"/>
  <c r="F5" i="18"/>
  <c r="J5" i="18" s="1"/>
  <c r="F5" i="17"/>
  <c r="O5" i="17" s="1"/>
  <c r="Q5" i="17" s="1"/>
  <c r="F5" i="14"/>
  <c r="O5" i="14" s="1"/>
  <c r="Q5" i="14" s="1"/>
  <c r="F5" i="15"/>
  <c r="O5" i="15" s="1"/>
  <c r="Q5" i="15" s="1"/>
  <c r="S5" i="15" s="1"/>
  <c r="AA5" i="15" s="1"/>
  <c r="F5" i="20"/>
  <c r="J5" i="20" s="1"/>
  <c r="F5" i="19"/>
  <c r="J5" i="19" s="1"/>
  <c r="K5" i="19" s="1"/>
  <c r="L5" i="19" s="1"/>
  <c r="E19" i="23"/>
  <c r="I19" i="23" s="1"/>
  <c r="E19" i="21"/>
  <c r="I19" i="21" s="1"/>
  <c r="K19" i="21" s="1"/>
  <c r="L19" i="21" s="1"/>
  <c r="E19" i="20"/>
  <c r="I19" i="20" s="1"/>
  <c r="E19" i="14"/>
  <c r="N19" i="14" s="1"/>
  <c r="P19" i="14" s="1"/>
  <c r="S19" i="14" s="1"/>
  <c r="AA19" i="14" s="1"/>
  <c r="E19" i="18"/>
  <c r="I19" i="18" s="1"/>
  <c r="K19" i="18" s="1"/>
  <c r="L19" i="18" s="1"/>
  <c r="M19" i="18" s="1"/>
  <c r="E19" i="16"/>
  <c r="N19" i="16" s="1"/>
  <c r="P19" i="16" s="1"/>
  <c r="E19" i="17"/>
  <c r="N19" i="17" s="1"/>
  <c r="P19" i="17" s="1"/>
  <c r="E19" i="22"/>
  <c r="N19" i="22" s="1"/>
  <c r="P19" i="22" s="1"/>
  <c r="E19" i="15"/>
  <c r="N19" i="15" s="1"/>
  <c r="P19" i="15" s="1"/>
  <c r="E19" i="19"/>
  <c r="I19" i="19" s="1"/>
  <c r="E17" i="22"/>
  <c r="N17" i="22" s="1"/>
  <c r="P17" i="22" s="1"/>
  <c r="E17" i="23"/>
  <c r="I17" i="23" s="1"/>
  <c r="E17" i="20"/>
  <c r="I17" i="20" s="1"/>
  <c r="K17" i="20" s="1"/>
  <c r="L17" i="20" s="1"/>
  <c r="E17" i="21"/>
  <c r="I17" i="21" s="1"/>
  <c r="K17" i="21" s="1"/>
  <c r="L17" i="21" s="1"/>
  <c r="M17" i="21" s="1"/>
  <c r="E17" i="18"/>
  <c r="I17" i="18" s="1"/>
  <c r="K17" i="18" s="1"/>
  <c r="L17" i="18" s="1"/>
  <c r="M17" i="18" s="1"/>
  <c r="E17" i="19"/>
  <c r="I17" i="19" s="1"/>
  <c r="E17" i="17"/>
  <c r="N17" i="17" s="1"/>
  <c r="P17" i="17" s="1"/>
  <c r="S17" i="17" s="1"/>
  <c r="R17" i="17" s="1"/>
  <c r="Z17" i="17" s="1"/>
  <c r="E17" i="16"/>
  <c r="N17" i="16" s="1"/>
  <c r="P17" i="16" s="1"/>
  <c r="T17" i="16" s="1"/>
  <c r="E17" i="15"/>
  <c r="N17" i="15" s="1"/>
  <c r="P17" i="15" s="1"/>
  <c r="E17" i="14"/>
  <c r="N17" i="14" s="1"/>
  <c r="P17" i="14" s="1"/>
  <c r="S17" i="14" s="1"/>
  <c r="AA17" i="14" s="1"/>
  <c r="AC17" i="14" s="1"/>
  <c r="E15" i="23"/>
  <c r="I15" i="23" s="1"/>
  <c r="E15" i="22"/>
  <c r="N15" i="22" s="1"/>
  <c r="P15" i="22" s="1"/>
  <c r="E15" i="21"/>
  <c r="I15" i="21" s="1"/>
  <c r="K15" i="21" s="1"/>
  <c r="L15" i="21" s="1"/>
  <c r="E15" i="19"/>
  <c r="I15" i="19" s="1"/>
  <c r="E15" i="20"/>
  <c r="I15" i="20" s="1"/>
  <c r="E15" i="18"/>
  <c r="I15" i="18" s="1"/>
  <c r="K15" i="18" s="1"/>
  <c r="L15" i="18" s="1"/>
  <c r="E15" i="15"/>
  <c r="N15" i="15" s="1"/>
  <c r="P15" i="15" s="1"/>
  <c r="E15" i="17"/>
  <c r="N15" i="17" s="1"/>
  <c r="P15" i="17" s="1"/>
  <c r="S15" i="17" s="1"/>
  <c r="R15" i="17" s="1"/>
  <c r="Z15" i="17" s="1"/>
  <c r="E15" i="14"/>
  <c r="N15" i="14" s="1"/>
  <c r="P15" i="14" s="1"/>
  <c r="S15" i="14" s="1"/>
  <c r="AA15" i="14" s="1"/>
  <c r="AC15" i="14" s="1"/>
  <c r="E15" i="16"/>
  <c r="N15" i="16" s="1"/>
  <c r="P15" i="16" s="1"/>
  <c r="AA23" i="14"/>
  <c r="F7" i="22"/>
  <c r="O7" i="22" s="1"/>
  <c r="Q7" i="22" s="1"/>
  <c r="F7" i="21"/>
  <c r="J7" i="21" s="1"/>
  <c r="F7" i="20"/>
  <c r="J7" i="20" s="1"/>
  <c r="F7" i="19"/>
  <c r="J7" i="19" s="1"/>
  <c r="K7" i="19" s="1"/>
  <c r="L7" i="19" s="1"/>
  <c r="F7" i="23"/>
  <c r="J7" i="23" s="1"/>
  <c r="AG7" i="23" s="1"/>
  <c r="AH7" i="23" s="1"/>
  <c r="AI7" i="23" s="1"/>
  <c r="F7" i="14"/>
  <c r="O7" i="14" s="1"/>
  <c r="Q7" i="14" s="1"/>
  <c r="F7" i="16"/>
  <c r="O7" i="16" s="1"/>
  <c r="Q7" i="16" s="1"/>
  <c r="F7" i="17"/>
  <c r="O7" i="17" s="1"/>
  <c r="Q7" i="17" s="1"/>
  <c r="F7" i="15"/>
  <c r="O7" i="15" s="1"/>
  <c r="Q7" i="15" s="1"/>
  <c r="S7" i="15" s="1"/>
  <c r="AA7" i="15" s="1"/>
  <c r="F7" i="18"/>
  <c r="J7" i="18" s="1"/>
  <c r="E6" i="20"/>
  <c r="I6" i="20" s="1"/>
  <c r="K6" i="20" s="1"/>
  <c r="L6" i="20" s="1"/>
  <c r="E6" i="22"/>
  <c r="N6" i="22" s="1"/>
  <c r="P6" i="22" s="1"/>
  <c r="E6" i="23"/>
  <c r="I6" i="23" s="1"/>
  <c r="E6" i="18"/>
  <c r="I6" i="18" s="1"/>
  <c r="K6" i="18" s="1"/>
  <c r="L6" i="18" s="1"/>
  <c r="E6" i="14"/>
  <c r="N6" i="14" s="1"/>
  <c r="P6" i="14" s="1"/>
  <c r="S6" i="14" s="1"/>
  <c r="AA6" i="14" s="1"/>
  <c r="E6" i="19"/>
  <c r="I6" i="19" s="1"/>
  <c r="E6" i="16"/>
  <c r="N6" i="16" s="1"/>
  <c r="P6" i="16" s="1"/>
  <c r="E6" i="17"/>
  <c r="N6" i="17" s="1"/>
  <c r="P6" i="17" s="1"/>
  <c r="E6" i="15"/>
  <c r="N6" i="15" s="1"/>
  <c r="P6" i="15" s="1"/>
  <c r="E6" i="21"/>
  <c r="I6" i="21" s="1"/>
  <c r="K6" i="21" s="1"/>
  <c r="L6" i="21" s="1"/>
  <c r="F22" i="23"/>
  <c r="J22" i="23" s="1"/>
  <c r="AG22" i="23" s="1"/>
  <c r="AH22" i="23" s="1"/>
  <c r="F22" i="19"/>
  <c r="J22" i="19" s="1"/>
  <c r="K22" i="19" s="1"/>
  <c r="L22" i="19" s="1"/>
  <c r="F22" i="21"/>
  <c r="J22" i="21" s="1"/>
  <c r="F22" i="20"/>
  <c r="J22" i="20" s="1"/>
  <c r="F22" i="15"/>
  <c r="O22" i="15" s="1"/>
  <c r="Q22" i="15" s="1"/>
  <c r="S22" i="15" s="1"/>
  <c r="AA22" i="15" s="1"/>
  <c r="F22" i="14"/>
  <c r="O22" i="14" s="1"/>
  <c r="Q22" i="14" s="1"/>
  <c r="F22" i="18"/>
  <c r="J22" i="18" s="1"/>
  <c r="F22" i="22"/>
  <c r="O22" i="22" s="1"/>
  <c r="Q22" i="22" s="1"/>
  <c r="F22" i="16"/>
  <c r="O22" i="16" s="1"/>
  <c r="Q22" i="16" s="1"/>
  <c r="F22" i="17"/>
  <c r="O22" i="17" s="1"/>
  <c r="Q22" i="17" s="1"/>
  <c r="F9" i="23"/>
  <c r="J9" i="23" s="1"/>
  <c r="AG9" i="23" s="1"/>
  <c r="AH9" i="23" s="1"/>
  <c r="F9" i="22"/>
  <c r="O9" i="22" s="1"/>
  <c r="Q9" i="22" s="1"/>
  <c r="F9" i="21"/>
  <c r="J9" i="21" s="1"/>
  <c r="F9" i="20"/>
  <c r="J9" i="20" s="1"/>
  <c r="F9" i="19"/>
  <c r="J9" i="19" s="1"/>
  <c r="K9" i="19" s="1"/>
  <c r="L9" i="19" s="1"/>
  <c r="F9" i="15"/>
  <c r="O9" i="15" s="1"/>
  <c r="Q9" i="15" s="1"/>
  <c r="S9" i="15" s="1"/>
  <c r="AA9" i="15" s="1"/>
  <c r="AC9" i="15" s="1"/>
  <c r="F9" i="18"/>
  <c r="J9" i="18" s="1"/>
  <c r="F9" i="14"/>
  <c r="O9" i="14" s="1"/>
  <c r="Q9" i="14" s="1"/>
  <c r="F9" i="16"/>
  <c r="O9" i="16" s="1"/>
  <c r="Q9" i="16" s="1"/>
  <c r="F9" i="17"/>
  <c r="O9" i="17" s="1"/>
  <c r="Q9" i="17" s="1"/>
  <c r="E5" i="22"/>
  <c r="N5" i="22" s="1"/>
  <c r="P5" i="22" s="1"/>
  <c r="E5" i="23"/>
  <c r="I5" i="23" s="1"/>
  <c r="E5" i="21"/>
  <c r="I5" i="21" s="1"/>
  <c r="K5" i="21" s="1"/>
  <c r="L5" i="21" s="1"/>
  <c r="E5" i="20"/>
  <c r="I5" i="20" s="1"/>
  <c r="E5" i="19"/>
  <c r="I5" i="19" s="1"/>
  <c r="E5" i="14"/>
  <c r="N5" i="14" s="1"/>
  <c r="P5" i="14" s="1"/>
  <c r="S5" i="14" s="1"/>
  <c r="AA5" i="14" s="1"/>
  <c r="E5" i="16"/>
  <c r="N5" i="16" s="1"/>
  <c r="P5" i="16" s="1"/>
  <c r="E5" i="18"/>
  <c r="I5" i="18" s="1"/>
  <c r="K5" i="18" s="1"/>
  <c r="L5" i="18" s="1"/>
  <c r="E5" i="15"/>
  <c r="N5" i="15" s="1"/>
  <c r="P5" i="15" s="1"/>
  <c r="E5" i="17"/>
  <c r="N5" i="17" s="1"/>
  <c r="P5" i="17" s="1"/>
  <c r="F16" i="22"/>
  <c r="O16" i="22" s="1"/>
  <c r="Q16" i="22" s="1"/>
  <c r="F16" i="23"/>
  <c r="J16" i="23" s="1"/>
  <c r="AG16" i="23" s="1"/>
  <c r="AH16" i="23" s="1"/>
  <c r="F16" i="21"/>
  <c r="J16" i="21" s="1"/>
  <c r="F16" i="20"/>
  <c r="J16" i="20" s="1"/>
  <c r="F16" i="19"/>
  <c r="J16" i="19" s="1"/>
  <c r="K16" i="19" s="1"/>
  <c r="L16" i="19" s="1"/>
  <c r="M16" i="19" s="1"/>
  <c r="F16" i="15"/>
  <c r="O16" i="15" s="1"/>
  <c r="Q16" i="15" s="1"/>
  <c r="S16" i="15" s="1"/>
  <c r="AA16" i="15" s="1"/>
  <c r="F16" i="14"/>
  <c r="O16" i="14" s="1"/>
  <c r="Q16" i="14" s="1"/>
  <c r="F16" i="17"/>
  <c r="O16" i="17" s="1"/>
  <c r="Q16" i="17" s="1"/>
  <c r="F16" i="18"/>
  <c r="J16" i="18" s="1"/>
  <c r="F16" i="16"/>
  <c r="O16" i="16" s="1"/>
  <c r="Q16" i="16" s="1"/>
  <c r="F21" i="23"/>
  <c r="J21" i="23" s="1"/>
  <c r="AG21" i="23" s="1"/>
  <c r="AH21" i="23" s="1"/>
  <c r="F21" i="20"/>
  <c r="J21" i="20" s="1"/>
  <c r="F21" i="19"/>
  <c r="J21" i="19" s="1"/>
  <c r="K21" i="19" s="1"/>
  <c r="L21" i="19" s="1"/>
  <c r="F21" i="15"/>
  <c r="O21" i="15" s="1"/>
  <c r="Q21" i="15" s="1"/>
  <c r="S21" i="15" s="1"/>
  <c r="AA21" i="15" s="1"/>
  <c r="F21" i="18"/>
  <c r="J21" i="18" s="1"/>
  <c r="F21" i="14"/>
  <c r="O21" i="14" s="1"/>
  <c r="Q21" i="14" s="1"/>
  <c r="F21" i="22"/>
  <c r="O21" i="22" s="1"/>
  <c r="Q21" i="22" s="1"/>
  <c r="F21" i="16"/>
  <c r="O21" i="16" s="1"/>
  <c r="Q21" i="16" s="1"/>
  <c r="F21" i="21"/>
  <c r="J21" i="21" s="1"/>
  <c r="F21" i="17"/>
  <c r="O21" i="17" s="1"/>
  <c r="Q21" i="17" s="1"/>
  <c r="E4" i="23"/>
  <c r="E4" i="21"/>
  <c r="E4" i="22"/>
  <c r="N4" i="22" s="1"/>
  <c r="P4" i="22" s="1"/>
  <c r="E4" i="20"/>
  <c r="E4" i="19"/>
  <c r="E4" i="17"/>
  <c r="N4" i="17" s="1"/>
  <c r="P4" i="17" s="1"/>
  <c r="E4" i="15"/>
  <c r="N4" i="15" s="1"/>
  <c r="P4" i="15" s="1"/>
  <c r="E4" i="16"/>
  <c r="N4" i="16" s="1"/>
  <c r="P4" i="16" s="1"/>
  <c r="E4" i="18"/>
  <c r="E4" i="14"/>
  <c r="N4" i="14" s="1"/>
  <c r="P4" i="14" s="1"/>
  <c r="S4" i="14" s="1"/>
  <c r="AA4" i="14" s="1"/>
  <c r="E7" i="23"/>
  <c r="I7" i="23" s="1"/>
  <c r="E7" i="22"/>
  <c r="N7" i="22" s="1"/>
  <c r="P7" i="22" s="1"/>
  <c r="E7" i="20"/>
  <c r="I7" i="20" s="1"/>
  <c r="E7" i="21"/>
  <c r="I7" i="21" s="1"/>
  <c r="K7" i="21" s="1"/>
  <c r="L7" i="21" s="1"/>
  <c r="E7" i="19"/>
  <c r="I7" i="19" s="1"/>
  <c r="E7" i="15"/>
  <c r="N7" i="15" s="1"/>
  <c r="P7" i="15" s="1"/>
  <c r="E7" i="14"/>
  <c r="N7" i="14" s="1"/>
  <c r="P7" i="14" s="1"/>
  <c r="S7" i="14" s="1"/>
  <c r="AA7" i="14" s="1"/>
  <c r="E7" i="16"/>
  <c r="N7" i="16" s="1"/>
  <c r="P7" i="16" s="1"/>
  <c r="E7" i="18"/>
  <c r="I7" i="18" s="1"/>
  <c r="K7" i="18" s="1"/>
  <c r="L7" i="18" s="1"/>
  <c r="E7" i="17"/>
  <c r="N7" i="17" s="1"/>
  <c r="P7" i="17" s="1"/>
  <c r="E22" i="23"/>
  <c r="I22" i="23" s="1"/>
  <c r="E22" i="20"/>
  <c r="I22" i="20" s="1"/>
  <c r="E22" i="22"/>
  <c r="N22" i="22" s="1"/>
  <c r="P22" i="22" s="1"/>
  <c r="E22" i="19"/>
  <c r="I22" i="19" s="1"/>
  <c r="E22" i="21"/>
  <c r="I22" i="21" s="1"/>
  <c r="K22" i="21" s="1"/>
  <c r="L22" i="21" s="1"/>
  <c r="E22" i="15"/>
  <c r="N22" i="15" s="1"/>
  <c r="P22" i="15" s="1"/>
  <c r="E22" i="14"/>
  <c r="N22" i="14" s="1"/>
  <c r="P22" i="14" s="1"/>
  <c r="S22" i="14" s="1"/>
  <c r="AA22" i="14" s="1"/>
  <c r="E22" i="18"/>
  <c r="I22" i="18" s="1"/>
  <c r="K22" i="18" s="1"/>
  <c r="L22" i="18" s="1"/>
  <c r="E22" i="16"/>
  <c r="N22" i="16" s="1"/>
  <c r="P22" i="16" s="1"/>
  <c r="E22" i="17"/>
  <c r="N22" i="17" s="1"/>
  <c r="P22" i="17" s="1"/>
  <c r="F10" i="22"/>
  <c r="O10" i="22" s="1"/>
  <c r="Q10" i="22" s="1"/>
  <c r="F10" i="23"/>
  <c r="J10" i="23" s="1"/>
  <c r="AG10" i="23" s="1"/>
  <c r="AH10" i="23" s="1"/>
  <c r="F10" i="21"/>
  <c r="J10" i="21" s="1"/>
  <c r="F10" i="20"/>
  <c r="J10" i="20" s="1"/>
  <c r="F10" i="18"/>
  <c r="J10" i="18" s="1"/>
  <c r="F10" i="15"/>
  <c r="O10" i="15" s="1"/>
  <c r="Q10" i="15" s="1"/>
  <c r="S10" i="15" s="1"/>
  <c r="AA10" i="15" s="1"/>
  <c r="F10" i="14"/>
  <c r="O10" i="14" s="1"/>
  <c r="Q10" i="14" s="1"/>
  <c r="F10" i="17"/>
  <c r="O10" i="17" s="1"/>
  <c r="Q10" i="17" s="1"/>
  <c r="F10" i="16"/>
  <c r="O10" i="16" s="1"/>
  <c r="Q10" i="16" s="1"/>
  <c r="T10" i="16" s="1"/>
  <c r="F10" i="19"/>
  <c r="J10" i="19" s="1"/>
  <c r="K10" i="19" s="1"/>
  <c r="L10" i="19" s="1"/>
  <c r="E9" i="21"/>
  <c r="I9" i="21" s="1"/>
  <c r="K9" i="21" s="1"/>
  <c r="L9" i="21" s="1"/>
  <c r="M9" i="21" s="1"/>
  <c r="E9" i="23"/>
  <c r="I9" i="23" s="1"/>
  <c r="E9" i="22"/>
  <c r="N9" i="22" s="1"/>
  <c r="P9" i="22" s="1"/>
  <c r="E9" i="20"/>
  <c r="I9" i="20" s="1"/>
  <c r="E9" i="19"/>
  <c r="I9" i="19" s="1"/>
  <c r="E9" i="15"/>
  <c r="N9" i="15" s="1"/>
  <c r="P9" i="15" s="1"/>
  <c r="E9" i="18"/>
  <c r="I9" i="18" s="1"/>
  <c r="K9" i="18" s="1"/>
  <c r="L9" i="18" s="1"/>
  <c r="E9" i="17"/>
  <c r="N9" i="17" s="1"/>
  <c r="P9" i="17" s="1"/>
  <c r="E9" i="14"/>
  <c r="N9" i="14" s="1"/>
  <c r="P9" i="14" s="1"/>
  <c r="S9" i="14" s="1"/>
  <c r="AA9" i="14" s="1"/>
  <c r="E9" i="16"/>
  <c r="N9" i="16" s="1"/>
  <c r="P9" i="16" s="1"/>
  <c r="E24" i="22"/>
  <c r="N24" i="22" s="1"/>
  <c r="P24" i="22" s="1"/>
  <c r="E24" i="20"/>
  <c r="I24" i="20" s="1"/>
  <c r="E24" i="23"/>
  <c r="I24" i="23" s="1"/>
  <c r="E24" i="18"/>
  <c r="I24" i="18" s="1"/>
  <c r="K24" i="18" s="1"/>
  <c r="L24" i="18" s="1"/>
  <c r="M24" i="18" s="1"/>
  <c r="E24" i="21"/>
  <c r="I24" i="21" s="1"/>
  <c r="K24" i="21" s="1"/>
  <c r="L24" i="21" s="1"/>
  <c r="M25" i="21" s="1"/>
  <c r="E24" i="14"/>
  <c r="N24" i="14" s="1"/>
  <c r="P24" i="14" s="1"/>
  <c r="S24" i="14" s="1"/>
  <c r="AA24" i="14" s="1"/>
  <c r="E24" i="15"/>
  <c r="N24" i="15" s="1"/>
  <c r="P24" i="15" s="1"/>
  <c r="E24" i="17"/>
  <c r="N24" i="17" s="1"/>
  <c r="P24" i="17" s="1"/>
  <c r="E24" i="16"/>
  <c r="N24" i="16" s="1"/>
  <c r="P24" i="16" s="1"/>
  <c r="E24" i="19"/>
  <c r="I24" i="19" s="1"/>
  <c r="F19" i="22"/>
  <c r="O19" i="22" s="1"/>
  <c r="Q19" i="22" s="1"/>
  <c r="F19" i="20"/>
  <c r="J19" i="20" s="1"/>
  <c r="F19" i="23"/>
  <c r="J19" i="23" s="1"/>
  <c r="AG19" i="23" s="1"/>
  <c r="AH19" i="23" s="1"/>
  <c r="AI19" i="23" s="1"/>
  <c r="F19" i="21"/>
  <c r="J19" i="21" s="1"/>
  <c r="F19" i="19"/>
  <c r="J19" i="19" s="1"/>
  <c r="K19" i="19" s="1"/>
  <c r="L19" i="19" s="1"/>
  <c r="M19" i="19" s="1"/>
  <c r="F19" i="18"/>
  <c r="J19" i="18" s="1"/>
  <c r="F19" i="14"/>
  <c r="O19" i="14" s="1"/>
  <c r="Q19" i="14" s="1"/>
  <c r="F19" i="16"/>
  <c r="O19" i="16" s="1"/>
  <c r="Q19" i="16" s="1"/>
  <c r="T19" i="16" s="1"/>
  <c r="F19" i="15"/>
  <c r="O19" i="15" s="1"/>
  <c r="Q19" i="15" s="1"/>
  <c r="S19" i="15" s="1"/>
  <c r="AA19" i="15" s="1"/>
  <c r="F19" i="17"/>
  <c r="O19" i="17" s="1"/>
  <c r="Q19" i="17" s="1"/>
  <c r="F8" i="23"/>
  <c r="J8" i="23" s="1"/>
  <c r="AG8" i="23" s="1"/>
  <c r="AH8" i="23" s="1"/>
  <c r="F8" i="22"/>
  <c r="O8" i="22" s="1"/>
  <c r="Q8" i="22" s="1"/>
  <c r="F8" i="21"/>
  <c r="J8" i="21" s="1"/>
  <c r="F8" i="19"/>
  <c r="J8" i="19" s="1"/>
  <c r="K8" i="19" s="1"/>
  <c r="L8" i="19" s="1"/>
  <c r="F8" i="20"/>
  <c r="J8" i="20" s="1"/>
  <c r="F8" i="15"/>
  <c r="O8" i="15" s="1"/>
  <c r="Q8" i="15" s="1"/>
  <c r="S8" i="15" s="1"/>
  <c r="AA8" i="15" s="1"/>
  <c r="AC8" i="15" s="1"/>
  <c r="F8" i="14"/>
  <c r="O8" i="14" s="1"/>
  <c r="Q8" i="14" s="1"/>
  <c r="F8" i="16"/>
  <c r="O8" i="16" s="1"/>
  <c r="Q8" i="16" s="1"/>
  <c r="F8" i="18"/>
  <c r="J8" i="18" s="1"/>
  <c r="F8" i="17"/>
  <c r="O8" i="17" s="1"/>
  <c r="Q8" i="17" s="1"/>
  <c r="F14" i="23"/>
  <c r="J14" i="23" s="1"/>
  <c r="AG14" i="23" s="1"/>
  <c r="AH14" i="23" s="1"/>
  <c r="F14" i="20"/>
  <c r="J14" i="20" s="1"/>
  <c r="F14" i="21"/>
  <c r="J14" i="21" s="1"/>
  <c r="F14" i="22"/>
  <c r="O14" i="22" s="1"/>
  <c r="Q14" i="22" s="1"/>
  <c r="F14" i="15"/>
  <c r="O14" i="15" s="1"/>
  <c r="Q14" i="15" s="1"/>
  <c r="S14" i="15" s="1"/>
  <c r="AA14" i="15" s="1"/>
  <c r="AC14" i="15" s="1"/>
  <c r="F14" i="14"/>
  <c r="O14" i="14" s="1"/>
  <c r="Q14" i="14" s="1"/>
  <c r="F14" i="18"/>
  <c r="J14" i="18" s="1"/>
  <c r="F14" i="16"/>
  <c r="O14" i="16" s="1"/>
  <c r="Q14" i="16" s="1"/>
  <c r="F14" i="19"/>
  <c r="J14" i="19" s="1"/>
  <c r="K14" i="19" s="1"/>
  <c r="L14" i="19" s="1"/>
  <c r="F14" i="17"/>
  <c r="O14" i="17" s="1"/>
  <c r="Q14" i="17" s="1"/>
  <c r="E14" i="23"/>
  <c r="I14" i="23" s="1"/>
  <c r="E14" i="22"/>
  <c r="N14" i="22" s="1"/>
  <c r="P14" i="22" s="1"/>
  <c r="E14" i="21"/>
  <c r="I14" i="21" s="1"/>
  <c r="K14" i="21" s="1"/>
  <c r="L14" i="21" s="1"/>
  <c r="E14" i="20"/>
  <c r="I14" i="20" s="1"/>
  <c r="K14" i="20" s="1"/>
  <c r="L14" i="20" s="1"/>
  <c r="E14" i="19"/>
  <c r="I14" i="19" s="1"/>
  <c r="E14" i="15"/>
  <c r="N14" i="15" s="1"/>
  <c r="P14" i="15" s="1"/>
  <c r="E14" i="14"/>
  <c r="N14" i="14" s="1"/>
  <c r="P14" i="14" s="1"/>
  <c r="S14" i="14" s="1"/>
  <c r="AA14" i="14" s="1"/>
  <c r="AC14" i="14" s="1"/>
  <c r="E14" i="18"/>
  <c r="I14" i="18" s="1"/>
  <c r="K14" i="18" s="1"/>
  <c r="L14" i="18" s="1"/>
  <c r="M14" i="18" s="1"/>
  <c r="E14" i="17"/>
  <c r="N14" i="17" s="1"/>
  <c r="P14" i="17" s="1"/>
  <c r="E14" i="16"/>
  <c r="N14" i="16" s="1"/>
  <c r="P14" i="16" s="1"/>
  <c r="E21" i="20"/>
  <c r="I21" i="20" s="1"/>
  <c r="E21" i="23"/>
  <c r="I21" i="23" s="1"/>
  <c r="E21" i="21"/>
  <c r="I21" i="21" s="1"/>
  <c r="K21" i="21" s="1"/>
  <c r="L21" i="21" s="1"/>
  <c r="M21" i="21" s="1"/>
  <c r="E21" i="19"/>
  <c r="I21" i="19" s="1"/>
  <c r="E21" i="18"/>
  <c r="I21" i="18" s="1"/>
  <c r="K21" i="18" s="1"/>
  <c r="L21" i="18" s="1"/>
  <c r="E21" i="22"/>
  <c r="N21" i="22" s="1"/>
  <c r="P21" i="22" s="1"/>
  <c r="E21" i="15"/>
  <c r="N21" i="15" s="1"/>
  <c r="P21" i="15" s="1"/>
  <c r="E21" i="14"/>
  <c r="N21" i="14" s="1"/>
  <c r="P21" i="14" s="1"/>
  <c r="S21" i="14" s="1"/>
  <c r="AA21" i="14" s="1"/>
  <c r="E21" i="16"/>
  <c r="N21" i="16" s="1"/>
  <c r="P21" i="16" s="1"/>
  <c r="E21" i="17"/>
  <c r="N21" i="17" s="1"/>
  <c r="P21" i="17" s="1"/>
  <c r="E13" i="23"/>
  <c r="I13" i="23" s="1"/>
  <c r="E13" i="21"/>
  <c r="I13" i="21" s="1"/>
  <c r="K13" i="21" s="1"/>
  <c r="L13" i="21" s="1"/>
  <c r="E13" i="22"/>
  <c r="N13" i="22" s="1"/>
  <c r="P13" i="22" s="1"/>
  <c r="E13" i="20"/>
  <c r="I13" i="20" s="1"/>
  <c r="E13" i="14"/>
  <c r="N13" i="14" s="1"/>
  <c r="P13" i="14" s="1"/>
  <c r="S13" i="14" s="1"/>
  <c r="AA13" i="14" s="1"/>
  <c r="AC13" i="14" s="1"/>
  <c r="E13" i="16"/>
  <c r="N13" i="16" s="1"/>
  <c r="P13" i="16" s="1"/>
  <c r="E13" i="17"/>
  <c r="N13" i="17" s="1"/>
  <c r="P13" i="17" s="1"/>
  <c r="E13" i="15"/>
  <c r="N13" i="15" s="1"/>
  <c r="P13" i="15" s="1"/>
  <c r="E13" i="19"/>
  <c r="I13" i="19" s="1"/>
  <c r="E13" i="18"/>
  <c r="I13" i="18" s="1"/>
  <c r="K13" i="18" s="1"/>
  <c r="L13" i="18" s="1"/>
  <c r="F13" i="22"/>
  <c r="O13" i="22" s="1"/>
  <c r="Q13" i="22" s="1"/>
  <c r="F13" i="21"/>
  <c r="J13" i="21" s="1"/>
  <c r="F13" i="23"/>
  <c r="J13" i="23" s="1"/>
  <c r="AG13" i="23" s="1"/>
  <c r="AH13" i="23" s="1"/>
  <c r="AI13" i="23" s="1"/>
  <c r="F13" i="20"/>
  <c r="J13" i="20" s="1"/>
  <c r="F13" i="19"/>
  <c r="J13" i="19" s="1"/>
  <c r="K13" i="19" s="1"/>
  <c r="L13" i="19" s="1"/>
  <c r="F13" i="14"/>
  <c r="O13" i="14" s="1"/>
  <c r="Q13" i="14" s="1"/>
  <c r="F13" i="16"/>
  <c r="O13" i="16" s="1"/>
  <c r="Q13" i="16" s="1"/>
  <c r="F13" i="18"/>
  <c r="J13" i="18" s="1"/>
  <c r="F13" i="15"/>
  <c r="O13" i="15" s="1"/>
  <c r="Q13" i="15" s="1"/>
  <c r="S13" i="15" s="1"/>
  <c r="AA13" i="15" s="1"/>
  <c r="AC13" i="15" s="1"/>
  <c r="F13" i="17"/>
  <c r="O13" i="17" s="1"/>
  <c r="Q13" i="17" s="1"/>
  <c r="E11" i="23"/>
  <c r="I11" i="23" s="1"/>
  <c r="E11" i="22"/>
  <c r="N11" i="22" s="1"/>
  <c r="P11" i="22" s="1"/>
  <c r="E11" i="21"/>
  <c r="I11" i="21" s="1"/>
  <c r="K11" i="21" s="1"/>
  <c r="L11" i="21" s="1"/>
  <c r="E11" i="20"/>
  <c r="I11" i="20" s="1"/>
  <c r="K11" i="20" s="1"/>
  <c r="L11" i="20" s="1"/>
  <c r="E11" i="17"/>
  <c r="N11" i="17" s="1"/>
  <c r="P11" i="17" s="1"/>
  <c r="S11" i="17" s="1"/>
  <c r="E11" i="19"/>
  <c r="I11" i="19" s="1"/>
  <c r="E11" i="18"/>
  <c r="I11" i="18" s="1"/>
  <c r="K11" i="18" s="1"/>
  <c r="L11" i="18" s="1"/>
  <c r="M11" i="18" s="1"/>
  <c r="E11" i="16"/>
  <c r="N11" i="16" s="1"/>
  <c r="P11" i="16" s="1"/>
  <c r="E11" i="15"/>
  <c r="N11" i="15" s="1"/>
  <c r="P11" i="15" s="1"/>
  <c r="E11" i="14"/>
  <c r="N11" i="14" s="1"/>
  <c r="P11" i="14" s="1"/>
  <c r="S11" i="14" s="1"/>
  <c r="AA11" i="14" s="1"/>
  <c r="AC11" i="14" s="1"/>
  <c r="F23" i="23"/>
  <c r="J23" i="23" s="1"/>
  <c r="AG23" i="23" s="1"/>
  <c r="AH23" i="23" s="1"/>
  <c r="F23" i="20"/>
  <c r="J23" i="20" s="1"/>
  <c r="F23" i="22"/>
  <c r="O23" i="22" s="1"/>
  <c r="Q23" i="22" s="1"/>
  <c r="F23" i="19"/>
  <c r="J23" i="19" s="1"/>
  <c r="K23" i="19" s="1"/>
  <c r="L23" i="19" s="1"/>
  <c r="F23" i="15"/>
  <c r="O23" i="15" s="1"/>
  <c r="Q23" i="15" s="1"/>
  <c r="S23" i="15" s="1"/>
  <c r="AA23" i="15" s="1"/>
  <c r="F23" i="14"/>
  <c r="O23" i="14" s="1"/>
  <c r="Q23" i="14" s="1"/>
  <c r="F23" i="16"/>
  <c r="O23" i="16" s="1"/>
  <c r="Q23" i="16" s="1"/>
  <c r="F23" i="17"/>
  <c r="O23" i="17" s="1"/>
  <c r="Q23" i="17" s="1"/>
  <c r="F23" i="18"/>
  <c r="J23" i="18" s="1"/>
  <c r="F23" i="21"/>
  <c r="J23" i="21" s="1"/>
  <c r="AI17" i="23"/>
  <c r="BC25" i="23"/>
  <c r="BD25" i="23" s="1"/>
  <c r="BY25" i="23"/>
  <c r="BZ25" i="23" s="1"/>
  <c r="K25" i="23"/>
  <c r="L25" i="23" s="1"/>
  <c r="AM25" i="22"/>
  <c r="AM22" i="22"/>
  <c r="AM11" i="22"/>
  <c r="AM20" i="22"/>
  <c r="AM7" i="22"/>
  <c r="AM6" i="22"/>
  <c r="AM24" i="22"/>
  <c r="AM19" i="22"/>
  <c r="AM14" i="22"/>
  <c r="AM21" i="22"/>
  <c r="AM17" i="22"/>
  <c r="AM16" i="22"/>
  <c r="AM9" i="22"/>
  <c r="AM5" i="22"/>
  <c r="AM15" i="22"/>
  <c r="AM12" i="22"/>
  <c r="AM23" i="22"/>
  <c r="AM10" i="22"/>
  <c r="AM4" i="22"/>
  <c r="AT14" i="22" s="1"/>
  <c r="AM8" i="22"/>
  <c r="AM18" i="22"/>
  <c r="AM13" i="22"/>
  <c r="AN4" i="21"/>
  <c r="AT14" i="21" s="1"/>
  <c r="AN4" i="20"/>
  <c r="AT14" i="20" s="1"/>
  <c r="AN4" i="19"/>
  <c r="AT14" i="19" s="1"/>
  <c r="AN4" i="18"/>
  <c r="AT14" i="18" s="1"/>
  <c r="AG9" i="17"/>
  <c r="AF16" i="17"/>
  <c r="AG24" i="17"/>
  <c r="AG23" i="17"/>
  <c r="AG7" i="17"/>
  <c r="AG21" i="17"/>
  <c r="AD16" i="17"/>
  <c r="AG8" i="17"/>
  <c r="AG13" i="17"/>
  <c r="AE16" i="17"/>
  <c r="AG14" i="17"/>
  <c r="AG15" i="17"/>
  <c r="AG11" i="17"/>
  <c r="AG5" i="17"/>
  <c r="AG22" i="17"/>
  <c r="AG10" i="17"/>
  <c r="AG19" i="17"/>
  <c r="AG6" i="17"/>
  <c r="AG18" i="17"/>
  <c r="AG25" i="17"/>
  <c r="AG4" i="17"/>
  <c r="AM14" i="17" s="1"/>
  <c r="AG12" i="17"/>
  <c r="AG17" i="17"/>
  <c r="AA17" i="17"/>
  <c r="R25" i="17"/>
  <c r="Z25" i="17" s="1"/>
  <c r="AG15" i="16"/>
  <c r="AG4" i="16"/>
  <c r="AM14" i="16" s="1"/>
  <c r="AB25" i="16"/>
  <c r="AG17" i="16"/>
  <c r="AG12" i="16"/>
  <c r="AG7" i="16"/>
  <c r="AG11" i="16"/>
  <c r="AG13" i="16"/>
  <c r="AG23" i="16"/>
  <c r="AG22" i="16"/>
  <c r="AG14" i="16"/>
  <c r="AG24" i="16"/>
  <c r="AG10" i="16"/>
  <c r="AG9" i="16"/>
  <c r="AG25" i="16"/>
  <c r="AG16" i="16"/>
  <c r="AG19" i="16"/>
  <c r="AG5" i="16"/>
  <c r="AG8" i="16"/>
  <c r="AG21" i="16"/>
  <c r="AG18" i="16"/>
  <c r="AG6" i="16"/>
  <c r="AG20" i="16"/>
  <c r="AG20" i="15"/>
  <c r="AG21" i="15"/>
  <c r="AG11" i="15"/>
  <c r="AG10" i="15"/>
  <c r="AC17" i="15"/>
  <c r="AG12" i="15"/>
  <c r="AG23" i="15"/>
  <c r="AG7" i="15"/>
  <c r="AG13" i="15"/>
  <c r="AG24" i="15"/>
  <c r="AG9" i="15"/>
  <c r="AG14" i="15"/>
  <c r="AG15" i="15"/>
  <c r="AC16" i="15"/>
  <c r="AG5" i="15"/>
  <c r="AG8" i="15"/>
  <c r="AG25" i="15"/>
  <c r="AG16" i="15"/>
  <c r="AG18" i="15"/>
  <c r="AC18" i="15"/>
  <c r="AC10" i="15"/>
  <c r="AG19" i="15"/>
  <c r="AG17" i="15"/>
  <c r="AC11" i="15"/>
  <c r="AG22" i="15"/>
  <c r="AG4" i="15"/>
  <c r="AM14" i="15" s="1"/>
  <c r="AG13" i="14"/>
  <c r="AG16" i="14"/>
  <c r="AG14" i="14"/>
  <c r="AG22" i="14"/>
  <c r="AG10" i="14"/>
  <c r="AC12" i="14"/>
  <c r="AG6" i="14"/>
  <c r="AC9" i="14"/>
  <c r="AG15" i="14"/>
  <c r="AC10" i="14"/>
  <c r="AG11" i="14"/>
  <c r="AG21" i="14"/>
  <c r="AG17" i="14"/>
  <c r="AG12" i="14"/>
  <c r="AG7" i="14"/>
  <c r="AG5" i="14"/>
  <c r="AG24" i="14"/>
  <c r="AG25" i="14"/>
  <c r="AG18" i="14"/>
  <c r="AG8" i="14"/>
  <c r="AG19" i="14"/>
  <c r="AG9" i="14"/>
  <c r="AG20" i="14"/>
  <c r="AG4" i="14"/>
  <c r="AM14" i="14" s="1"/>
  <c r="AM12" i="14"/>
  <c r="Z23" i="14"/>
  <c r="AE23" i="14"/>
  <c r="AD23" i="14"/>
  <c r="AF23" i="14"/>
  <c r="S6" i="17" l="1"/>
  <c r="R6" i="17" s="1"/>
  <c r="Z6" i="17" s="1"/>
  <c r="K18" i="20"/>
  <c r="L18" i="20" s="1"/>
  <c r="M19" i="21"/>
  <c r="S7" i="17"/>
  <c r="R7" i="17" s="1"/>
  <c r="Z7" i="17" s="1"/>
  <c r="S14" i="17"/>
  <c r="M12" i="19"/>
  <c r="AI21" i="23"/>
  <c r="T18" i="16"/>
  <c r="S18" i="16" s="1"/>
  <c r="AA18" i="16" s="1"/>
  <c r="M11" i="21"/>
  <c r="S24" i="17"/>
  <c r="R24" i="17" s="1"/>
  <c r="Z24" i="17" s="1"/>
  <c r="S12" i="17"/>
  <c r="AA12" i="17" s="1"/>
  <c r="S22" i="17"/>
  <c r="AA22" i="17" s="1"/>
  <c r="M25" i="18"/>
  <c r="M20" i="18"/>
  <c r="AI8" i="23"/>
  <c r="M22" i="19"/>
  <c r="M9" i="18"/>
  <c r="AI23" i="23"/>
  <c r="K5" i="20"/>
  <c r="L5" i="20" s="1"/>
  <c r="AI10" i="23"/>
  <c r="S4" i="17"/>
  <c r="AA4" i="17" s="1"/>
  <c r="AI25" i="23"/>
  <c r="M18" i="20"/>
  <c r="M12" i="21"/>
  <c r="M23" i="21"/>
  <c r="AI11" i="23"/>
  <c r="M20" i="19"/>
  <c r="K8" i="20"/>
  <c r="L8" i="20" s="1"/>
  <c r="M24" i="19"/>
  <c r="S9" i="17"/>
  <c r="AA9" i="17" s="1"/>
  <c r="M6" i="20"/>
  <c r="AI15" i="23"/>
  <c r="T5" i="16"/>
  <c r="S5" i="16" s="1"/>
  <c r="AA5" i="16" s="1"/>
  <c r="M14" i="21"/>
  <c r="T21" i="16"/>
  <c r="AB21" i="16" s="1"/>
  <c r="T20" i="16"/>
  <c r="M6" i="21"/>
  <c r="M8" i="21"/>
  <c r="T13" i="16"/>
  <c r="S13" i="16" s="1"/>
  <c r="AA13" i="16" s="1"/>
  <c r="M17" i="19"/>
  <c r="K13" i="20"/>
  <c r="L13" i="20" s="1"/>
  <c r="M14" i="20" s="1"/>
  <c r="T8" i="16"/>
  <c r="S8" i="16" s="1"/>
  <c r="AA8" i="16" s="1"/>
  <c r="M7" i="18"/>
  <c r="T9" i="16"/>
  <c r="M7" i="19"/>
  <c r="M20" i="21"/>
  <c r="M10" i="19"/>
  <c r="M22" i="18"/>
  <c r="S17" i="16"/>
  <c r="AA17" i="16" s="1"/>
  <c r="AB17" i="16"/>
  <c r="S7" i="22"/>
  <c r="AB7" i="22"/>
  <c r="AA7" i="22" s="1"/>
  <c r="S13" i="17"/>
  <c r="M21" i="18"/>
  <c r="AI14" i="23"/>
  <c r="K22" i="20"/>
  <c r="L22" i="20" s="1"/>
  <c r="V9" i="22"/>
  <c r="Z9" i="22"/>
  <c r="Y9" i="22" s="1"/>
  <c r="Z4" i="22"/>
  <c r="Y4" i="22" s="1"/>
  <c r="V4" i="22"/>
  <c r="M18" i="21"/>
  <c r="S23" i="17"/>
  <c r="AB22" i="22"/>
  <c r="AA22" i="22" s="1"/>
  <c r="S22" i="22"/>
  <c r="V11" i="22"/>
  <c r="Z11" i="22"/>
  <c r="Y11" i="22" s="1"/>
  <c r="S14" i="22"/>
  <c r="AB14" i="22"/>
  <c r="AA14" i="22" s="1"/>
  <c r="S19" i="16"/>
  <c r="AA19" i="16" s="1"/>
  <c r="AB19" i="16"/>
  <c r="BY22" i="23"/>
  <c r="BZ22" i="23" s="1"/>
  <c r="BC22" i="23"/>
  <c r="BD22" i="23" s="1"/>
  <c r="K22" i="23"/>
  <c r="L22" i="23" s="1"/>
  <c r="I4" i="18"/>
  <c r="K4" i="18" s="1"/>
  <c r="L4" i="18" s="1"/>
  <c r="M5" i="18" s="1"/>
  <c r="N5" i="18" s="1"/>
  <c r="U4" i="18"/>
  <c r="W4" i="18" s="1"/>
  <c r="Z4" i="18" s="1"/>
  <c r="AH4" i="18" s="1"/>
  <c r="V21" i="22"/>
  <c r="Z21" i="22"/>
  <c r="Y21" i="22" s="1"/>
  <c r="AI9" i="23"/>
  <c r="AI22" i="23"/>
  <c r="Z5" i="22"/>
  <c r="Y5" i="22" s="1"/>
  <c r="V5" i="22"/>
  <c r="CJ4" i="23"/>
  <c r="CL4" i="23" s="1"/>
  <c r="BN4" i="23"/>
  <c r="BP4" i="23" s="1"/>
  <c r="V4" i="23"/>
  <c r="X4" i="23" s="1"/>
  <c r="AR4" i="23"/>
  <c r="AT4" i="23" s="1"/>
  <c r="AV4" i="23" s="1"/>
  <c r="J4" i="23"/>
  <c r="AG4" i="23" s="1"/>
  <c r="AH4" i="23" s="1"/>
  <c r="AI5" i="23" s="1"/>
  <c r="AJ5" i="23" s="1"/>
  <c r="Z24" i="22"/>
  <c r="Y24" i="22" s="1"/>
  <c r="V24" i="22"/>
  <c r="S18" i="22"/>
  <c r="AB18" i="22"/>
  <c r="AA18" i="22" s="1"/>
  <c r="AI12" i="23"/>
  <c r="AB21" i="22"/>
  <c r="AA21" i="22" s="1"/>
  <c r="S21" i="22"/>
  <c r="K9" i="20"/>
  <c r="L9" i="20" s="1"/>
  <c r="M9" i="20" s="1"/>
  <c r="BY5" i="23"/>
  <c r="BZ5" i="23" s="1"/>
  <c r="BC5" i="23"/>
  <c r="BD5" i="23" s="1"/>
  <c r="K5" i="23"/>
  <c r="L5" i="23" s="1"/>
  <c r="AB8" i="22"/>
  <c r="AA8" i="22" s="1"/>
  <c r="S8" i="22"/>
  <c r="M12" i="18"/>
  <c r="Z6" i="22"/>
  <c r="Y6" i="22" s="1"/>
  <c r="V6" i="22"/>
  <c r="J4" i="21"/>
  <c r="V4" i="21"/>
  <c r="X4" i="21" s="1"/>
  <c r="BY14" i="23"/>
  <c r="BZ14" i="23" s="1"/>
  <c r="BC14" i="23"/>
  <c r="BD14" i="23" s="1"/>
  <c r="K14" i="23"/>
  <c r="L14" i="23" s="1"/>
  <c r="BC21" i="23"/>
  <c r="BD21" i="23" s="1"/>
  <c r="BY21" i="23"/>
  <c r="BZ21" i="23" s="1"/>
  <c r="K21" i="23"/>
  <c r="L21" i="23" s="1"/>
  <c r="AB9" i="22"/>
  <c r="AA9" i="22" s="1"/>
  <c r="S9" i="22"/>
  <c r="V10" i="22"/>
  <c r="Z10" i="22"/>
  <c r="Y10" i="22" s="1"/>
  <c r="AB5" i="22"/>
  <c r="AA5" i="22" s="1"/>
  <c r="S5" i="22"/>
  <c r="T7" i="16"/>
  <c r="K19" i="20"/>
  <c r="L19" i="20" s="1"/>
  <c r="M19" i="20" s="1"/>
  <c r="T15" i="16"/>
  <c r="AI24" i="23"/>
  <c r="K10" i="20"/>
  <c r="L10" i="20" s="1"/>
  <c r="M11" i="20" s="1"/>
  <c r="K23" i="20"/>
  <c r="L23" i="20" s="1"/>
  <c r="AI6" i="23"/>
  <c r="T11" i="16"/>
  <c r="S16" i="17"/>
  <c r="BC11" i="23"/>
  <c r="BD11" i="23" s="1"/>
  <c r="BY11" i="23"/>
  <c r="BZ11" i="23" s="1"/>
  <c r="K11" i="23"/>
  <c r="L11" i="23" s="1"/>
  <c r="V4" i="20"/>
  <c r="X4" i="20" s="1"/>
  <c r="J4" i="20"/>
  <c r="AA7" i="17"/>
  <c r="M13" i="19"/>
  <c r="S13" i="22"/>
  <c r="AB13" i="22"/>
  <c r="AA13" i="22" s="1"/>
  <c r="K21" i="20"/>
  <c r="L21" i="20" s="1"/>
  <c r="M14" i="19"/>
  <c r="BY24" i="23"/>
  <c r="BZ24" i="23" s="1"/>
  <c r="CA25" i="23" s="1"/>
  <c r="BC24" i="23"/>
  <c r="BD24" i="23" s="1"/>
  <c r="K24" i="23"/>
  <c r="L24" i="23" s="1"/>
  <c r="BY9" i="23"/>
  <c r="BZ9" i="23" s="1"/>
  <c r="BC9" i="23"/>
  <c r="BD9" i="23" s="1"/>
  <c r="K9" i="23"/>
  <c r="L9" i="23" s="1"/>
  <c r="AI16" i="23"/>
  <c r="R22" i="17"/>
  <c r="Z22" i="17" s="1"/>
  <c r="M15" i="18"/>
  <c r="AB20" i="22"/>
  <c r="AA20" i="22" s="1"/>
  <c r="S20" i="22"/>
  <c r="V20" i="22"/>
  <c r="Z20" i="22"/>
  <c r="Y20" i="22" s="1"/>
  <c r="BC8" i="23"/>
  <c r="BD8" i="23" s="1"/>
  <c r="BY8" i="23"/>
  <c r="BZ8" i="23" s="1"/>
  <c r="K8" i="23"/>
  <c r="L8" i="23" s="1"/>
  <c r="M10" i="18"/>
  <c r="M23" i="18"/>
  <c r="V18" i="22"/>
  <c r="Z18" i="22"/>
  <c r="Y18" i="22" s="1"/>
  <c r="S19" i="22"/>
  <c r="AB19" i="22"/>
  <c r="AA19" i="22" s="1"/>
  <c r="M24" i="21"/>
  <c r="M13" i="21"/>
  <c r="T14" i="16"/>
  <c r="K24" i="20"/>
  <c r="L24" i="20" s="1"/>
  <c r="I4" i="19"/>
  <c r="U4" i="19"/>
  <c r="W4" i="19" s="1"/>
  <c r="M21" i="19"/>
  <c r="V16" i="22"/>
  <c r="Z16" i="22"/>
  <c r="Y16" i="22" s="1"/>
  <c r="T22" i="16"/>
  <c r="K15" i="20"/>
  <c r="L15" i="20" s="1"/>
  <c r="M15" i="20" s="1"/>
  <c r="BC19" i="23"/>
  <c r="BD19" i="23" s="1"/>
  <c r="BY19" i="23"/>
  <c r="BZ19" i="23" s="1"/>
  <c r="K19" i="23"/>
  <c r="L19" i="23" s="1"/>
  <c r="T4" i="16"/>
  <c r="M15" i="19"/>
  <c r="M25" i="19"/>
  <c r="K20" i="20"/>
  <c r="L20" i="20" s="1"/>
  <c r="M18" i="18"/>
  <c r="R12" i="17"/>
  <c r="Z12" i="17" s="1"/>
  <c r="S10" i="17"/>
  <c r="M16" i="18"/>
  <c r="AI20" i="23"/>
  <c r="T24" i="16"/>
  <c r="AB23" i="22"/>
  <c r="AA23" i="22" s="1"/>
  <c r="S23" i="22"/>
  <c r="M11" i="19"/>
  <c r="M16" i="21"/>
  <c r="Z12" i="22"/>
  <c r="Y12" i="22" s="1"/>
  <c r="V12" i="22"/>
  <c r="R14" i="17"/>
  <c r="Z14" i="17" s="1"/>
  <c r="AA14" i="17"/>
  <c r="V22" i="22"/>
  <c r="Z22" i="22"/>
  <c r="Y22" i="22" s="1"/>
  <c r="S21" i="17"/>
  <c r="M8" i="19"/>
  <c r="S10" i="16"/>
  <c r="AA10" i="16" s="1"/>
  <c r="AB10" i="16"/>
  <c r="AB4" i="22"/>
  <c r="AA4" i="22" s="1"/>
  <c r="S4" i="22"/>
  <c r="M15" i="21"/>
  <c r="AB17" i="22"/>
  <c r="AA17" i="22" s="1"/>
  <c r="Z17" i="22"/>
  <c r="Y17" i="22" s="1"/>
  <c r="S17" i="22"/>
  <c r="J4" i="19"/>
  <c r="K4" i="19" s="1"/>
  <c r="L4" i="19" s="1"/>
  <c r="M5" i="19" s="1"/>
  <c r="N5" i="19" s="1"/>
  <c r="V4" i="19"/>
  <c r="X4" i="19" s="1"/>
  <c r="Z4" i="19" s="1"/>
  <c r="AH4" i="19" s="1"/>
  <c r="BY20" i="23"/>
  <c r="BZ20" i="23" s="1"/>
  <c r="BC20" i="23"/>
  <c r="BD20" i="23" s="1"/>
  <c r="BE20" i="23" s="1"/>
  <c r="K20" i="23"/>
  <c r="L20" i="23" s="1"/>
  <c r="S8" i="17"/>
  <c r="S18" i="17"/>
  <c r="AA18" i="17" s="1"/>
  <c r="M10" i="21"/>
  <c r="BY23" i="23"/>
  <c r="BZ23" i="23" s="1"/>
  <c r="BC23" i="23"/>
  <c r="BD23" i="23" s="1"/>
  <c r="K23" i="23"/>
  <c r="L23" i="23" s="1"/>
  <c r="AB16" i="22"/>
  <c r="AA16" i="22" s="1"/>
  <c r="S16" i="22"/>
  <c r="BC7" i="23"/>
  <c r="BD7" i="23" s="1"/>
  <c r="BY7" i="23"/>
  <c r="BZ7" i="23" s="1"/>
  <c r="K7" i="23"/>
  <c r="L7" i="23" s="1"/>
  <c r="AB12" i="22"/>
  <c r="AA12" i="22" s="1"/>
  <c r="S12" i="22"/>
  <c r="S5" i="17"/>
  <c r="U4" i="21"/>
  <c r="W4" i="21" s="1"/>
  <c r="Z4" i="21" s="1"/>
  <c r="I4" i="21"/>
  <c r="K4" i="21" s="1"/>
  <c r="L4" i="21" s="1"/>
  <c r="M5" i="21" s="1"/>
  <c r="N5" i="21" s="1"/>
  <c r="T16" i="16"/>
  <c r="M6" i="18"/>
  <c r="AB15" i="22"/>
  <c r="AA15" i="22" s="1"/>
  <c r="S15" i="22"/>
  <c r="J4" i="18"/>
  <c r="V4" i="18"/>
  <c r="X4" i="18" s="1"/>
  <c r="BY12" i="23"/>
  <c r="BZ12" i="23" s="1"/>
  <c r="BC12" i="23"/>
  <c r="BD12" i="23" s="1"/>
  <c r="BE12" i="23" s="1"/>
  <c r="K12" i="23"/>
  <c r="L12" i="23" s="1"/>
  <c r="AB10" i="22"/>
  <c r="AA10" i="22" s="1"/>
  <c r="S10" i="22"/>
  <c r="T6" i="16"/>
  <c r="K16" i="20"/>
  <c r="L16" i="20" s="1"/>
  <c r="M17" i="20" s="1"/>
  <c r="Z23" i="22"/>
  <c r="Y23" i="22" s="1"/>
  <c r="V23" i="22"/>
  <c r="S6" i="22"/>
  <c r="AB6" i="22"/>
  <c r="AA6" i="22" s="1"/>
  <c r="S19" i="17"/>
  <c r="R20" i="17"/>
  <c r="Z20" i="17" s="1"/>
  <c r="AA20" i="17"/>
  <c r="T23" i="16"/>
  <c r="R11" i="17"/>
  <c r="Z11" i="17" s="1"/>
  <c r="AA11" i="17"/>
  <c r="BY13" i="23"/>
  <c r="BZ13" i="23" s="1"/>
  <c r="BC13" i="23"/>
  <c r="BD13" i="23" s="1"/>
  <c r="K13" i="23"/>
  <c r="L13" i="23" s="1"/>
  <c r="AB24" i="22"/>
  <c r="AA24" i="22" s="1"/>
  <c r="S24" i="22"/>
  <c r="I4" i="20"/>
  <c r="U4" i="20"/>
  <c r="W4" i="20" s="1"/>
  <c r="BY17" i="23"/>
  <c r="BZ17" i="23" s="1"/>
  <c r="BC17" i="23"/>
  <c r="BD17" i="23" s="1"/>
  <c r="K17" i="23"/>
  <c r="L17" i="23" s="1"/>
  <c r="AA15" i="17"/>
  <c r="AC15" i="17" s="1"/>
  <c r="Z13" i="22"/>
  <c r="Y13" i="22" s="1"/>
  <c r="V13" i="22"/>
  <c r="Z19" i="22"/>
  <c r="Y19" i="22" s="1"/>
  <c r="V19" i="22"/>
  <c r="M7" i="21"/>
  <c r="M23" i="19"/>
  <c r="S11" i="22"/>
  <c r="AB11" i="22"/>
  <c r="AA11" i="22" s="1"/>
  <c r="M13" i="18"/>
  <c r="V14" i="22"/>
  <c r="Z14" i="22"/>
  <c r="Y14" i="22" s="1"/>
  <c r="Z8" i="22"/>
  <c r="Y8" i="22" s="1"/>
  <c r="V8" i="22"/>
  <c r="M22" i="21"/>
  <c r="K7" i="20"/>
  <c r="L7" i="20" s="1"/>
  <c r="M7" i="20" s="1"/>
  <c r="CI4" i="23"/>
  <c r="CK4" i="23" s="1"/>
  <c r="BM4" i="23"/>
  <c r="BO4" i="23" s="1"/>
  <c r="I4" i="23"/>
  <c r="AQ4" i="23"/>
  <c r="AS4" i="23" s="1"/>
  <c r="U4" i="23"/>
  <c r="W4" i="23" s="1"/>
  <c r="Z4" i="23" s="1"/>
  <c r="M9" i="19"/>
  <c r="BY6" i="23"/>
  <c r="BZ6" i="23" s="1"/>
  <c r="BC6" i="23"/>
  <c r="BD6" i="23" s="1"/>
  <c r="K6" i="23"/>
  <c r="L6" i="23" s="1"/>
  <c r="M6" i="23" s="1"/>
  <c r="Z7" i="22"/>
  <c r="Y7" i="22" s="1"/>
  <c r="V7" i="22"/>
  <c r="BC15" i="23"/>
  <c r="BD15" i="23" s="1"/>
  <c r="BY15" i="23"/>
  <c r="BZ15" i="23" s="1"/>
  <c r="K15" i="23"/>
  <c r="L15" i="23" s="1"/>
  <c r="M15" i="23" s="1"/>
  <c r="V15" i="22"/>
  <c r="Z15" i="22"/>
  <c r="Y15" i="22" s="1"/>
  <c r="V25" i="22"/>
  <c r="AB25" i="22"/>
  <c r="AA25" i="22" s="1"/>
  <c r="Z25" i="22"/>
  <c r="Y25" i="22" s="1"/>
  <c r="M8" i="18"/>
  <c r="BC18" i="23"/>
  <c r="BD18" i="23" s="1"/>
  <c r="K18" i="23"/>
  <c r="L18" i="23" s="1"/>
  <c r="BY18" i="23"/>
  <c r="BZ18" i="23" s="1"/>
  <c r="K12" i="20"/>
  <c r="L12" i="20" s="1"/>
  <c r="M12" i="20" s="1"/>
  <c r="BY10" i="23"/>
  <c r="BZ10" i="23" s="1"/>
  <c r="BC10" i="23"/>
  <c r="BD10" i="23" s="1"/>
  <c r="K10" i="23"/>
  <c r="L10" i="23" s="1"/>
  <c r="M10" i="23" s="1"/>
  <c r="M6" i="19"/>
  <c r="T12" i="16"/>
  <c r="BC16" i="23"/>
  <c r="BD16" i="23" s="1"/>
  <c r="BY16" i="23"/>
  <c r="BZ16" i="23" s="1"/>
  <c r="K16" i="23"/>
  <c r="L16" i="23" s="1"/>
  <c r="AG16" i="17"/>
  <c r="AC17" i="17"/>
  <c r="AI18" i="15"/>
  <c r="AM15" i="15" s="1"/>
  <c r="D13" i="24" s="1"/>
  <c r="AI18" i="14"/>
  <c r="AM15" i="14" s="1"/>
  <c r="B13" i="24" s="1"/>
  <c r="AG23" i="14"/>
  <c r="S21" i="16" l="1"/>
  <c r="AA21" i="16" s="1"/>
  <c r="AA6" i="17"/>
  <c r="CA12" i="23"/>
  <c r="AB18" i="16"/>
  <c r="CA20" i="23"/>
  <c r="AB8" i="16"/>
  <c r="AC8" i="16" s="1"/>
  <c r="AA24" i="17"/>
  <c r="R4" i="17"/>
  <c r="Z4" i="17" s="1"/>
  <c r="K4" i="20"/>
  <c r="L4" i="20" s="1"/>
  <c r="M5" i="20" s="1"/>
  <c r="N5" i="20" s="1"/>
  <c r="N6" i="20" s="1"/>
  <c r="BE10" i="23"/>
  <c r="AI9" i="22"/>
  <c r="M8" i="20"/>
  <c r="CA22" i="23"/>
  <c r="AB13" i="16"/>
  <c r="AC13" i="16" s="1"/>
  <c r="M24" i="20"/>
  <c r="BE8" i="23"/>
  <c r="CA9" i="23"/>
  <c r="AB5" i="16"/>
  <c r="CA17" i="23"/>
  <c r="BE13" i="23"/>
  <c r="R9" i="17"/>
  <c r="Z9" i="17" s="1"/>
  <c r="AC9" i="17" s="1"/>
  <c r="M22" i="23"/>
  <c r="BE22" i="23"/>
  <c r="S9" i="16"/>
  <c r="AA9" i="16" s="1"/>
  <c r="AB9" i="16"/>
  <c r="M14" i="23"/>
  <c r="BE14" i="23"/>
  <c r="M7" i="23"/>
  <c r="AC10" i="16"/>
  <c r="M24" i="23"/>
  <c r="M25" i="20"/>
  <c r="CA15" i="23"/>
  <c r="CN4" i="23"/>
  <c r="CM4" i="23" s="1"/>
  <c r="CA7" i="23"/>
  <c r="CA19" i="23"/>
  <c r="M19" i="23"/>
  <c r="BE7" i="23"/>
  <c r="M21" i="20"/>
  <c r="S20" i="16"/>
  <c r="AA20" i="16" s="1"/>
  <c r="AB20" i="16"/>
  <c r="BE18" i="23"/>
  <c r="O5" i="21"/>
  <c r="N6" i="21"/>
  <c r="O5" i="20"/>
  <c r="O5" i="19"/>
  <c r="N6" i="19"/>
  <c r="S4" i="16"/>
  <c r="AA4" i="16" s="1"/>
  <c r="AB4" i="16"/>
  <c r="AB14" i="16"/>
  <c r="S14" i="16"/>
  <c r="AA14" i="16" s="1"/>
  <c r="AC18" i="16"/>
  <c r="M22" i="20"/>
  <c r="AI15" i="22"/>
  <c r="R21" i="17"/>
  <c r="Z21" i="17" s="1"/>
  <c r="AA21" i="17"/>
  <c r="S24" i="16"/>
  <c r="AA24" i="16" s="1"/>
  <c r="AB24" i="16"/>
  <c r="BE24" i="23"/>
  <c r="CA11" i="23"/>
  <c r="CA14" i="23"/>
  <c r="R23" i="17"/>
  <c r="Z23" i="17" s="1"/>
  <c r="AA23" i="17"/>
  <c r="CA18" i="23"/>
  <c r="AI16" i="22"/>
  <c r="BE19" i="23"/>
  <c r="CA24" i="23"/>
  <c r="BE11" i="23"/>
  <c r="M11" i="23"/>
  <c r="BE15" i="23"/>
  <c r="M18" i="23"/>
  <c r="M13" i="23"/>
  <c r="AI17" i="22"/>
  <c r="R16" i="17"/>
  <c r="Z16" i="17" s="1"/>
  <c r="AA16" i="17"/>
  <c r="AA13" i="17"/>
  <c r="R13" i="17"/>
  <c r="Z13" i="17" s="1"/>
  <c r="S11" i="16"/>
  <c r="AA11" i="16" s="1"/>
  <c r="AB11" i="16"/>
  <c r="M25" i="23"/>
  <c r="R19" i="17"/>
  <c r="Z19" i="17" s="1"/>
  <c r="AA19" i="17"/>
  <c r="AA4" i="20"/>
  <c r="N6" i="18"/>
  <c r="O5" i="18"/>
  <c r="M16" i="23"/>
  <c r="CA13" i="23"/>
  <c r="AB6" i="16"/>
  <c r="S6" i="16"/>
  <c r="AA6" i="16" s="1"/>
  <c r="S16" i="16"/>
  <c r="AA16" i="16" s="1"/>
  <c r="AB16" i="16"/>
  <c r="AI14" i="22"/>
  <c r="CA16" i="23"/>
  <c r="CA6" i="23"/>
  <c r="AI10" i="22"/>
  <c r="CA23" i="23"/>
  <c r="AC14" i="17"/>
  <c r="AC12" i="17"/>
  <c r="AI13" i="22"/>
  <c r="M23" i="20"/>
  <c r="AI18" i="22"/>
  <c r="BE25" i="23"/>
  <c r="BS4" i="23"/>
  <c r="BR4" i="23" s="1"/>
  <c r="M23" i="23"/>
  <c r="BE23" i="23"/>
  <c r="S22" i="16"/>
  <c r="AA22" i="16" s="1"/>
  <c r="AB22" i="16"/>
  <c r="BE16" i="23"/>
  <c r="AC11" i="17"/>
  <c r="Y4" i="21"/>
  <c r="AG4" i="21" s="1"/>
  <c r="AH4" i="21"/>
  <c r="M10" i="20"/>
  <c r="M21" i="23"/>
  <c r="CA10" i="23"/>
  <c r="M16" i="20"/>
  <c r="R10" i="17"/>
  <c r="Z10" i="17" s="1"/>
  <c r="AA10" i="17"/>
  <c r="M17" i="23"/>
  <c r="CA21" i="23"/>
  <c r="AI8" i="22"/>
  <c r="S7" i="16"/>
  <c r="AA7" i="16" s="1"/>
  <c r="AB7" i="16"/>
  <c r="BE6" i="23"/>
  <c r="S12" i="16"/>
  <c r="AA12" i="16" s="1"/>
  <c r="AB12" i="16"/>
  <c r="S23" i="16"/>
  <c r="AA23" i="16" s="1"/>
  <c r="AB23" i="16"/>
  <c r="M12" i="23"/>
  <c r="R5" i="17"/>
  <c r="Z5" i="17" s="1"/>
  <c r="AA5" i="17"/>
  <c r="M20" i="20"/>
  <c r="AI11" i="22"/>
  <c r="BE17" i="23"/>
  <c r="AI12" i="22"/>
  <c r="R8" i="17"/>
  <c r="Z8" i="17" s="1"/>
  <c r="AA8" i="17"/>
  <c r="M8" i="23"/>
  <c r="M9" i="23"/>
  <c r="S15" i="16"/>
  <c r="AA15" i="16" s="1"/>
  <c r="AB15" i="16"/>
  <c r="BE21" i="23"/>
  <c r="AC17" i="16"/>
  <c r="BC4" i="23"/>
  <c r="BD4" i="23" s="1"/>
  <c r="BE5" i="23" s="1"/>
  <c r="BF5" i="23" s="1"/>
  <c r="BY4" i="23"/>
  <c r="BZ4" i="23" s="1"/>
  <c r="CA5" i="23" s="1"/>
  <c r="CB5" i="23" s="1"/>
  <c r="K4" i="23"/>
  <c r="L4" i="23" s="1"/>
  <c r="M5" i="23" s="1"/>
  <c r="N5" i="23" s="1"/>
  <c r="M20" i="23"/>
  <c r="CA8" i="23"/>
  <c r="BE9" i="23"/>
  <c r="AJ6" i="23"/>
  <c r="AK5" i="23"/>
  <c r="M13" i="20"/>
  <c r="R18" i="17"/>
  <c r="Z18" i="17" s="1"/>
  <c r="AC18" i="17" s="1"/>
  <c r="AC14" i="16" l="1"/>
  <c r="AC10" i="17"/>
  <c r="AC16" i="16"/>
  <c r="AC9" i="16"/>
  <c r="N6" i="23"/>
  <c r="O5" i="23"/>
  <c r="BF6" i="23"/>
  <c r="BG5" i="23"/>
  <c r="AC16" i="17"/>
  <c r="AP18" i="22"/>
  <c r="AT15" i="22" s="1"/>
  <c r="J13" i="24" s="1"/>
  <c r="T5" i="18"/>
  <c r="S5" i="18"/>
  <c r="R5" i="18"/>
  <c r="Q5" i="18"/>
  <c r="P5" i="18"/>
  <c r="N7" i="18"/>
  <c r="O6" i="18"/>
  <c r="Z4" i="20"/>
  <c r="AH4" i="20" s="1"/>
  <c r="AI4" i="20"/>
  <c r="N7" i="19"/>
  <c r="O6" i="19"/>
  <c r="S5" i="19"/>
  <c r="Q5" i="19"/>
  <c r="R5" i="19"/>
  <c r="P5" i="19"/>
  <c r="T5" i="19"/>
  <c r="AC15" i="16"/>
  <c r="T5" i="20"/>
  <c r="S5" i="20"/>
  <c r="P5" i="20"/>
  <c r="Q5" i="20"/>
  <c r="R5" i="20"/>
  <c r="AP5" i="23"/>
  <c r="AO5" i="23"/>
  <c r="AN5" i="23"/>
  <c r="AM5" i="23"/>
  <c r="AL5" i="23"/>
  <c r="CB6" i="23"/>
  <c r="CC5" i="23"/>
  <c r="N7" i="20"/>
  <c r="O6" i="20"/>
  <c r="AJ7" i="23"/>
  <c r="AK6" i="23"/>
  <c r="AC11" i="16"/>
  <c r="O6" i="21"/>
  <c r="N7" i="21"/>
  <c r="AC8" i="17"/>
  <c r="AC12" i="16"/>
  <c r="AC13" i="17"/>
  <c r="R5" i="21"/>
  <c r="Q5" i="21"/>
  <c r="T5" i="21"/>
  <c r="S5" i="21"/>
  <c r="P5" i="21"/>
  <c r="AA5" i="21" l="1"/>
  <c r="U5" i="18"/>
  <c r="W5" i="18" s="1"/>
  <c r="V5" i="18"/>
  <c r="AB5" i="21"/>
  <c r="AF5" i="21" s="1"/>
  <c r="CC6" i="23"/>
  <c r="CB7" i="23"/>
  <c r="AA5" i="18"/>
  <c r="Y5" i="18"/>
  <c r="X5" i="18"/>
  <c r="AB5" i="18"/>
  <c r="AF5" i="18" s="1"/>
  <c r="O7" i="18"/>
  <c r="N8" i="18"/>
  <c r="CG5" i="23"/>
  <c r="CF5" i="23"/>
  <c r="CE5" i="23"/>
  <c r="CD5" i="23"/>
  <c r="CH5" i="23"/>
  <c r="AR5" i="23"/>
  <c r="AT5" i="23" s="1"/>
  <c r="AQ5" i="23"/>
  <c r="AS5" i="23" s="1"/>
  <c r="AW5" i="23"/>
  <c r="AU5" i="23"/>
  <c r="AB5" i="19"/>
  <c r="AF5" i="19" s="1"/>
  <c r="U5" i="19"/>
  <c r="W5" i="19" s="1"/>
  <c r="V5" i="19"/>
  <c r="X5" i="19" s="1"/>
  <c r="AI18" i="17"/>
  <c r="AM15" i="17" s="1"/>
  <c r="H13" i="24" s="1"/>
  <c r="AX5" i="23"/>
  <c r="BA5" i="23" s="1"/>
  <c r="AZ5" i="23"/>
  <c r="AA5" i="19"/>
  <c r="Y5" i="19"/>
  <c r="N8" i="20"/>
  <c r="O7" i="20"/>
  <c r="P6" i="21"/>
  <c r="T6" i="21"/>
  <c r="S6" i="21"/>
  <c r="R6" i="21"/>
  <c r="Q6" i="21"/>
  <c r="AI18" i="16"/>
  <c r="AM15" i="16" s="1"/>
  <c r="F13" i="24" s="1"/>
  <c r="AB5" i="20"/>
  <c r="AD5" i="20" s="1"/>
  <c r="N8" i="19"/>
  <c r="O7" i="19"/>
  <c r="BL5" i="23"/>
  <c r="BK5" i="23"/>
  <c r="BH5" i="23"/>
  <c r="BJ5" i="23"/>
  <c r="BI5" i="23"/>
  <c r="N8" i="21"/>
  <c r="O7" i="21"/>
  <c r="T6" i="19"/>
  <c r="P6" i="19"/>
  <c r="S6" i="19"/>
  <c r="R6" i="19"/>
  <c r="Q6" i="19"/>
  <c r="AL6" i="23"/>
  <c r="AN6" i="23"/>
  <c r="AM6" i="23"/>
  <c r="AP6" i="23"/>
  <c r="AO6" i="23"/>
  <c r="Y5" i="20"/>
  <c r="BF7" i="23"/>
  <c r="BG6" i="23"/>
  <c r="V5" i="21"/>
  <c r="X5" i="21" s="1"/>
  <c r="U5" i="21"/>
  <c r="W5" i="21" s="1"/>
  <c r="AK7" i="23"/>
  <c r="AJ8" i="23"/>
  <c r="U5" i="20"/>
  <c r="W5" i="20" s="1"/>
  <c r="V5" i="20"/>
  <c r="X5" i="20" s="1"/>
  <c r="Q5" i="23"/>
  <c r="T5" i="23"/>
  <c r="S5" i="23"/>
  <c r="R5" i="23"/>
  <c r="P5" i="23"/>
  <c r="T6" i="20"/>
  <c r="Q6" i="20"/>
  <c r="P6" i="20"/>
  <c r="S6" i="20"/>
  <c r="R6" i="20"/>
  <c r="R6" i="18"/>
  <c r="Q6" i="18"/>
  <c r="P6" i="18"/>
  <c r="T6" i="18"/>
  <c r="S6" i="18"/>
  <c r="O6" i="23"/>
  <c r="N7" i="23"/>
  <c r="AD5" i="18" l="1"/>
  <c r="AE5" i="19"/>
  <c r="AD5" i="19"/>
  <c r="AY5" i="23"/>
  <c r="AE5" i="18"/>
  <c r="AI5" i="18" s="1"/>
  <c r="AC5" i="18"/>
  <c r="AG5" i="18" s="1"/>
  <c r="AA5" i="20"/>
  <c r="Z5" i="20" s="1"/>
  <c r="AH5" i="20" s="1"/>
  <c r="BT5" i="23"/>
  <c r="BW5" i="23" s="1"/>
  <c r="V6" i="21"/>
  <c r="X6" i="21" s="1"/>
  <c r="U6" i="21"/>
  <c r="W6" i="21" s="1"/>
  <c r="AN7" i="23"/>
  <c r="AL7" i="23"/>
  <c r="AP7" i="23"/>
  <c r="AM7" i="23"/>
  <c r="AO7" i="23"/>
  <c r="V6" i="20"/>
  <c r="X6" i="20" s="1"/>
  <c r="U6" i="20"/>
  <c r="W6" i="20" s="1"/>
  <c r="T7" i="19"/>
  <c r="R7" i="19"/>
  <c r="Q7" i="19"/>
  <c r="S7" i="19"/>
  <c r="P7" i="19"/>
  <c r="AI5" i="19"/>
  <c r="CP5" i="23"/>
  <c r="CS5" i="23" s="1"/>
  <c r="CB8" i="23"/>
  <c r="CC7" i="23"/>
  <c r="Y6" i="20"/>
  <c r="AB6" i="19"/>
  <c r="AF6" i="19" s="1"/>
  <c r="O8" i="19"/>
  <c r="N9" i="19"/>
  <c r="AC5" i="19"/>
  <c r="CH6" i="23"/>
  <c r="CG6" i="23"/>
  <c r="CE6" i="23"/>
  <c r="CF6" i="23"/>
  <c r="CD6" i="23"/>
  <c r="AW6" i="23"/>
  <c r="AU6" i="23"/>
  <c r="AJ9" i="23"/>
  <c r="AK8" i="23"/>
  <c r="AX6" i="23"/>
  <c r="BA6" i="23" s="1"/>
  <c r="Q7" i="20"/>
  <c r="T7" i="20"/>
  <c r="S7" i="20"/>
  <c r="R7" i="20"/>
  <c r="P7" i="20"/>
  <c r="AC5" i="20"/>
  <c r="O8" i="18"/>
  <c r="N9" i="18"/>
  <c r="AD5" i="21"/>
  <c r="AB6" i="18"/>
  <c r="AF6" i="18" s="1"/>
  <c r="AB6" i="20"/>
  <c r="AC6" i="20" s="1"/>
  <c r="AR6" i="23"/>
  <c r="AT6" i="23" s="1"/>
  <c r="AQ6" i="23"/>
  <c r="AS6" i="23" s="1"/>
  <c r="CO5" i="23"/>
  <c r="AA6" i="19"/>
  <c r="Y6" i="19"/>
  <c r="N9" i="20"/>
  <c r="O8" i="20"/>
  <c r="BL6" i="23"/>
  <c r="BK6" i="23"/>
  <c r="BH6" i="23"/>
  <c r="BJ6" i="23"/>
  <c r="BI6" i="23"/>
  <c r="O7" i="23"/>
  <c r="N8" i="23"/>
  <c r="U5" i="23"/>
  <c r="W5" i="23" s="1"/>
  <c r="V5" i="23"/>
  <c r="X5" i="23" s="1"/>
  <c r="BG7" i="23"/>
  <c r="BF8" i="23"/>
  <c r="U6" i="19"/>
  <c r="W6" i="19" s="1"/>
  <c r="V6" i="19"/>
  <c r="X6" i="19" s="1"/>
  <c r="Q7" i="18"/>
  <c r="P7" i="18"/>
  <c r="R7" i="18"/>
  <c r="T7" i="18"/>
  <c r="S7" i="18"/>
  <c r="AC5" i="21"/>
  <c r="T6" i="23"/>
  <c r="R6" i="23"/>
  <c r="Q6" i="23"/>
  <c r="P6" i="23"/>
  <c r="S6" i="23"/>
  <c r="AB5" i="23"/>
  <c r="AD5" i="23" s="1"/>
  <c r="AE5" i="20"/>
  <c r="AF5" i="20"/>
  <c r="Z5" i="19"/>
  <c r="AE5" i="21"/>
  <c r="AI5" i="21" s="1"/>
  <c r="T7" i="21"/>
  <c r="R7" i="21"/>
  <c r="Q7" i="21"/>
  <c r="S7" i="21"/>
  <c r="P7" i="21"/>
  <c r="O8" i="21"/>
  <c r="N9" i="21"/>
  <c r="AA6" i="21"/>
  <c r="AV5" i="23"/>
  <c r="V6" i="18"/>
  <c r="U6" i="18"/>
  <c r="W6" i="18" s="1"/>
  <c r="AA5" i="23"/>
  <c r="Y5" i="23"/>
  <c r="BQ5" i="23"/>
  <c r="BP5" i="23"/>
  <c r="AB6" i="21"/>
  <c r="AF6" i="21" s="1"/>
  <c r="AA6" i="18"/>
  <c r="X6" i="18"/>
  <c r="Y6" i="18"/>
  <c r="BM5" i="23"/>
  <c r="BO5" i="23" s="1"/>
  <c r="BN5" i="23"/>
  <c r="CI5" i="23"/>
  <c r="CK5" i="23" s="1"/>
  <c r="CJ5" i="23"/>
  <c r="CL5" i="23" s="1"/>
  <c r="Z5" i="18"/>
  <c r="AH5" i="18" s="1"/>
  <c r="Z5" i="21"/>
  <c r="Y5" i="21" s="1"/>
  <c r="AE6" i="21" l="1"/>
  <c r="AI6" i="21" s="1"/>
  <c r="AI5" i="20"/>
  <c r="CR5" i="23"/>
  <c r="AD6" i="20"/>
  <c r="AK6" i="20" s="1"/>
  <c r="AK5" i="18"/>
  <c r="CQ5" i="23"/>
  <c r="AD6" i="21"/>
  <c r="AC6" i="21"/>
  <c r="AH5" i="19"/>
  <c r="AL5" i="18"/>
  <c r="AH5" i="21"/>
  <c r="AM5" i="18"/>
  <c r="AG6" i="20"/>
  <c r="BQ6" i="23"/>
  <c r="N10" i="18"/>
  <c r="O9" i="18"/>
  <c r="AK9" i="23"/>
  <c r="AJ10" i="23"/>
  <c r="R8" i="19"/>
  <c r="Q8" i="19"/>
  <c r="T8" i="19"/>
  <c r="S8" i="19"/>
  <c r="P8" i="19"/>
  <c r="AG5" i="19"/>
  <c r="AM5" i="19"/>
  <c r="AK5" i="19"/>
  <c r="AL5" i="19"/>
  <c r="T8" i="18"/>
  <c r="S8" i="18"/>
  <c r="R8" i="18"/>
  <c r="Q8" i="18"/>
  <c r="P8" i="18"/>
  <c r="AC6" i="19"/>
  <c r="AR7" i="23"/>
  <c r="AT7" i="23" s="1"/>
  <c r="AQ7" i="23"/>
  <c r="AS7" i="23" s="1"/>
  <c r="AL5" i="21"/>
  <c r="AM5" i="21"/>
  <c r="AK5" i="21"/>
  <c r="AG5" i="21"/>
  <c r="N9" i="23"/>
  <c r="O8" i="23"/>
  <c r="AN8" i="23"/>
  <c r="AM8" i="23"/>
  <c r="AL8" i="23"/>
  <c r="AP8" i="23"/>
  <c r="AO8" i="23"/>
  <c r="AB7" i="18"/>
  <c r="AF7" i="18" s="1"/>
  <c r="U7" i="18"/>
  <c r="W7" i="18" s="1"/>
  <c r="V7" i="18"/>
  <c r="X7" i="18" s="1"/>
  <c r="BM6" i="23"/>
  <c r="BO6" i="23" s="1"/>
  <c r="BN6" i="23"/>
  <c r="BP6" i="23" s="1"/>
  <c r="AL5" i="20"/>
  <c r="AG5" i="20"/>
  <c r="AK5" i="20"/>
  <c r="AM5" i="20"/>
  <c r="AE6" i="19"/>
  <c r="AI6" i="19" s="1"/>
  <c r="U7" i="19"/>
  <c r="W7" i="19" s="1"/>
  <c r="V7" i="19"/>
  <c r="X7" i="19" s="1"/>
  <c r="AX7" i="23"/>
  <c r="BA7" i="23" s="1"/>
  <c r="R7" i="23"/>
  <c r="T7" i="23"/>
  <c r="S7" i="23"/>
  <c r="Q7" i="23"/>
  <c r="P7" i="23"/>
  <c r="O9" i="19"/>
  <c r="N10" i="19"/>
  <c r="Z5" i="23"/>
  <c r="AE5" i="23"/>
  <c r="AA7" i="18"/>
  <c r="Y7" i="18"/>
  <c r="V7" i="20"/>
  <c r="X7" i="20" s="1"/>
  <c r="U7" i="20"/>
  <c r="W7" i="20" s="1"/>
  <c r="AV6" i="23"/>
  <c r="AD6" i="19"/>
  <c r="Y7" i="19"/>
  <c r="AA7" i="19"/>
  <c r="BS5" i="23"/>
  <c r="BR5" i="23" s="1"/>
  <c r="AB7" i="20"/>
  <c r="AF7" i="20" s="1"/>
  <c r="V7" i="21"/>
  <c r="X7" i="21" s="1"/>
  <c r="U7" i="21"/>
  <c r="W7" i="21" s="1"/>
  <c r="S8" i="20"/>
  <c r="P8" i="20"/>
  <c r="T8" i="20"/>
  <c r="Q8" i="20"/>
  <c r="R8" i="20"/>
  <c r="CJ6" i="23"/>
  <c r="CL6" i="23" s="1"/>
  <c r="CI6" i="23"/>
  <c r="CK6" i="23" s="1"/>
  <c r="AB7" i="19"/>
  <c r="AF7" i="19" s="1"/>
  <c r="BU5" i="23"/>
  <c r="Z6" i="21"/>
  <c r="Y6" i="21" s="1"/>
  <c r="N10" i="21"/>
  <c r="O9" i="21"/>
  <c r="T8" i="21"/>
  <c r="R8" i="21"/>
  <c r="S8" i="21"/>
  <c r="Q8" i="21"/>
  <c r="P8" i="21"/>
  <c r="CN5" i="23"/>
  <c r="CM5" i="23" s="1"/>
  <c r="Z6" i="18"/>
  <c r="BF9" i="23"/>
  <c r="BG8" i="23"/>
  <c r="N10" i="20"/>
  <c r="O9" i="20"/>
  <c r="AE6" i="20"/>
  <c r="AF6" i="20"/>
  <c r="CP6" i="23"/>
  <c r="CS6" i="23" s="1"/>
  <c r="AA6" i="20"/>
  <c r="Z6" i="20" s="1"/>
  <c r="BV5" i="23"/>
  <c r="AC5" i="23"/>
  <c r="AC6" i="18"/>
  <c r="CO6" i="23"/>
  <c r="V6" i="23"/>
  <c r="X6" i="23" s="1"/>
  <c r="U6" i="23"/>
  <c r="W6" i="23" s="1"/>
  <c r="AA7" i="21"/>
  <c r="BH7" i="23"/>
  <c r="BL7" i="23"/>
  <c r="BJ7" i="23"/>
  <c r="BK7" i="23"/>
  <c r="BI7" i="23"/>
  <c r="Y7" i="20"/>
  <c r="AB7" i="21"/>
  <c r="AF7" i="21" s="1"/>
  <c r="Z6" i="19"/>
  <c r="CH7" i="23"/>
  <c r="CG7" i="23"/>
  <c r="CF7" i="23"/>
  <c r="CE7" i="23"/>
  <c r="CD7" i="23"/>
  <c r="AW7" i="23"/>
  <c r="AU7" i="23"/>
  <c r="BT6" i="23"/>
  <c r="BV6" i="23" s="1"/>
  <c r="AK6" i="21"/>
  <c r="AM6" i="21"/>
  <c r="AL6" i="21"/>
  <c r="AA6" i="23"/>
  <c r="Y6" i="23"/>
  <c r="AB6" i="23"/>
  <c r="AE6" i="23" s="1"/>
  <c r="AC6" i="23"/>
  <c r="AD6" i="18"/>
  <c r="AZ6" i="23"/>
  <c r="AE6" i="18"/>
  <c r="AI6" i="18" s="1"/>
  <c r="AY6" i="23"/>
  <c r="CB9" i="23"/>
  <c r="CC8" i="23"/>
  <c r="AH6" i="20" l="1"/>
  <c r="AG6" i="21"/>
  <c r="AC7" i="20"/>
  <c r="BU6" i="23"/>
  <c r="AE7" i="20"/>
  <c r="AE7" i="21"/>
  <c r="AI7" i="21" s="1"/>
  <c r="AE7" i="18"/>
  <c r="BW6" i="23"/>
  <c r="AM6" i="20"/>
  <c r="AC7" i="18"/>
  <c r="AL7" i="18" s="1"/>
  <c r="AC7" i="19"/>
  <c r="AG7" i="19" s="1"/>
  <c r="Z7" i="18"/>
  <c r="AD7" i="18"/>
  <c r="AN5" i="18"/>
  <c r="AN5" i="20"/>
  <c r="AH6" i="18"/>
  <c r="AD6" i="23"/>
  <c r="AY7" i="23"/>
  <c r="AE7" i="19"/>
  <c r="AI7" i="19" s="1"/>
  <c r="AD7" i="20"/>
  <c r="AI7" i="18"/>
  <c r="AL6" i="20"/>
  <c r="CN6" i="23"/>
  <c r="CM6" i="23" s="1"/>
  <c r="Z6" i="23"/>
  <c r="AH6" i="19"/>
  <c r="BS6" i="23"/>
  <c r="BR6" i="23" s="1"/>
  <c r="V7" i="23"/>
  <c r="X7" i="23" s="1"/>
  <c r="U7" i="23"/>
  <c r="BT7" i="23"/>
  <c r="BW7" i="23" s="1"/>
  <c r="BL8" i="23"/>
  <c r="BJ8" i="23"/>
  <c r="BI8" i="23"/>
  <c r="BH8" i="23"/>
  <c r="BK8" i="23"/>
  <c r="BF10" i="23"/>
  <c r="BG9" i="23"/>
  <c r="AA8" i="18"/>
  <c r="Y8" i="18"/>
  <c r="AG7" i="20"/>
  <c r="AX8" i="23"/>
  <c r="AY8" i="23" s="1"/>
  <c r="AB8" i="18"/>
  <c r="AF8" i="18" s="1"/>
  <c r="AK10" i="23"/>
  <c r="AJ11" i="23"/>
  <c r="AC7" i="21"/>
  <c r="AD7" i="19"/>
  <c r="AB7" i="23"/>
  <c r="AE7" i="23" s="1"/>
  <c r="AC7" i="23"/>
  <c r="AD7" i="23"/>
  <c r="T8" i="23"/>
  <c r="S8" i="23"/>
  <c r="Q8" i="23"/>
  <c r="P8" i="23"/>
  <c r="R8" i="23"/>
  <c r="AM9" i="23"/>
  <c r="AO9" i="23"/>
  <c r="AN9" i="23"/>
  <c r="AL9" i="23"/>
  <c r="AP9" i="23"/>
  <c r="CP7" i="23"/>
  <c r="CR7" i="23" s="1"/>
  <c r="AG6" i="18"/>
  <c r="AM6" i="18"/>
  <c r="AL6" i="18"/>
  <c r="AK6" i="18"/>
  <c r="AH6" i="21"/>
  <c r="O10" i="20"/>
  <c r="N11" i="20"/>
  <c r="Q9" i="18"/>
  <c r="T9" i="18"/>
  <c r="S9" i="18"/>
  <c r="R9" i="18"/>
  <c r="P9" i="18"/>
  <c r="AD7" i="21"/>
  <c r="AH7" i="21" s="1"/>
  <c r="Z7" i="21"/>
  <c r="Y7" i="21" s="1"/>
  <c r="CQ6" i="23"/>
  <c r="W8" i="21"/>
  <c r="AA8" i="21"/>
  <c r="AZ7" i="23"/>
  <c r="AN5" i="19"/>
  <c r="N11" i="18"/>
  <c r="O10" i="18"/>
  <c r="CO7" i="23"/>
  <c r="BN7" i="23"/>
  <c r="BP7" i="23" s="1"/>
  <c r="BM7" i="23"/>
  <c r="BO7" i="23" s="1"/>
  <c r="V8" i="21"/>
  <c r="X8" i="21" s="1"/>
  <c r="U8" i="21"/>
  <c r="O9" i="23"/>
  <c r="N10" i="23"/>
  <c r="CR6" i="23"/>
  <c r="BQ7" i="23"/>
  <c r="AU8" i="23"/>
  <c r="AW8" i="23"/>
  <c r="AB8" i="21"/>
  <c r="AF8" i="21" s="1"/>
  <c r="Z7" i="19"/>
  <c r="AB8" i="19"/>
  <c r="AF8" i="19" s="1"/>
  <c r="CF8" i="23"/>
  <c r="CE8" i="23"/>
  <c r="CD8" i="23"/>
  <c r="CH8" i="23"/>
  <c r="CG8" i="23"/>
  <c r="AV7" i="23"/>
  <c r="AB8" i="20"/>
  <c r="AF8" i="20" s="1"/>
  <c r="CC9" i="23"/>
  <c r="CB10" i="23"/>
  <c r="AA7" i="20"/>
  <c r="Z7" i="20" s="1"/>
  <c r="AH7" i="20" s="1"/>
  <c r="Y8" i="20"/>
  <c r="AN5" i="21"/>
  <c r="AN6" i="21"/>
  <c r="CJ7" i="23"/>
  <c r="CL7" i="23" s="1"/>
  <c r="CI7" i="23"/>
  <c r="CK7" i="23" s="1"/>
  <c r="AI6" i="20"/>
  <c r="S9" i="21"/>
  <c r="Q9" i="21"/>
  <c r="R9" i="21"/>
  <c r="P9" i="21"/>
  <c r="T9" i="21"/>
  <c r="O10" i="19"/>
  <c r="N11" i="19"/>
  <c r="V8" i="19"/>
  <c r="X8" i="19" s="1"/>
  <c r="U8" i="19"/>
  <c r="W8" i="19" s="1"/>
  <c r="T9" i="20"/>
  <c r="Q9" i="20"/>
  <c r="S9" i="20"/>
  <c r="R9" i="20"/>
  <c r="P9" i="20"/>
  <c r="N11" i="21"/>
  <c r="O10" i="21"/>
  <c r="V8" i="20"/>
  <c r="X8" i="20" s="1"/>
  <c r="U8" i="20"/>
  <c r="W8" i="20" s="1"/>
  <c r="P9" i="19"/>
  <c r="T9" i="19"/>
  <c r="R9" i="19"/>
  <c r="S9" i="19"/>
  <c r="Q9" i="19"/>
  <c r="AG6" i="19"/>
  <c r="AL6" i="19"/>
  <c r="AK6" i="19"/>
  <c r="AM6" i="19"/>
  <c r="Y7" i="23"/>
  <c r="AA7" i="23"/>
  <c r="W7" i="23"/>
  <c r="AQ8" i="23"/>
  <c r="AS8" i="23" s="1"/>
  <c r="AR8" i="23"/>
  <c r="AT8" i="23" s="1"/>
  <c r="V8" i="18"/>
  <c r="X8" i="18" s="1"/>
  <c r="U8" i="18"/>
  <c r="W8" i="18" s="1"/>
  <c r="AA8" i="19"/>
  <c r="Y8" i="19"/>
  <c r="AN6" i="20" l="1"/>
  <c r="AK7" i="20"/>
  <c r="AM7" i="18"/>
  <c r="AK7" i="18"/>
  <c r="AG7" i="18"/>
  <c r="AE8" i="18"/>
  <c r="AH7" i="18"/>
  <c r="AC8" i="18"/>
  <c r="AC8" i="19"/>
  <c r="AG8" i="19" s="1"/>
  <c r="AD8" i="18"/>
  <c r="BA8" i="23"/>
  <c r="AM7" i="20"/>
  <c r="AL7" i="20"/>
  <c r="AH7" i="19"/>
  <c r="AN6" i="18"/>
  <c r="BU7" i="23"/>
  <c r="AC8" i="20"/>
  <c r="AK8" i="20" s="1"/>
  <c r="AD8" i="20"/>
  <c r="AZ8" i="23"/>
  <c r="AD8" i="21"/>
  <c r="AN7" i="18"/>
  <c r="AV8" i="23"/>
  <c r="CQ7" i="23"/>
  <c r="Z7" i="23"/>
  <c r="AB9" i="21"/>
  <c r="AF9" i="21" s="1"/>
  <c r="BG10" i="23"/>
  <c r="BF11" i="23"/>
  <c r="AN6" i="19"/>
  <c r="U9" i="20"/>
  <c r="W9" i="20" s="1"/>
  <c r="V9" i="20"/>
  <c r="X9" i="20" s="1"/>
  <c r="AA9" i="21"/>
  <c r="CH9" i="23"/>
  <c r="CG9" i="23"/>
  <c r="CE9" i="23"/>
  <c r="CF9" i="23"/>
  <c r="CD9" i="23"/>
  <c r="AE8" i="19"/>
  <c r="AI8" i="19" s="1"/>
  <c r="O10" i="23"/>
  <c r="N11" i="23"/>
  <c r="Y9" i="18"/>
  <c r="AA9" i="18"/>
  <c r="AD8" i="19"/>
  <c r="T9" i="23"/>
  <c r="Q9" i="23"/>
  <c r="S9" i="23"/>
  <c r="R9" i="23"/>
  <c r="P9" i="23"/>
  <c r="N12" i="20"/>
  <c r="O11" i="20"/>
  <c r="AQ9" i="23"/>
  <c r="AS9" i="23" s="1"/>
  <c r="AR9" i="23"/>
  <c r="AT9" i="23" s="1"/>
  <c r="BN8" i="23"/>
  <c r="BP8" i="23" s="1"/>
  <c r="BM8" i="23"/>
  <c r="BO8" i="23" s="1"/>
  <c r="AI7" i="20"/>
  <c r="AX9" i="23"/>
  <c r="BA9" i="23" s="1"/>
  <c r="BQ8" i="23"/>
  <c r="CP8" i="23"/>
  <c r="CR8" i="23" s="1"/>
  <c r="AA9" i="19"/>
  <c r="Y9" i="19"/>
  <c r="Y9" i="20"/>
  <c r="AE8" i="20"/>
  <c r="AM7" i="19"/>
  <c r="AK7" i="21"/>
  <c r="AG7" i="21"/>
  <c r="AM7" i="21"/>
  <c r="AL7" i="21"/>
  <c r="BT8" i="23"/>
  <c r="BV8" i="23" s="1"/>
  <c r="BK9" i="23"/>
  <c r="BJ9" i="23"/>
  <c r="BI9" i="23"/>
  <c r="BH9" i="23"/>
  <c r="BL9" i="23"/>
  <c r="N12" i="18"/>
  <c r="O11" i="18"/>
  <c r="AW9" i="23"/>
  <c r="AU9" i="23"/>
  <c r="AJ12" i="23"/>
  <c r="AK11" i="23"/>
  <c r="AB9" i="19"/>
  <c r="AF9" i="19" s="1"/>
  <c r="AC9" i="19"/>
  <c r="AB8" i="23"/>
  <c r="AE8" i="23" s="1"/>
  <c r="AM10" i="23"/>
  <c r="AP10" i="23"/>
  <c r="AO10" i="23"/>
  <c r="AN10" i="23"/>
  <c r="AL10" i="23"/>
  <c r="BS7" i="23"/>
  <c r="BR7" i="23" s="1"/>
  <c r="AL7" i="19"/>
  <c r="V8" i="23"/>
  <c r="X8" i="23" s="1"/>
  <c r="U8" i="23"/>
  <c r="W8" i="23" s="1"/>
  <c r="AI8" i="18"/>
  <c r="BV7" i="23"/>
  <c r="AA8" i="20"/>
  <c r="Z8" i="20" s="1"/>
  <c r="AH8" i="20" s="1"/>
  <c r="Y8" i="23"/>
  <c r="AA8" i="23"/>
  <c r="AM8" i="18"/>
  <c r="AG8" i="18"/>
  <c r="Z8" i="18"/>
  <c r="V9" i="21"/>
  <c r="X9" i="21" s="1"/>
  <c r="U9" i="21"/>
  <c r="W9" i="21" s="1"/>
  <c r="N12" i="21"/>
  <c r="O11" i="21"/>
  <c r="CB11" i="23"/>
  <c r="CC10" i="23"/>
  <c r="AB9" i="20"/>
  <c r="AF9" i="20" s="1"/>
  <c r="Z8" i="21"/>
  <c r="Y8" i="21" s="1"/>
  <c r="AK7" i="19"/>
  <c r="Q10" i="19"/>
  <c r="T10" i="19"/>
  <c r="S10" i="19"/>
  <c r="R10" i="19"/>
  <c r="P10" i="19"/>
  <c r="CJ8" i="23"/>
  <c r="CL8" i="23" s="1"/>
  <c r="CI8" i="23"/>
  <c r="AC8" i="21"/>
  <c r="CN7" i="23"/>
  <c r="CM7" i="23" s="1"/>
  <c r="V9" i="18"/>
  <c r="X9" i="18" s="1"/>
  <c r="U9" i="18"/>
  <c r="W9" i="18" s="1"/>
  <c r="CS7" i="23"/>
  <c r="T10" i="21"/>
  <c r="R10" i="21"/>
  <c r="P10" i="21"/>
  <c r="S10" i="21"/>
  <c r="Q10" i="21"/>
  <c r="S10" i="18"/>
  <c r="R10" i="18"/>
  <c r="Q10" i="18"/>
  <c r="P10" i="18"/>
  <c r="T10" i="18"/>
  <c r="Z8" i="19"/>
  <c r="S10" i="20"/>
  <c r="R10" i="20"/>
  <c r="P10" i="20"/>
  <c r="T10" i="20"/>
  <c r="Q10" i="20"/>
  <c r="V9" i="19"/>
  <c r="X9" i="19" s="1"/>
  <c r="U9" i="19"/>
  <c r="W9" i="19" s="1"/>
  <c r="O11" i="19"/>
  <c r="N12" i="19"/>
  <c r="CO8" i="23"/>
  <c r="CK8" i="23"/>
  <c r="AE8" i="21"/>
  <c r="AI8" i="21" s="1"/>
  <c r="AB9" i="18"/>
  <c r="AF9" i="18" s="1"/>
  <c r="AC9" i="18"/>
  <c r="AL8" i="18" l="1"/>
  <c r="AK8" i="19"/>
  <c r="AH8" i="18"/>
  <c r="AK8" i="18"/>
  <c r="AN7" i="20"/>
  <c r="AG8" i="20"/>
  <c r="AE9" i="18"/>
  <c r="AI9" i="18" s="1"/>
  <c r="BB8" i="23"/>
  <c r="AD9" i="18"/>
  <c r="AL9" i="18" s="1"/>
  <c r="AC8" i="23"/>
  <c r="AD8" i="23"/>
  <c r="AE9" i="19"/>
  <c r="AI9" i="19" s="1"/>
  <c r="Z9" i="18"/>
  <c r="Z8" i="23"/>
  <c r="AN7" i="21"/>
  <c r="AY9" i="23"/>
  <c r="AI8" i="20"/>
  <c r="AJ8" i="20" s="1"/>
  <c r="AZ9" i="23"/>
  <c r="AH8" i="21"/>
  <c r="AC9" i="20"/>
  <c r="AG9" i="20" s="1"/>
  <c r="AE9" i="20"/>
  <c r="AH8" i="19"/>
  <c r="AJ8" i="19" s="1"/>
  <c r="AD9" i="20"/>
  <c r="BU8" i="23"/>
  <c r="AG9" i="18"/>
  <c r="V10" i="20"/>
  <c r="X10" i="20" s="1"/>
  <c r="U10" i="20"/>
  <c r="BT9" i="23"/>
  <c r="BV9" i="23" s="1"/>
  <c r="N13" i="21"/>
  <c r="O12" i="21"/>
  <c r="AV9" i="23"/>
  <c r="AA9" i="20"/>
  <c r="Z9" i="20" s="1"/>
  <c r="U9" i="23"/>
  <c r="W9" i="23" s="1"/>
  <c r="V9" i="23"/>
  <c r="X9" i="23" s="1"/>
  <c r="Z9" i="21"/>
  <c r="Y9" i="21" s="1"/>
  <c r="Y10" i="19"/>
  <c r="AA10" i="19"/>
  <c r="P11" i="18"/>
  <c r="R11" i="18"/>
  <c r="Q11" i="18"/>
  <c r="T11" i="18"/>
  <c r="S11" i="18"/>
  <c r="AB9" i="23"/>
  <c r="AD9" i="23" s="1"/>
  <c r="AH9" i="18"/>
  <c r="AJ9" i="18" s="1"/>
  <c r="AB10" i="19"/>
  <c r="AF10" i="19" s="1"/>
  <c r="AU10" i="23"/>
  <c r="AW10" i="23"/>
  <c r="AB10" i="20"/>
  <c r="AD10" i="20" s="1"/>
  <c r="O12" i="20"/>
  <c r="N13" i="20"/>
  <c r="N13" i="18"/>
  <c r="O12" i="18"/>
  <c r="BW8" i="23"/>
  <c r="N12" i="23"/>
  <c r="O11" i="23"/>
  <c r="U10" i="21"/>
  <c r="V10" i="21"/>
  <c r="X10" i="21" s="1"/>
  <c r="AB10" i="21"/>
  <c r="AF10" i="21" s="1"/>
  <c r="CN8" i="23"/>
  <c r="CM8" i="23" s="1"/>
  <c r="AJ8" i="18"/>
  <c r="AD9" i="19"/>
  <c r="AK9" i="19" s="1"/>
  <c r="AM8" i="19"/>
  <c r="Z9" i="19"/>
  <c r="AA9" i="23"/>
  <c r="Y9" i="23"/>
  <c r="S10" i="23"/>
  <c r="R10" i="23"/>
  <c r="T10" i="23"/>
  <c r="P10" i="23"/>
  <c r="Q10" i="23"/>
  <c r="AN7" i="19"/>
  <c r="AG9" i="19"/>
  <c r="T11" i="19"/>
  <c r="S11" i="19"/>
  <c r="P11" i="19"/>
  <c r="R11" i="19"/>
  <c r="Q11" i="19"/>
  <c r="AA10" i="21"/>
  <c r="W10" i="21"/>
  <c r="AK12" i="23"/>
  <c r="AJ13" i="23"/>
  <c r="N13" i="19"/>
  <c r="O12" i="19"/>
  <c r="BF12" i="23"/>
  <c r="BG11" i="23"/>
  <c r="U10" i="18"/>
  <c r="W10" i="18" s="1"/>
  <c r="V10" i="18"/>
  <c r="X10" i="18" s="1"/>
  <c r="AA10" i="18"/>
  <c r="Y10" i="18"/>
  <c r="AN8" i="18"/>
  <c r="AL8" i="19"/>
  <c r="CJ9" i="23"/>
  <c r="CL9" i="23" s="1"/>
  <c r="CI9" i="23"/>
  <c r="CK9" i="23" s="1"/>
  <c r="BL10" i="23"/>
  <c r="BK10" i="23"/>
  <c r="BI10" i="23"/>
  <c r="BJ10" i="23"/>
  <c r="BH10" i="23"/>
  <c r="AB10" i="18"/>
  <c r="AF10" i="18" s="1"/>
  <c r="AG8" i="21"/>
  <c r="AJ8" i="21" s="1"/>
  <c r="AK8" i="21"/>
  <c r="AM8" i="21"/>
  <c r="AL8" i="21"/>
  <c r="AR10" i="23"/>
  <c r="AT10" i="23" s="1"/>
  <c r="AQ10" i="23"/>
  <c r="AS10" i="23" s="1"/>
  <c r="CQ8" i="23"/>
  <c r="CP9" i="23"/>
  <c r="CR9" i="23" s="1"/>
  <c r="AD9" i="21"/>
  <c r="AX10" i="23"/>
  <c r="AN11" i="23"/>
  <c r="AM11" i="23"/>
  <c r="AP11" i="23"/>
  <c r="AO11" i="23"/>
  <c r="AL11" i="23"/>
  <c r="CO9" i="23"/>
  <c r="AE9" i="21"/>
  <c r="AI9" i="21" s="1"/>
  <c r="BM9" i="23"/>
  <c r="BO9" i="23" s="1"/>
  <c r="BN9" i="23"/>
  <c r="BP9" i="23" s="1"/>
  <c r="CS8" i="23"/>
  <c r="AM8" i="20"/>
  <c r="AC9" i="21"/>
  <c r="W10" i="20"/>
  <c r="Y10" i="20"/>
  <c r="V10" i="19"/>
  <c r="X10" i="19" s="1"/>
  <c r="U10" i="19"/>
  <c r="W10" i="19" s="1"/>
  <c r="CB12" i="23"/>
  <c r="CC11" i="23"/>
  <c r="BQ9" i="23"/>
  <c r="BS8" i="23"/>
  <c r="BR8" i="23" s="1"/>
  <c r="AL8" i="20"/>
  <c r="CH10" i="23"/>
  <c r="CG10" i="23"/>
  <c r="CF10" i="23"/>
  <c r="CE10" i="23"/>
  <c r="CD10" i="23"/>
  <c r="S11" i="21"/>
  <c r="R11" i="21"/>
  <c r="P11" i="21"/>
  <c r="T11" i="21"/>
  <c r="Q11" i="21"/>
  <c r="S11" i="20"/>
  <c r="P11" i="20"/>
  <c r="T11" i="20"/>
  <c r="R11" i="20"/>
  <c r="Q11" i="20"/>
  <c r="AH9" i="20" l="1"/>
  <c r="BW9" i="23"/>
  <c r="AK9" i="18"/>
  <c r="AM9" i="18"/>
  <c r="AN8" i="21"/>
  <c r="AC10" i="19"/>
  <c r="AG10" i="19" s="1"/>
  <c r="BB9" i="23"/>
  <c r="AF8" i="23"/>
  <c r="AH9" i="21"/>
  <c r="BX8" i="23"/>
  <c r="AM9" i="20"/>
  <c r="AL9" i="20"/>
  <c r="AN9" i="20" s="1"/>
  <c r="AD10" i="19"/>
  <c r="AK9" i="20"/>
  <c r="CT8" i="23"/>
  <c r="AE9" i="23"/>
  <c r="AC9" i="23"/>
  <c r="CQ9" i="23"/>
  <c r="CT9" i="23" s="1"/>
  <c r="Z10" i="21"/>
  <c r="Y10" i="21" s="1"/>
  <c r="AD10" i="21"/>
  <c r="AL9" i="19"/>
  <c r="AN8" i="19"/>
  <c r="AM9" i="19"/>
  <c r="AA10" i="20"/>
  <c r="AN8" i="20"/>
  <c r="AC10" i="18"/>
  <c r="AG10" i="18" s="1"/>
  <c r="BA10" i="23"/>
  <c r="T12" i="18"/>
  <c r="P12" i="18"/>
  <c r="S12" i="18"/>
  <c r="R12" i="18"/>
  <c r="Q12" i="18"/>
  <c r="AK10" i="19"/>
  <c r="AB11" i="18"/>
  <c r="AF11" i="18" s="1"/>
  <c r="N14" i="21"/>
  <c r="O13" i="21"/>
  <c r="CJ10" i="23"/>
  <c r="CL10" i="23" s="1"/>
  <c r="CI10" i="23"/>
  <c r="CK10" i="23" s="1"/>
  <c r="CB13" i="23"/>
  <c r="CC12" i="23"/>
  <c r="BF13" i="23"/>
  <c r="BG12" i="23"/>
  <c r="O13" i="18"/>
  <c r="N14" i="18"/>
  <c r="AE10" i="19"/>
  <c r="AI10" i="19" s="1"/>
  <c r="V11" i="18"/>
  <c r="U11" i="18"/>
  <c r="W11" i="18" s="1"/>
  <c r="CO10" i="23"/>
  <c r="Y11" i="20"/>
  <c r="CP10" i="23"/>
  <c r="CQ10" i="23" s="1"/>
  <c r="AE10" i="18"/>
  <c r="AI10" i="18" s="1"/>
  <c r="N14" i="19"/>
  <c r="O13" i="19"/>
  <c r="AC10" i="21"/>
  <c r="O13" i="20"/>
  <c r="N14" i="20"/>
  <c r="Z10" i="19"/>
  <c r="AH10" i="19" s="1"/>
  <c r="BU9" i="23"/>
  <c r="T12" i="19"/>
  <c r="R12" i="19"/>
  <c r="Q12" i="19"/>
  <c r="S12" i="19"/>
  <c r="P12" i="19"/>
  <c r="AB11" i="20"/>
  <c r="AF11" i="20" s="1"/>
  <c r="Z10" i="20"/>
  <c r="AH10" i="20" s="1"/>
  <c r="CN9" i="23"/>
  <c r="CM9" i="23" s="1"/>
  <c r="CS9" i="23"/>
  <c r="AD10" i="18"/>
  <c r="AI9" i="20"/>
  <c r="AJ9" i="20" s="1"/>
  <c r="AK13" i="23"/>
  <c r="AJ14" i="23"/>
  <c r="AE10" i="21"/>
  <c r="AI10" i="21" s="1"/>
  <c r="Q12" i="20"/>
  <c r="S12" i="20"/>
  <c r="R12" i="20"/>
  <c r="T12" i="20"/>
  <c r="P12" i="20"/>
  <c r="CH11" i="23"/>
  <c r="CG11" i="23"/>
  <c r="CF11" i="23"/>
  <c r="CE11" i="23"/>
  <c r="CD11" i="23"/>
  <c r="AB10" i="23"/>
  <c r="AE10" i="23" s="1"/>
  <c r="AM12" i="23"/>
  <c r="AP12" i="23"/>
  <c r="AO12" i="23"/>
  <c r="AN12" i="23"/>
  <c r="AL12" i="23"/>
  <c r="AC10" i="20"/>
  <c r="BL11" i="23"/>
  <c r="BJ11" i="23"/>
  <c r="BI11" i="23"/>
  <c r="BH11" i="23"/>
  <c r="BK11" i="23"/>
  <c r="AQ11" i="23"/>
  <c r="AS11" i="23" s="1"/>
  <c r="AR11" i="23"/>
  <c r="AT11" i="23" s="1"/>
  <c r="Z10" i="18"/>
  <c r="Z9" i="23"/>
  <c r="U11" i="20"/>
  <c r="W11" i="20" s="1"/>
  <c r="V11" i="20"/>
  <c r="X11" i="20" s="1"/>
  <c r="BN10" i="23"/>
  <c r="BP10" i="23" s="1"/>
  <c r="BM10" i="23"/>
  <c r="BO10" i="23" s="1"/>
  <c r="AE10" i="20"/>
  <c r="AI10" i="20" s="1"/>
  <c r="AF10" i="20"/>
  <c r="AA11" i="21"/>
  <c r="AU11" i="23"/>
  <c r="AW11" i="23"/>
  <c r="BQ10" i="23"/>
  <c r="S11" i="23"/>
  <c r="Q11" i="23"/>
  <c r="P11" i="23"/>
  <c r="R11" i="23"/>
  <c r="T11" i="23"/>
  <c r="AX11" i="23"/>
  <c r="BA11" i="23"/>
  <c r="AZ11" i="23"/>
  <c r="AY11" i="23"/>
  <c r="Y11" i="19"/>
  <c r="AA11" i="19"/>
  <c r="O12" i="23"/>
  <c r="N13" i="23"/>
  <c r="BS9" i="23"/>
  <c r="BR9" i="23" s="1"/>
  <c r="V10" i="23"/>
  <c r="X10" i="23" s="1"/>
  <c r="U10" i="23"/>
  <c r="W10" i="23" s="1"/>
  <c r="AG9" i="21"/>
  <c r="AJ9" i="21" s="1"/>
  <c r="AM9" i="21"/>
  <c r="AK9" i="21"/>
  <c r="AL9" i="21"/>
  <c r="BT10" i="23"/>
  <c r="BV10" i="23" s="1"/>
  <c r="U11" i="21"/>
  <c r="W11" i="21" s="1"/>
  <c r="V11" i="21"/>
  <c r="X11" i="21" s="1"/>
  <c r="AZ10" i="23"/>
  <c r="AB11" i="19"/>
  <c r="AF11" i="19" s="1"/>
  <c r="AV10" i="23"/>
  <c r="AN9" i="18"/>
  <c r="AB11" i="21"/>
  <c r="AF11" i="21" s="1"/>
  <c r="AY10" i="23"/>
  <c r="V11" i="19"/>
  <c r="X11" i="19" s="1"/>
  <c r="U11" i="19"/>
  <c r="W11" i="19" s="1"/>
  <c r="AA10" i="23"/>
  <c r="Y10" i="23"/>
  <c r="AH9" i="19"/>
  <c r="AJ9" i="19" s="1"/>
  <c r="AA11" i="18"/>
  <c r="Y11" i="18"/>
  <c r="X11" i="18"/>
  <c r="R12" i="21"/>
  <c r="Q12" i="21"/>
  <c r="S12" i="21"/>
  <c r="T12" i="21"/>
  <c r="P12" i="21"/>
  <c r="AJ10" i="19" l="1"/>
  <c r="AF9" i="23"/>
  <c r="AA11" i="20"/>
  <c r="Z11" i="20" s="1"/>
  <c r="BU10" i="23"/>
  <c r="BS10" i="23"/>
  <c r="BR10" i="23" s="1"/>
  <c r="AE11" i="21"/>
  <c r="AD11" i="19"/>
  <c r="AH10" i="18"/>
  <c r="AJ10" i="18" s="1"/>
  <c r="BX9" i="23"/>
  <c r="AD11" i="21"/>
  <c r="AC11" i="18"/>
  <c r="AD11" i="20"/>
  <c r="AH11" i="20" s="1"/>
  <c r="AL10" i="19"/>
  <c r="Z10" i="23"/>
  <c r="BB10" i="23"/>
  <c r="AN9" i="19"/>
  <c r="AH10" i="21"/>
  <c r="V12" i="21"/>
  <c r="X12" i="21" s="1"/>
  <c r="U12" i="21"/>
  <c r="W12" i="21" s="1"/>
  <c r="AK10" i="20"/>
  <c r="AM10" i="20"/>
  <c r="AL10" i="20"/>
  <c r="AG10" i="20"/>
  <c r="AJ10" i="20" s="1"/>
  <c r="AX12" i="23"/>
  <c r="AZ12" i="23" s="1"/>
  <c r="CI11" i="23"/>
  <c r="CK11" i="23" s="1"/>
  <c r="CJ11" i="23"/>
  <c r="CL11" i="23" s="1"/>
  <c r="AP13" i="23"/>
  <c r="AL13" i="23"/>
  <c r="AO13" i="23"/>
  <c r="AN13" i="23"/>
  <c r="AM13" i="23"/>
  <c r="U12" i="19"/>
  <c r="W12" i="19" s="1"/>
  <c r="V12" i="19"/>
  <c r="X12" i="19" s="1"/>
  <c r="N15" i="20"/>
  <c r="O14" i="20"/>
  <c r="CN10" i="23"/>
  <c r="CM10" i="23" s="1"/>
  <c r="CE12" i="23"/>
  <c r="CD12" i="23"/>
  <c r="CG12" i="23"/>
  <c r="CF12" i="23"/>
  <c r="CH12" i="23"/>
  <c r="AC11" i="21"/>
  <c r="CO11" i="23"/>
  <c r="R13" i="20"/>
  <c r="Q13" i="20"/>
  <c r="T13" i="20"/>
  <c r="S13" i="20"/>
  <c r="P13" i="20"/>
  <c r="CB14" i="23"/>
  <c r="CC13" i="23"/>
  <c r="AQ12" i="23"/>
  <c r="AS12" i="23" s="1"/>
  <c r="AR12" i="23"/>
  <c r="AT12" i="23" s="1"/>
  <c r="AB12" i="21"/>
  <c r="AF12" i="21" s="1"/>
  <c r="AI11" i="21"/>
  <c r="BW10" i="23"/>
  <c r="BX10" i="23" s="1"/>
  <c r="CP11" i="23"/>
  <c r="CR11" i="23" s="1"/>
  <c r="Y12" i="19"/>
  <c r="AA12" i="19"/>
  <c r="AG10" i="21"/>
  <c r="AJ10" i="21" s="1"/>
  <c r="AL10" i="21"/>
  <c r="AK10" i="21"/>
  <c r="AM10" i="21"/>
  <c r="AA12" i="18"/>
  <c r="Y12" i="18"/>
  <c r="S13" i="19"/>
  <c r="R13" i="19"/>
  <c r="P13" i="19"/>
  <c r="T13" i="19"/>
  <c r="Q13" i="19"/>
  <c r="AB12" i="18"/>
  <c r="AF12" i="18" s="1"/>
  <c r="AB11" i="23"/>
  <c r="AC11" i="23" s="1"/>
  <c r="Z11" i="21"/>
  <c r="Y11" i="21" s="1"/>
  <c r="AU12" i="23"/>
  <c r="AW12" i="23"/>
  <c r="AB12" i="19"/>
  <c r="AF12" i="19" s="1"/>
  <c r="AE12" i="19"/>
  <c r="Z11" i="18"/>
  <c r="R12" i="23"/>
  <c r="S12" i="23"/>
  <c r="Q12" i="23"/>
  <c r="P12" i="23"/>
  <c r="T12" i="23"/>
  <c r="V11" i="23"/>
  <c r="X11" i="23" s="1"/>
  <c r="U11" i="23"/>
  <c r="W11" i="23" s="1"/>
  <c r="N15" i="19"/>
  <c r="O14" i="19"/>
  <c r="Q13" i="21"/>
  <c r="P13" i="21"/>
  <c r="S13" i="21"/>
  <c r="R13" i="21"/>
  <c r="T13" i="21"/>
  <c r="AV11" i="23"/>
  <c r="BB11" i="23" s="1"/>
  <c r="AK14" i="23"/>
  <c r="AJ15" i="23"/>
  <c r="N14" i="23"/>
  <c r="O13" i="23"/>
  <c r="AA11" i="23"/>
  <c r="Y11" i="23"/>
  <c r="AA12" i="21"/>
  <c r="BN11" i="23"/>
  <c r="BP11" i="23" s="1"/>
  <c r="BM11" i="23"/>
  <c r="BO11" i="23" s="1"/>
  <c r="V12" i="20"/>
  <c r="X12" i="20" s="1"/>
  <c r="U12" i="20"/>
  <c r="W12" i="20" s="1"/>
  <c r="AM10" i="18"/>
  <c r="N15" i="21"/>
  <c r="O14" i="21"/>
  <c r="V12" i="18"/>
  <c r="X12" i="18" s="1"/>
  <c r="U12" i="18"/>
  <c r="W12" i="18" s="1"/>
  <c r="AN9" i="21"/>
  <c r="Z11" i="19"/>
  <c r="AH11" i="19" s="1"/>
  <c r="BQ11" i="23"/>
  <c r="AL10" i="18"/>
  <c r="CR10" i="23"/>
  <c r="N15" i="18"/>
  <c r="O14" i="18"/>
  <c r="AE11" i="18"/>
  <c r="AI11" i="18" s="1"/>
  <c r="AE11" i="19"/>
  <c r="AI11" i="19" s="1"/>
  <c r="BT11" i="23"/>
  <c r="AD10" i="23"/>
  <c r="AB12" i="20"/>
  <c r="AD12" i="20" s="1"/>
  <c r="AC11" i="20"/>
  <c r="AK10" i="18"/>
  <c r="S13" i="18"/>
  <c r="T13" i="18"/>
  <c r="R13" i="18"/>
  <c r="Q13" i="18"/>
  <c r="P13" i="18"/>
  <c r="AD11" i="18"/>
  <c r="AH11" i="18" s="1"/>
  <c r="AG11" i="18"/>
  <c r="CS10" i="23"/>
  <c r="AC11" i="19"/>
  <c r="AC10" i="23"/>
  <c r="Y12" i="20"/>
  <c r="AE11" i="20"/>
  <c r="AI11" i="20" s="1"/>
  <c r="BG13" i="23"/>
  <c r="BF14" i="23"/>
  <c r="BK12" i="23"/>
  <c r="BJ12" i="23"/>
  <c r="BI12" i="23"/>
  <c r="BH12" i="23"/>
  <c r="BL12" i="23"/>
  <c r="AM10" i="19"/>
  <c r="AV12" i="23" l="1"/>
  <c r="AN10" i="18"/>
  <c r="AN10" i="19"/>
  <c r="CT10" i="23"/>
  <c r="AC12" i="20"/>
  <c r="AG12" i="20" s="1"/>
  <c r="AF10" i="23"/>
  <c r="AC12" i="21"/>
  <c r="AN10" i="21"/>
  <c r="AJ11" i="18"/>
  <c r="AD12" i="19"/>
  <c r="CQ11" i="23"/>
  <c r="AY12" i="23"/>
  <c r="Z11" i="23"/>
  <c r="AC12" i="19"/>
  <c r="CS11" i="23"/>
  <c r="AA12" i="20"/>
  <c r="Z12" i="20" s="1"/>
  <c r="AH12" i="20" s="1"/>
  <c r="AH11" i="21"/>
  <c r="Z12" i="19"/>
  <c r="BM12" i="23"/>
  <c r="BO12" i="23" s="1"/>
  <c r="BN12" i="23"/>
  <c r="AG11" i="19"/>
  <c r="AJ11" i="19" s="1"/>
  <c r="AM11" i="19"/>
  <c r="AK11" i="19"/>
  <c r="AL11" i="19"/>
  <c r="S14" i="21"/>
  <c r="R14" i="21"/>
  <c r="P14" i="21"/>
  <c r="T14" i="21"/>
  <c r="Q14" i="21"/>
  <c r="AB13" i="21"/>
  <c r="AF13" i="21" s="1"/>
  <c r="AB12" i="23"/>
  <c r="AD12" i="23" s="1"/>
  <c r="AD11" i="23"/>
  <c r="AG11" i="21"/>
  <c r="AJ11" i="21" s="1"/>
  <c r="AM11" i="21"/>
  <c r="AL11" i="21"/>
  <c r="AK11" i="21"/>
  <c r="AX13" i="23"/>
  <c r="AY13" i="23" s="1"/>
  <c r="Z12" i="21"/>
  <c r="Y12" i="21" s="1"/>
  <c r="AB13" i="19"/>
  <c r="AF13" i="19" s="1"/>
  <c r="AD13" i="19"/>
  <c r="AE13" i="19"/>
  <c r="AW13" i="23"/>
  <c r="AU13" i="23"/>
  <c r="BQ12" i="23"/>
  <c r="BP12" i="23"/>
  <c r="T14" i="18"/>
  <c r="Q14" i="18"/>
  <c r="S14" i="18"/>
  <c r="R14" i="18"/>
  <c r="P14" i="18"/>
  <c r="O15" i="21"/>
  <c r="N16" i="21"/>
  <c r="AN10" i="20"/>
  <c r="AG11" i="20"/>
  <c r="AJ11" i="20" s="1"/>
  <c r="AL11" i="20"/>
  <c r="AK11" i="20"/>
  <c r="AM11" i="20"/>
  <c r="N16" i="18"/>
  <c r="O15" i="18"/>
  <c r="V13" i="21"/>
  <c r="X13" i="21" s="1"/>
  <c r="U13" i="21"/>
  <c r="AE11" i="23"/>
  <c r="CH13" i="23"/>
  <c r="CG13" i="23"/>
  <c r="CF13" i="23"/>
  <c r="CD13" i="23"/>
  <c r="CE13" i="23"/>
  <c r="CP12" i="23"/>
  <c r="CQ12" i="23" s="1"/>
  <c r="AQ13" i="23"/>
  <c r="AS13" i="23" s="1"/>
  <c r="AR13" i="23"/>
  <c r="AT13" i="23" s="1"/>
  <c r="BT12" i="23"/>
  <c r="BV12" i="23" s="1"/>
  <c r="AL11" i="18"/>
  <c r="AA13" i="21"/>
  <c r="W13" i="21"/>
  <c r="AI12" i="19"/>
  <c r="CB15" i="23"/>
  <c r="CC14" i="23"/>
  <c r="AB13" i="18"/>
  <c r="AF13" i="18" s="1"/>
  <c r="AE13" i="18"/>
  <c r="AC12" i="18"/>
  <c r="U13" i="20"/>
  <c r="W13" i="20" s="1"/>
  <c r="V13" i="20"/>
  <c r="X13" i="20" s="1"/>
  <c r="BF15" i="23"/>
  <c r="BG14" i="23"/>
  <c r="AE12" i="20"/>
  <c r="AL12" i="20" s="1"/>
  <c r="AF12" i="20"/>
  <c r="BS11" i="23"/>
  <c r="BR11" i="23" s="1"/>
  <c r="T13" i="23"/>
  <c r="S13" i="23"/>
  <c r="Q13" i="23"/>
  <c r="P13" i="23"/>
  <c r="R13" i="23"/>
  <c r="O15" i="19"/>
  <c r="N16" i="19"/>
  <c r="AD12" i="18"/>
  <c r="Z12" i="18"/>
  <c r="AK11" i="18"/>
  <c r="AK12" i="20"/>
  <c r="Q14" i="19"/>
  <c r="P14" i="19"/>
  <c r="S14" i="19"/>
  <c r="R14" i="19"/>
  <c r="T14" i="19"/>
  <c r="CJ12" i="23"/>
  <c r="CL12" i="23" s="1"/>
  <c r="CI12" i="23"/>
  <c r="CK12" i="23" s="1"/>
  <c r="AM11" i="18"/>
  <c r="AG12" i="19"/>
  <c r="CO12" i="23"/>
  <c r="BL13" i="23"/>
  <c r="BK13" i="23"/>
  <c r="BI13" i="23"/>
  <c r="BJ13" i="23"/>
  <c r="BH13" i="23"/>
  <c r="N15" i="23"/>
  <c r="O14" i="23"/>
  <c r="AE12" i="18"/>
  <c r="AI12" i="18" s="1"/>
  <c r="BA12" i="23"/>
  <c r="AA12" i="23"/>
  <c r="Y12" i="23"/>
  <c r="BU11" i="23"/>
  <c r="Y13" i="20"/>
  <c r="R14" i="20"/>
  <c r="P14" i="20"/>
  <c r="S14" i="20"/>
  <c r="T14" i="20"/>
  <c r="Q14" i="20"/>
  <c r="U13" i="19"/>
  <c r="W13" i="19" s="1"/>
  <c r="V13" i="19"/>
  <c r="X13" i="19" s="1"/>
  <c r="V13" i="18"/>
  <c r="X13" i="18" s="1"/>
  <c r="U13" i="18"/>
  <c r="W13" i="18" s="1"/>
  <c r="BW11" i="23"/>
  <c r="AJ16" i="23"/>
  <c r="AK15" i="23"/>
  <c r="AA13" i="19"/>
  <c r="Y13" i="19"/>
  <c r="AE12" i="21"/>
  <c r="AI12" i="21" s="1"/>
  <c r="AB13" i="20"/>
  <c r="AF13" i="20" s="1"/>
  <c r="N16" i="20"/>
  <c r="O15" i="20"/>
  <c r="CN11" i="23"/>
  <c r="CM11" i="23" s="1"/>
  <c r="AA13" i="18"/>
  <c r="Y13" i="18"/>
  <c r="BV11" i="23"/>
  <c r="AM14" i="23"/>
  <c r="AL14" i="23"/>
  <c r="AP14" i="23"/>
  <c r="AO14" i="23"/>
  <c r="AN14" i="23"/>
  <c r="V12" i="23"/>
  <c r="X12" i="23" s="1"/>
  <c r="U12" i="23"/>
  <c r="W12" i="23" s="1"/>
  <c r="AD12" i="21"/>
  <c r="AM12" i="19" l="1"/>
  <c r="AN12" i="19" s="1"/>
  <c r="AF11" i="23"/>
  <c r="AH12" i="21"/>
  <c r="AL12" i="19"/>
  <c r="AI12" i="20"/>
  <c r="AC12" i="23"/>
  <c r="BX11" i="23"/>
  <c r="AH12" i="19"/>
  <c r="AJ12" i="19" s="1"/>
  <c r="AC13" i="19"/>
  <c r="AL13" i="19" s="1"/>
  <c r="AK12" i="19"/>
  <c r="BB12" i="23"/>
  <c r="CT11" i="23"/>
  <c r="Z12" i="23"/>
  <c r="AF12" i="23" s="1"/>
  <c r="AM12" i="20"/>
  <c r="AN12" i="20" s="1"/>
  <c r="AE13" i="21"/>
  <c r="AI13" i="21" s="1"/>
  <c r="AG12" i="21"/>
  <c r="AJ12" i="21" s="1"/>
  <c r="BU12" i="23"/>
  <c r="CN12" i="23"/>
  <c r="CM12" i="23" s="1"/>
  <c r="AD13" i="18"/>
  <c r="AJ12" i="20"/>
  <c r="AN11" i="18"/>
  <c r="Z13" i="18"/>
  <c r="BW12" i="23"/>
  <c r="AA13" i="20"/>
  <c r="Z13" i="20" s="1"/>
  <c r="V13" i="23"/>
  <c r="X13" i="23" s="1"/>
  <c r="U13" i="23"/>
  <c r="W13" i="23" s="1"/>
  <c r="Z13" i="21"/>
  <c r="Y13" i="21" s="1"/>
  <c r="CS12" i="23"/>
  <c r="S15" i="18"/>
  <c r="R15" i="18"/>
  <c r="T15" i="18"/>
  <c r="Q15" i="18"/>
  <c r="P15" i="18"/>
  <c r="AA14" i="18"/>
  <c r="Y14" i="18"/>
  <c r="AG13" i="19"/>
  <c r="AM13" i="19"/>
  <c r="AA14" i="19"/>
  <c r="Y14" i="19"/>
  <c r="Y13" i="23"/>
  <c r="AA13" i="23"/>
  <c r="AK12" i="21"/>
  <c r="N17" i="18"/>
  <c r="O16" i="18"/>
  <c r="AN11" i="19"/>
  <c r="AL12" i="21"/>
  <c r="CO13" i="23"/>
  <c r="BS12" i="23"/>
  <c r="BR12" i="23" s="1"/>
  <c r="AE12" i="23"/>
  <c r="CJ13" i="23"/>
  <c r="CL13" i="23" s="1"/>
  <c r="CI13" i="23"/>
  <c r="CK13" i="23" s="1"/>
  <c r="AP15" i="23"/>
  <c r="AL15" i="23"/>
  <c r="AO15" i="23"/>
  <c r="AN15" i="23"/>
  <c r="AM15" i="23"/>
  <c r="AX14" i="23"/>
  <c r="AY14" i="23" s="1"/>
  <c r="N17" i="20"/>
  <c r="O16" i="20"/>
  <c r="CP13" i="23"/>
  <c r="CR13" i="23" s="1"/>
  <c r="AZ13" i="23"/>
  <c r="AC13" i="21"/>
  <c r="O15" i="23"/>
  <c r="N16" i="23"/>
  <c r="AN11" i="20"/>
  <c r="BA13" i="23"/>
  <c r="BN13" i="23"/>
  <c r="BP13" i="23" s="1"/>
  <c r="BM13" i="23"/>
  <c r="BO13" i="23" s="1"/>
  <c r="AC13" i="20"/>
  <c r="BT13" i="23"/>
  <c r="BV13" i="23" s="1"/>
  <c r="AC13" i="18"/>
  <c r="AD13" i="21"/>
  <c r="AB14" i="20"/>
  <c r="AF14" i="20" s="1"/>
  <c r="N17" i="21"/>
  <c r="O16" i="21"/>
  <c r="U14" i="20"/>
  <c r="W14" i="20" s="1"/>
  <c r="V14" i="20"/>
  <c r="AM12" i="21"/>
  <c r="R14" i="23"/>
  <c r="P14" i="23"/>
  <c r="Q14" i="23"/>
  <c r="T14" i="23"/>
  <c r="S14" i="23"/>
  <c r="S15" i="20"/>
  <c r="P15" i="20"/>
  <c r="Q15" i="20"/>
  <c r="R15" i="20"/>
  <c r="T15" i="20"/>
  <c r="AJ17" i="23"/>
  <c r="AK16" i="23"/>
  <c r="AE13" i="20"/>
  <c r="BQ13" i="23"/>
  <c r="BL14" i="23"/>
  <c r="BJ14" i="23"/>
  <c r="BI14" i="23"/>
  <c r="BH14" i="23"/>
  <c r="BK14" i="23"/>
  <c r="AI13" i="18"/>
  <c r="AV13" i="23"/>
  <c r="AR14" i="23"/>
  <c r="AQ14" i="23"/>
  <c r="AS14" i="23" s="1"/>
  <c r="AD13" i="20"/>
  <c r="AH12" i="18"/>
  <c r="BF16" i="23"/>
  <c r="BG15" i="23"/>
  <c r="S15" i="21"/>
  <c r="P15" i="21"/>
  <c r="R15" i="21"/>
  <c r="T15" i="21"/>
  <c r="Q15" i="21"/>
  <c r="AA14" i="21"/>
  <c r="Z13" i="19"/>
  <c r="O16" i="19"/>
  <c r="N17" i="19"/>
  <c r="CH14" i="23"/>
  <c r="CG14" i="23"/>
  <c r="CF14" i="23"/>
  <c r="CE14" i="23"/>
  <c r="CD14" i="23"/>
  <c r="V14" i="18"/>
  <c r="X14" i="18" s="1"/>
  <c r="U14" i="18"/>
  <c r="W14" i="18" s="1"/>
  <c r="AN11" i="21"/>
  <c r="AT14" i="23"/>
  <c r="AW14" i="23"/>
  <c r="AU14" i="23"/>
  <c r="AB14" i="19"/>
  <c r="AF14" i="19" s="1"/>
  <c r="S15" i="19"/>
  <c r="Q15" i="19"/>
  <c r="R15" i="19"/>
  <c r="P15" i="19"/>
  <c r="T15" i="19"/>
  <c r="CB16" i="23"/>
  <c r="CC15" i="23"/>
  <c r="AB14" i="18"/>
  <c r="AF14" i="18" s="1"/>
  <c r="AI13" i="19"/>
  <c r="V14" i="21"/>
  <c r="X14" i="21" s="1"/>
  <c r="U14" i="21"/>
  <c r="W14" i="21" s="1"/>
  <c r="U14" i="19"/>
  <c r="W14" i="19" s="1"/>
  <c r="V14" i="19"/>
  <c r="X14" i="19" s="1"/>
  <c r="Y14" i="20"/>
  <c r="X14" i="20"/>
  <c r="AB13" i="23"/>
  <c r="AE13" i="23" s="1"/>
  <c r="AG12" i="18"/>
  <c r="AK12" i="18"/>
  <c r="AL12" i="18"/>
  <c r="AM12" i="18"/>
  <c r="CR12" i="23"/>
  <c r="AH13" i="19"/>
  <c r="AB14" i="21"/>
  <c r="AF14" i="21" s="1"/>
  <c r="AC14" i="19" l="1"/>
  <c r="AE14" i="19"/>
  <c r="AH13" i="18"/>
  <c r="AC13" i="23"/>
  <c r="AK13" i="19"/>
  <c r="AI14" i="19"/>
  <c r="AH13" i="21"/>
  <c r="CT12" i="23"/>
  <c r="AC14" i="18"/>
  <c r="AG14" i="18" s="1"/>
  <c r="AD14" i="19"/>
  <c r="AK14" i="19" s="1"/>
  <c r="AE14" i="18"/>
  <c r="AI14" i="18" s="1"/>
  <c r="BB13" i="23"/>
  <c r="BX12" i="23"/>
  <c r="AD14" i="21"/>
  <c r="AL14" i="21" s="1"/>
  <c r="AH13" i="20"/>
  <c r="AI13" i="20"/>
  <c r="AE14" i="21"/>
  <c r="AC14" i="21"/>
  <c r="AA14" i="20"/>
  <c r="Z14" i="20" s="1"/>
  <c r="Z14" i="21"/>
  <c r="Y14" i="21" s="1"/>
  <c r="AN13" i="19"/>
  <c r="AA15" i="21"/>
  <c r="AP16" i="23"/>
  <c r="AO16" i="23"/>
  <c r="AN16" i="23"/>
  <c r="AM16" i="23"/>
  <c r="AL16" i="23"/>
  <c r="AG13" i="18"/>
  <c r="AM13" i="18"/>
  <c r="AL13" i="18"/>
  <c r="AK13" i="18"/>
  <c r="CN13" i="23"/>
  <c r="CM13" i="23" s="1"/>
  <c r="AA15" i="18"/>
  <c r="Y15" i="18"/>
  <c r="AL13" i="21"/>
  <c r="AM13" i="21"/>
  <c r="AK13" i="21"/>
  <c r="AG13" i="21"/>
  <c r="AJ13" i="21" s="1"/>
  <c r="CJ14" i="23"/>
  <c r="CL14" i="23" s="1"/>
  <c r="CI14" i="23"/>
  <c r="CK14" i="23" s="1"/>
  <c r="AK17" i="23"/>
  <c r="AJ18" i="23"/>
  <c r="BU13" i="23"/>
  <c r="CQ13" i="23"/>
  <c r="AR15" i="23"/>
  <c r="AQ15" i="23"/>
  <c r="AS15" i="23" s="1"/>
  <c r="AN12" i="21"/>
  <c r="V15" i="18"/>
  <c r="X15" i="18" s="1"/>
  <c r="U15" i="18"/>
  <c r="W15" i="18" s="1"/>
  <c r="AJ12" i="18"/>
  <c r="AJ13" i="19"/>
  <c r="AG14" i="19"/>
  <c r="CO14" i="23"/>
  <c r="AB15" i="21"/>
  <c r="AF15" i="21" s="1"/>
  <c r="Z14" i="19"/>
  <c r="AB15" i="18"/>
  <c r="AF15" i="18" s="1"/>
  <c r="V15" i="19"/>
  <c r="X15" i="19" s="1"/>
  <c r="U15" i="19"/>
  <c r="W15" i="19" s="1"/>
  <c r="U14" i="23"/>
  <c r="W14" i="23" s="1"/>
  <c r="V14" i="23"/>
  <c r="X14" i="23" s="1"/>
  <c r="Q15" i="23"/>
  <c r="T15" i="23"/>
  <c r="R15" i="23"/>
  <c r="P15" i="23"/>
  <c r="S15" i="23"/>
  <c r="AN12" i="18"/>
  <c r="AX15" i="23"/>
  <c r="AY15" i="23" s="1"/>
  <c r="AB15" i="20"/>
  <c r="AF15" i="20" s="1"/>
  <c r="AU15" i="23"/>
  <c r="AT15" i="23"/>
  <c r="AW15" i="23"/>
  <c r="CP14" i="23"/>
  <c r="CQ14" i="23" s="1"/>
  <c r="CS13" i="23"/>
  <c r="BN14" i="23"/>
  <c r="BP14" i="23" s="1"/>
  <c r="BM14" i="23"/>
  <c r="BO14" i="23" s="1"/>
  <c r="AG13" i="20"/>
  <c r="AL13" i="20"/>
  <c r="AM13" i="20"/>
  <c r="AK13" i="20"/>
  <c r="T16" i="18"/>
  <c r="S16" i="18"/>
  <c r="Q16" i="18"/>
  <c r="P16" i="18"/>
  <c r="R16" i="18"/>
  <c r="AD13" i="23"/>
  <c r="AD14" i="18"/>
  <c r="BQ14" i="23"/>
  <c r="U15" i="20"/>
  <c r="W15" i="20" s="1"/>
  <c r="V15" i="20"/>
  <c r="X15" i="20" s="1"/>
  <c r="O17" i="21"/>
  <c r="N18" i="21"/>
  <c r="Q16" i="20"/>
  <c r="T16" i="20"/>
  <c r="P16" i="20"/>
  <c r="R16" i="20"/>
  <c r="S16" i="20"/>
  <c r="O17" i="18"/>
  <c r="N18" i="18"/>
  <c r="Y14" i="23"/>
  <c r="AA14" i="23"/>
  <c r="AB15" i="19"/>
  <c r="AF15" i="19" s="1"/>
  <c r="AB14" i="23"/>
  <c r="AE14" i="23" s="1"/>
  <c r="BW13" i="23"/>
  <c r="Y15" i="20"/>
  <c r="T16" i="21"/>
  <c r="S16" i="21"/>
  <c r="Q16" i="21"/>
  <c r="P16" i="21"/>
  <c r="R16" i="21"/>
  <c r="AI14" i="21"/>
  <c r="O17" i="19"/>
  <c r="N18" i="19"/>
  <c r="BT14" i="23"/>
  <c r="BV14" i="23" s="1"/>
  <c r="AC14" i="20"/>
  <c r="O17" i="20"/>
  <c r="N18" i="20"/>
  <c r="BS13" i="23"/>
  <c r="BR13" i="23" s="1"/>
  <c r="BX13" i="23" s="1"/>
  <c r="U15" i="21"/>
  <c r="W15" i="21" s="1"/>
  <c r="V15" i="21"/>
  <c r="X15" i="21" s="1"/>
  <c r="CH15" i="23"/>
  <c r="CG15" i="23"/>
  <c r="CF15" i="23"/>
  <c r="CE15" i="23"/>
  <c r="CD15" i="23"/>
  <c r="AA15" i="19"/>
  <c r="Y15" i="19"/>
  <c r="AG14" i="21"/>
  <c r="T16" i="19"/>
  <c r="Q16" i="19"/>
  <c r="S16" i="19"/>
  <c r="R16" i="19"/>
  <c r="P16" i="19"/>
  <c r="BK15" i="23"/>
  <c r="BJ15" i="23"/>
  <c r="BI15" i="23"/>
  <c r="BH15" i="23"/>
  <c r="BL15" i="23"/>
  <c r="AD14" i="20"/>
  <c r="AZ14" i="23"/>
  <c r="CC16" i="23"/>
  <c r="CB17" i="23"/>
  <c r="AV14" i="23"/>
  <c r="BF17" i="23"/>
  <c r="BG16" i="23"/>
  <c r="AE14" i="20"/>
  <c r="AI14" i="20" s="1"/>
  <c r="Z14" i="18"/>
  <c r="N17" i="23"/>
  <c r="O16" i="23"/>
  <c r="BA14" i="23"/>
  <c r="Z13" i="23"/>
  <c r="AJ13" i="18" l="1"/>
  <c r="AL14" i="19"/>
  <c r="AF13" i="23"/>
  <c r="AH14" i="19"/>
  <c r="AH14" i="21"/>
  <c r="AJ14" i="21" s="1"/>
  <c r="AD15" i="20"/>
  <c r="AL15" i="20" s="1"/>
  <c r="AN13" i="21"/>
  <c r="AK14" i="21"/>
  <c r="BB14" i="23"/>
  <c r="AJ13" i="20"/>
  <c r="AM14" i="18"/>
  <c r="AM14" i="19"/>
  <c r="AE15" i="19"/>
  <c r="AI15" i="19" s="1"/>
  <c r="AE15" i="20"/>
  <c r="AC15" i="20"/>
  <c r="CT13" i="23"/>
  <c r="AL14" i="18"/>
  <c r="AM14" i="21"/>
  <c r="AN14" i="21" s="1"/>
  <c r="Z14" i="23"/>
  <c r="BU14" i="23"/>
  <c r="AJ14" i="19"/>
  <c r="BW14" i="23"/>
  <c r="AN14" i="19"/>
  <c r="CS14" i="23"/>
  <c r="CR14" i="23"/>
  <c r="AH14" i="20"/>
  <c r="AD15" i="19"/>
  <c r="BA15" i="23"/>
  <c r="AE15" i="18"/>
  <c r="AI15" i="18" s="1"/>
  <c r="BS14" i="23"/>
  <c r="BR14" i="23" s="1"/>
  <c r="AC15" i="19"/>
  <c r="U15" i="23"/>
  <c r="W15" i="23" s="1"/>
  <c r="V15" i="23"/>
  <c r="X15" i="23" s="1"/>
  <c r="AN13" i="18"/>
  <c r="V16" i="21"/>
  <c r="X16" i="21" s="1"/>
  <c r="U16" i="21"/>
  <c r="Y16" i="20"/>
  <c r="AB16" i="18"/>
  <c r="AV15" i="23"/>
  <c r="AB15" i="23"/>
  <c r="AC15" i="23" s="1"/>
  <c r="AD15" i="21"/>
  <c r="N19" i="20"/>
  <c r="O18" i="20"/>
  <c r="AB16" i="20"/>
  <c r="AF16" i="20" s="1"/>
  <c r="T17" i="20"/>
  <c r="Q17" i="20"/>
  <c r="R17" i="20"/>
  <c r="S17" i="20"/>
  <c r="P17" i="20"/>
  <c r="AA15" i="20"/>
  <c r="Z15" i="20" s="1"/>
  <c r="N19" i="21"/>
  <c r="O18" i="21"/>
  <c r="V16" i="18"/>
  <c r="U16" i="18"/>
  <c r="W16" i="18" s="1"/>
  <c r="AE15" i="21"/>
  <c r="AI15" i="21" s="1"/>
  <c r="AR16" i="23"/>
  <c r="AT16" i="23" s="1"/>
  <c r="AQ16" i="23"/>
  <c r="AS16" i="23" s="1"/>
  <c r="AA16" i="21"/>
  <c r="W16" i="21"/>
  <c r="AB16" i="19"/>
  <c r="AF16" i="19" s="1"/>
  <c r="AA15" i="23"/>
  <c r="Y15" i="23"/>
  <c r="AC15" i="21"/>
  <c r="AW16" i="23"/>
  <c r="AU16" i="23"/>
  <c r="AL14" i="20"/>
  <c r="AK14" i="20"/>
  <c r="AM14" i="20"/>
  <c r="AG14" i="20"/>
  <c r="AJ14" i="20" s="1"/>
  <c r="CO15" i="23"/>
  <c r="CP15" i="23"/>
  <c r="CS15" i="23" s="1"/>
  <c r="AX16" i="23"/>
  <c r="BA16" i="23" s="1"/>
  <c r="AN17" i="23"/>
  <c r="AP17" i="23"/>
  <c r="AO17" i="23"/>
  <c r="AL17" i="23"/>
  <c r="AM17" i="23"/>
  <c r="BF18" i="23"/>
  <c r="BG17" i="23"/>
  <c r="N19" i="19"/>
  <c r="O18" i="19"/>
  <c r="CT14" i="23"/>
  <c r="BT15" i="23"/>
  <c r="U16" i="20"/>
  <c r="W16" i="20" s="1"/>
  <c r="V16" i="20"/>
  <c r="X16" i="20" s="1"/>
  <c r="V16" i="19"/>
  <c r="X16" i="19" s="1"/>
  <c r="U16" i="19"/>
  <c r="W16" i="19" s="1"/>
  <c r="AG15" i="20"/>
  <c r="AK15" i="20"/>
  <c r="AM15" i="20"/>
  <c r="T17" i="19"/>
  <c r="S17" i="19"/>
  <c r="R17" i="19"/>
  <c r="Q17" i="19"/>
  <c r="P17" i="19"/>
  <c r="AK14" i="18"/>
  <c r="AZ15" i="23"/>
  <c r="CN14" i="23"/>
  <c r="CM14" i="23" s="1"/>
  <c r="CB18" i="23"/>
  <c r="CC17" i="23"/>
  <c r="BL16" i="23"/>
  <c r="BK16" i="23"/>
  <c r="BJ16" i="23"/>
  <c r="BH16" i="23"/>
  <c r="BI16" i="23"/>
  <c r="Z15" i="19"/>
  <c r="CJ15" i="23"/>
  <c r="CL15" i="23" s="1"/>
  <c r="CI15" i="23"/>
  <c r="CK15" i="23" s="1"/>
  <c r="CE16" i="23"/>
  <c r="CD16" i="23"/>
  <c r="CG16" i="23"/>
  <c r="CH16" i="23"/>
  <c r="CF16" i="23"/>
  <c r="X16" i="18"/>
  <c r="AA16" i="18"/>
  <c r="Y16" i="18"/>
  <c r="N19" i="18"/>
  <c r="O18" i="18"/>
  <c r="N18" i="23"/>
  <c r="O17" i="23"/>
  <c r="BM15" i="23"/>
  <c r="BN15" i="23"/>
  <c r="BP15" i="23" s="1"/>
  <c r="AC14" i="23"/>
  <c r="R17" i="18"/>
  <c r="Q17" i="18"/>
  <c r="T17" i="18"/>
  <c r="S17" i="18"/>
  <c r="P17" i="18"/>
  <c r="AN13" i="20"/>
  <c r="AD15" i="18"/>
  <c r="Z15" i="18"/>
  <c r="Y16" i="19"/>
  <c r="AA16" i="19"/>
  <c r="S17" i="21"/>
  <c r="R17" i="21"/>
  <c r="T17" i="21"/>
  <c r="Q17" i="21"/>
  <c r="P17" i="21"/>
  <c r="T16" i="23"/>
  <c r="S16" i="23"/>
  <c r="Q16" i="23"/>
  <c r="P16" i="23"/>
  <c r="R16" i="23"/>
  <c r="BQ15" i="23"/>
  <c r="BO15" i="23"/>
  <c r="AB16" i="21"/>
  <c r="AF16" i="21" s="1"/>
  <c r="AD14" i="23"/>
  <c r="AF14" i="23" s="1"/>
  <c r="AH14" i="18"/>
  <c r="AJ14" i="18" s="1"/>
  <c r="BB15" i="23"/>
  <c r="AC15" i="18"/>
  <c r="AJ19" i="23"/>
  <c r="AK18" i="23"/>
  <c r="Z15" i="21"/>
  <c r="Y15" i="21" s="1"/>
  <c r="AN14" i="18" l="1"/>
  <c r="AH15" i="19"/>
  <c r="AI15" i="20"/>
  <c r="AE16" i="20"/>
  <c r="CQ15" i="23"/>
  <c r="AH15" i="20"/>
  <c r="Z15" i="23"/>
  <c r="AE16" i="19"/>
  <c r="AI16" i="19" s="1"/>
  <c r="AJ15" i="20"/>
  <c r="AY16" i="23"/>
  <c r="AC16" i="20"/>
  <c r="AG16" i="20" s="1"/>
  <c r="Z16" i="19"/>
  <c r="AD16" i="20"/>
  <c r="AC16" i="19"/>
  <c r="AG16" i="19" s="1"/>
  <c r="AV16" i="23"/>
  <c r="AD15" i="23"/>
  <c r="AD16" i="21"/>
  <c r="AE16" i="21"/>
  <c r="AI16" i="21" s="1"/>
  <c r="BX14" i="23"/>
  <c r="AX17" i="23"/>
  <c r="AY17" i="23" s="1"/>
  <c r="AN14" i="20"/>
  <c r="S18" i="21"/>
  <c r="Q18" i="21"/>
  <c r="T18" i="21"/>
  <c r="P18" i="21"/>
  <c r="R18" i="21"/>
  <c r="CH17" i="23"/>
  <c r="CG17" i="23"/>
  <c r="CF17" i="23"/>
  <c r="CE17" i="23"/>
  <c r="CD17" i="23"/>
  <c r="O19" i="19"/>
  <c r="N20" i="19"/>
  <c r="AZ16" i="23"/>
  <c r="AD16" i="19"/>
  <c r="O19" i="21"/>
  <c r="N20" i="21"/>
  <c r="T18" i="20"/>
  <c r="Q18" i="20"/>
  <c r="S18" i="20"/>
  <c r="R18" i="20"/>
  <c r="P18" i="20"/>
  <c r="AA16" i="20"/>
  <c r="Z16" i="20" s="1"/>
  <c r="AA17" i="18"/>
  <c r="Y17" i="18"/>
  <c r="AB17" i="18"/>
  <c r="AF17" i="18" s="1"/>
  <c r="AJ20" i="23"/>
  <c r="AK19" i="23"/>
  <c r="O19" i="20"/>
  <c r="N20" i="20"/>
  <c r="CB19" i="23"/>
  <c r="CC18" i="23"/>
  <c r="O18" i="23"/>
  <c r="N19" i="23"/>
  <c r="AH15" i="21"/>
  <c r="AN18" i="23"/>
  <c r="AL18" i="23"/>
  <c r="AP18" i="23"/>
  <c r="AO18" i="23"/>
  <c r="AM18" i="23"/>
  <c r="AN15" i="20"/>
  <c r="V16" i="23"/>
  <c r="X16" i="23" s="1"/>
  <c r="U16" i="23"/>
  <c r="W16" i="23" s="1"/>
  <c r="CJ16" i="23"/>
  <c r="CL16" i="23" s="1"/>
  <c r="CI16" i="23"/>
  <c r="CK16" i="23" s="1"/>
  <c r="Y16" i="23"/>
  <c r="AA16" i="23"/>
  <c r="R17" i="23"/>
  <c r="P17" i="23"/>
  <c r="Q17" i="23"/>
  <c r="T17" i="23"/>
  <c r="S17" i="23"/>
  <c r="P18" i="18"/>
  <c r="T18" i="18"/>
  <c r="R18" i="18"/>
  <c r="Q18" i="18"/>
  <c r="S18" i="18"/>
  <c r="BL17" i="23"/>
  <c r="BK17" i="23"/>
  <c r="BJ17" i="23"/>
  <c r="BI17" i="23"/>
  <c r="BH17" i="23"/>
  <c r="V17" i="20"/>
  <c r="X17" i="20" s="1"/>
  <c r="U17" i="20"/>
  <c r="W17" i="20" s="1"/>
  <c r="CP16" i="23"/>
  <c r="CO16" i="23"/>
  <c r="AH15" i="18"/>
  <c r="U17" i="21"/>
  <c r="W17" i="21" s="1"/>
  <c r="V17" i="21"/>
  <c r="X17" i="21" s="1"/>
  <c r="N20" i="18"/>
  <c r="O19" i="18"/>
  <c r="BG18" i="23"/>
  <c r="BF19" i="23"/>
  <c r="CR15" i="23"/>
  <c r="AG15" i="21"/>
  <c r="AM15" i="21"/>
  <c r="AK15" i="21"/>
  <c r="AL15" i="21"/>
  <c r="Z16" i="21"/>
  <c r="Y16" i="21" s="1"/>
  <c r="AG15" i="18"/>
  <c r="AM15" i="18"/>
  <c r="AK15" i="18"/>
  <c r="AL15" i="18"/>
  <c r="AA17" i="21"/>
  <c r="AB17" i="20"/>
  <c r="AF17" i="20" s="1"/>
  <c r="AE15" i="23"/>
  <c r="AF15" i="23" s="1"/>
  <c r="BW15" i="23"/>
  <c r="R18" i="19"/>
  <c r="Q18" i="19"/>
  <c r="T18" i="19"/>
  <c r="S18" i="19"/>
  <c r="P18" i="19"/>
  <c r="BQ16" i="23"/>
  <c r="V17" i="19"/>
  <c r="X17" i="19" s="1"/>
  <c r="U17" i="19"/>
  <c r="W17" i="19" s="1"/>
  <c r="AC16" i="21"/>
  <c r="BN16" i="23"/>
  <c r="BP16" i="23" s="1"/>
  <c r="BM16" i="23"/>
  <c r="BO16" i="23" s="1"/>
  <c r="Y17" i="19"/>
  <c r="AA17" i="19"/>
  <c r="BV15" i="23"/>
  <c r="AW17" i="23"/>
  <c r="AU17" i="23"/>
  <c r="Y17" i="20"/>
  <c r="BS15" i="23"/>
  <c r="BR15" i="23" s="1"/>
  <c r="AE16" i="18"/>
  <c r="AI16" i="18" s="1"/>
  <c r="AF16" i="18"/>
  <c r="AB16" i="23"/>
  <c r="AC16" i="23" s="1"/>
  <c r="V17" i="18"/>
  <c r="X17" i="18" s="1"/>
  <c r="U17" i="18"/>
  <c r="W17" i="18" s="1"/>
  <c r="AB17" i="21"/>
  <c r="AF17" i="21" s="1"/>
  <c r="Z16" i="18"/>
  <c r="BT16" i="23"/>
  <c r="BV16" i="23" s="1"/>
  <c r="AB17" i="19"/>
  <c r="AF17" i="19" s="1"/>
  <c r="BU15" i="23"/>
  <c r="AR17" i="23"/>
  <c r="AT17" i="23" s="1"/>
  <c r="AQ17" i="23"/>
  <c r="AS17" i="23" s="1"/>
  <c r="CN15" i="23"/>
  <c r="CM15" i="23" s="1"/>
  <c r="AC16" i="18"/>
  <c r="AG15" i="19"/>
  <c r="AJ15" i="19" s="1"/>
  <c r="AM15" i="19"/>
  <c r="AK15" i="19"/>
  <c r="AL15" i="19"/>
  <c r="AM16" i="20"/>
  <c r="AD16" i="18"/>
  <c r="AH16" i="18" s="1"/>
  <c r="AH16" i="19" l="1"/>
  <c r="AC17" i="19"/>
  <c r="AD17" i="19"/>
  <c r="AE17" i="19"/>
  <c r="AZ17" i="23"/>
  <c r="AN15" i="18"/>
  <c r="CT15" i="23"/>
  <c r="BB16" i="23"/>
  <c r="AL16" i="20"/>
  <c r="AN16" i="20" s="1"/>
  <c r="AK16" i="20"/>
  <c r="AC17" i="20"/>
  <c r="AG17" i="20" s="1"/>
  <c r="BX15" i="23"/>
  <c r="AD17" i="20"/>
  <c r="AD17" i="18"/>
  <c r="AH16" i="20"/>
  <c r="AJ15" i="18"/>
  <c r="AN15" i="21"/>
  <c r="AJ15" i="21"/>
  <c r="AI17" i="19"/>
  <c r="AN15" i="19"/>
  <c r="AE17" i="18"/>
  <c r="AI17" i="18" s="1"/>
  <c r="AJ16" i="19"/>
  <c r="BS16" i="23"/>
  <c r="BR16" i="23" s="1"/>
  <c r="Z17" i="21"/>
  <c r="Y17" i="21" s="1"/>
  <c r="AC17" i="21"/>
  <c r="AG16" i="21"/>
  <c r="AM16" i="21"/>
  <c r="AL16" i="21"/>
  <c r="AK16" i="21"/>
  <c r="O20" i="18"/>
  <c r="N21" i="18"/>
  <c r="Z17" i="18"/>
  <c r="R19" i="19"/>
  <c r="P19" i="19"/>
  <c r="T19" i="19"/>
  <c r="S19" i="19"/>
  <c r="Q19" i="19"/>
  <c r="AL16" i="19"/>
  <c r="CB20" i="23"/>
  <c r="CC19" i="23"/>
  <c r="BM17" i="23"/>
  <c r="BO17" i="23" s="1"/>
  <c r="BN17" i="23"/>
  <c r="BP17" i="23" s="1"/>
  <c r="Y17" i="23"/>
  <c r="AA17" i="23"/>
  <c r="AW18" i="23"/>
  <c r="AU18" i="23"/>
  <c r="N21" i="20"/>
  <c r="O20" i="20"/>
  <c r="CJ17" i="23"/>
  <c r="CL17" i="23" s="1"/>
  <c r="CI17" i="23"/>
  <c r="CK17" i="23" s="1"/>
  <c r="AM16" i="19"/>
  <c r="AH16" i="21"/>
  <c r="BQ17" i="23"/>
  <c r="U17" i="23"/>
  <c r="W17" i="23" s="1"/>
  <c r="V17" i="23"/>
  <c r="X17" i="23" s="1"/>
  <c r="T19" i="20"/>
  <c r="R19" i="20"/>
  <c r="S19" i="20"/>
  <c r="Q19" i="20"/>
  <c r="P19" i="20"/>
  <c r="V18" i="20"/>
  <c r="X18" i="20" s="1"/>
  <c r="U18" i="20"/>
  <c r="W18" i="20" s="1"/>
  <c r="CO17" i="23"/>
  <c r="AK16" i="19"/>
  <c r="CS16" i="23"/>
  <c r="O20" i="19"/>
  <c r="N21" i="19"/>
  <c r="AD16" i="23"/>
  <c r="BU16" i="23"/>
  <c r="BT17" i="23"/>
  <c r="BV17" i="23" s="1"/>
  <c r="AO19" i="23"/>
  <c r="AN19" i="23"/>
  <c r="AM19" i="23"/>
  <c r="AL19" i="23"/>
  <c r="AP19" i="23"/>
  <c r="AB18" i="20"/>
  <c r="AF18" i="20" s="1"/>
  <c r="CP17" i="23"/>
  <c r="CR17" i="23" s="1"/>
  <c r="R19" i="18"/>
  <c r="T19" i="18"/>
  <c r="S19" i="18"/>
  <c r="P19" i="18"/>
  <c r="Q19" i="18"/>
  <c r="CH18" i="23"/>
  <c r="CG18" i="23"/>
  <c r="CF18" i="23"/>
  <c r="CE18" i="23"/>
  <c r="CD18" i="23"/>
  <c r="AA18" i="21"/>
  <c r="AA17" i="20"/>
  <c r="Z17" i="20" s="1"/>
  <c r="AE16" i="23"/>
  <c r="AV17" i="23"/>
  <c r="AB17" i="23"/>
  <c r="AE17" i="23" s="1"/>
  <c r="AE17" i="20"/>
  <c r="CN16" i="23"/>
  <c r="CM16" i="23" s="1"/>
  <c r="AR18" i="23"/>
  <c r="AT18" i="23" s="1"/>
  <c r="AQ18" i="23"/>
  <c r="AS18" i="23" s="1"/>
  <c r="AJ21" i="23"/>
  <c r="AK20" i="23"/>
  <c r="V18" i="19"/>
  <c r="X18" i="19" s="1"/>
  <c r="U18" i="19"/>
  <c r="AX18" i="23"/>
  <c r="AY18" i="23" s="1"/>
  <c r="Y18" i="20"/>
  <c r="AG16" i="18"/>
  <c r="AJ16" i="18" s="1"/>
  <c r="AK16" i="18"/>
  <c r="AL16" i="18"/>
  <c r="AM16" i="18"/>
  <c r="Z17" i="19"/>
  <c r="AH17" i="19" s="1"/>
  <c r="Z16" i="23"/>
  <c r="AB18" i="19"/>
  <c r="AF18" i="19" s="1"/>
  <c r="AI16" i="20"/>
  <c r="Y18" i="18"/>
  <c r="AA18" i="18"/>
  <c r="AC17" i="18"/>
  <c r="N21" i="21"/>
  <c r="O20" i="21"/>
  <c r="AB18" i="21"/>
  <c r="AF18" i="21" s="1"/>
  <c r="U18" i="18"/>
  <c r="W18" i="18" s="1"/>
  <c r="V18" i="18"/>
  <c r="X18" i="18" s="1"/>
  <c r="AG17" i="19"/>
  <c r="AM17" i="19"/>
  <c r="AL17" i="19"/>
  <c r="AK17" i="19"/>
  <c r="BW16" i="23"/>
  <c r="AD17" i="21"/>
  <c r="AE17" i="21"/>
  <c r="AI17" i="21" s="1"/>
  <c r="Y18" i="19"/>
  <c r="AA18" i="19"/>
  <c r="W18" i="19"/>
  <c r="BF20" i="23"/>
  <c r="BG19" i="23"/>
  <c r="CQ16" i="23"/>
  <c r="AB18" i="18"/>
  <c r="AF18" i="18" s="1"/>
  <c r="N20" i="23"/>
  <c r="O19" i="23"/>
  <c r="T19" i="21"/>
  <c r="S19" i="21"/>
  <c r="Q19" i="21"/>
  <c r="R19" i="21"/>
  <c r="P19" i="21"/>
  <c r="V18" i="21"/>
  <c r="X18" i="21" s="1"/>
  <c r="U18" i="21"/>
  <c r="W18" i="21" s="1"/>
  <c r="BA17" i="23"/>
  <c r="BI18" i="23"/>
  <c r="BH18" i="23"/>
  <c r="BK18" i="23"/>
  <c r="BL18" i="23"/>
  <c r="BJ18" i="23"/>
  <c r="CR16" i="23"/>
  <c r="Q18" i="23"/>
  <c r="T18" i="23"/>
  <c r="R18" i="23"/>
  <c r="P18" i="23"/>
  <c r="S18" i="23"/>
  <c r="AH17" i="18" l="1"/>
  <c r="AC18" i="18"/>
  <c r="Z18" i="21"/>
  <c r="Y18" i="21" s="1"/>
  <c r="AH17" i="21"/>
  <c r="AH17" i="20"/>
  <c r="AE18" i="18"/>
  <c r="AJ16" i="20"/>
  <c r="AK17" i="20"/>
  <c r="AC18" i="21"/>
  <c r="AC18" i="19"/>
  <c r="AK18" i="19" s="1"/>
  <c r="AD18" i="20"/>
  <c r="AN16" i="18"/>
  <c r="AE18" i="19"/>
  <c r="AI18" i="19" s="1"/>
  <c r="BB17" i="23"/>
  <c r="AF16" i="23"/>
  <c r="CT16" i="23"/>
  <c r="AZ18" i="23"/>
  <c r="BX16" i="23"/>
  <c r="BS17" i="23"/>
  <c r="BR17" i="23" s="1"/>
  <c r="AJ17" i="19"/>
  <c r="AD18" i="19"/>
  <c r="V19" i="18"/>
  <c r="X19" i="18" s="1"/>
  <c r="U19" i="18"/>
  <c r="W19" i="18" s="1"/>
  <c r="AR19" i="23"/>
  <c r="AT19" i="23" s="1"/>
  <c r="AQ19" i="23"/>
  <c r="AS19" i="23" s="1"/>
  <c r="T20" i="19"/>
  <c r="S20" i="19"/>
  <c r="Q20" i="19"/>
  <c r="R20" i="19"/>
  <c r="P20" i="19"/>
  <c r="AB19" i="20"/>
  <c r="AF19" i="20" s="1"/>
  <c r="AB19" i="19"/>
  <c r="AF19" i="19" s="1"/>
  <c r="BT18" i="23"/>
  <c r="BU18" i="23" s="1"/>
  <c r="AM20" i="23"/>
  <c r="AO20" i="23"/>
  <c r="AN20" i="23"/>
  <c r="AL20" i="23"/>
  <c r="AP20" i="23"/>
  <c r="AW19" i="23"/>
  <c r="AU19" i="23"/>
  <c r="AJ22" i="23"/>
  <c r="AK21" i="23"/>
  <c r="O21" i="18"/>
  <c r="N22" i="18"/>
  <c r="T19" i="23"/>
  <c r="S19" i="23"/>
  <c r="Q19" i="23"/>
  <c r="P19" i="23"/>
  <c r="R19" i="23"/>
  <c r="Z18" i="19"/>
  <c r="AD18" i="21"/>
  <c r="AH18" i="21" s="1"/>
  <c r="AB19" i="18"/>
  <c r="AC19" i="18" s="1"/>
  <c r="T20" i="18"/>
  <c r="S20" i="18"/>
  <c r="Q20" i="18"/>
  <c r="P20" i="18"/>
  <c r="R20" i="18"/>
  <c r="AA18" i="20"/>
  <c r="Z18" i="20" s="1"/>
  <c r="AH18" i="20" s="1"/>
  <c r="CQ17" i="23"/>
  <c r="BU17" i="23"/>
  <c r="T20" i="20"/>
  <c r="S20" i="20"/>
  <c r="Q20" i="20"/>
  <c r="R20" i="20"/>
  <c r="P20" i="20"/>
  <c r="N22" i="20"/>
  <c r="O21" i="20"/>
  <c r="CF19" i="23"/>
  <c r="CE19" i="23"/>
  <c r="CD19" i="23"/>
  <c r="CH19" i="23"/>
  <c r="CG19" i="23"/>
  <c r="AN16" i="21"/>
  <c r="AE18" i="21"/>
  <c r="AI18" i="21" s="1"/>
  <c r="BQ18" i="23"/>
  <c r="AG18" i="18"/>
  <c r="R20" i="21"/>
  <c r="Q20" i="21"/>
  <c r="S20" i="21"/>
  <c r="P20" i="21"/>
  <c r="T20" i="21"/>
  <c r="CS17" i="23"/>
  <c r="CN17" i="23"/>
  <c r="CM17" i="23" s="1"/>
  <c r="CB21" i="23"/>
  <c r="CC20" i="23"/>
  <c r="AA19" i="21"/>
  <c r="AG18" i="21"/>
  <c r="AM18" i="21"/>
  <c r="AX19" i="23"/>
  <c r="BA19" i="23" s="1"/>
  <c r="BN18" i="23"/>
  <c r="BP18" i="23" s="1"/>
  <c r="BM18" i="23"/>
  <c r="BO18" i="23" s="1"/>
  <c r="O20" i="23"/>
  <c r="N21" i="23"/>
  <c r="AI17" i="20"/>
  <c r="AJ17" i="20" s="1"/>
  <c r="CJ18" i="23"/>
  <c r="CL18" i="23" s="1"/>
  <c r="CI18" i="23"/>
  <c r="CK18" i="23" s="1"/>
  <c r="BW17" i="23"/>
  <c r="AD18" i="18"/>
  <c r="N22" i="21"/>
  <c r="O21" i="21"/>
  <c r="CO18" i="23"/>
  <c r="AC18" i="20"/>
  <c r="AN16" i="19"/>
  <c r="AJ16" i="21"/>
  <c r="AI18" i="18"/>
  <c r="U18" i="23"/>
  <c r="W18" i="23" s="1"/>
  <c r="V18" i="23"/>
  <c r="AC17" i="23"/>
  <c r="CP18" i="23"/>
  <c r="CQ18" i="23" s="1"/>
  <c r="CR18" i="23"/>
  <c r="AM17" i="20"/>
  <c r="AV18" i="23"/>
  <c r="AA19" i="19"/>
  <c r="Y19" i="19"/>
  <c r="AK17" i="21"/>
  <c r="AG17" i="21"/>
  <c r="AJ17" i="21" s="1"/>
  <c r="AL17" i="21"/>
  <c r="AM17" i="21"/>
  <c r="AL17" i="18"/>
  <c r="AG17" i="18"/>
  <c r="AJ17" i="18" s="1"/>
  <c r="AK17" i="18"/>
  <c r="AM17" i="18"/>
  <c r="AB18" i="23"/>
  <c r="AD18" i="23" s="1"/>
  <c r="AN17" i="19"/>
  <c r="BA18" i="23"/>
  <c r="AD17" i="23"/>
  <c r="AE18" i="20"/>
  <c r="V19" i="20"/>
  <c r="X19" i="20" s="1"/>
  <c r="U19" i="20"/>
  <c r="W19" i="20" s="1"/>
  <c r="AL17" i="20"/>
  <c r="BL19" i="23"/>
  <c r="BK19" i="23"/>
  <c r="BJ19" i="23"/>
  <c r="BI19" i="23"/>
  <c r="BH19" i="23"/>
  <c r="Z18" i="18"/>
  <c r="Y19" i="20"/>
  <c r="V19" i="21"/>
  <c r="X19" i="21" s="1"/>
  <c r="U19" i="21"/>
  <c r="W19" i="21" s="1"/>
  <c r="AA18" i="23"/>
  <c r="X18" i="23"/>
  <c r="Y18" i="23"/>
  <c r="AB19" i="21"/>
  <c r="AF19" i="21" s="1"/>
  <c r="BF21" i="23"/>
  <c r="BG20" i="23"/>
  <c r="AA19" i="18"/>
  <c r="Y19" i="18"/>
  <c r="N22" i="19"/>
  <c r="O21" i="19"/>
  <c r="Z17" i="23"/>
  <c r="V19" i="19"/>
  <c r="X19" i="19" s="1"/>
  <c r="U19" i="19"/>
  <c r="W19" i="19" s="1"/>
  <c r="AL18" i="19" l="1"/>
  <c r="AG18" i="19"/>
  <c r="AC18" i="23"/>
  <c r="AH18" i="19"/>
  <c r="AJ18" i="19" s="1"/>
  <c r="AP18" i="19" s="1"/>
  <c r="AT15" i="19" s="1"/>
  <c r="E13" i="24" s="1"/>
  <c r="AD19" i="18"/>
  <c r="AK19" i="18" s="1"/>
  <c r="AC19" i="19"/>
  <c r="AE19" i="20"/>
  <c r="BB18" i="23"/>
  <c r="AZ19" i="23"/>
  <c r="AM18" i="19"/>
  <c r="AN18" i="19" s="1"/>
  <c r="AF17" i="23"/>
  <c r="AE19" i="19"/>
  <c r="AI19" i="19" s="1"/>
  <c r="AI18" i="20"/>
  <c r="BX17" i="23"/>
  <c r="AD19" i="19"/>
  <c r="AK19" i="19" s="1"/>
  <c r="AY19" i="23"/>
  <c r="CT17" i="23"/>
  <c r="AA19" i="20"/>
  <c r="Z19" i="20" s="1"/>
  <c r="AH18" i="18"/>
  <c r="AK18" i="21"/>
  <c r="CN18" i="23"/>
  <c r="CM18" i="23" s="1"/>
  <c r="AJ18" i="21"/>
  <c r="AP18" i="21" s="1"/>
  <c r="AT15" i="21" s="1"/>
  <c r="I13" i="24" s="1"/>
  <c r="AL18" i="18"/>
  <c r="AK18" i="18"/>
  <c r="AM18" i="18"/>
  <c r="BS18" i="23"/>
  <c r="BR18" i="23" s="1"/>
  <c r="BN19" i="23"/>
  <c r="BP19" i="23" s="1"/>
  <c r="BM19" i="23"/>
  <c r="AA20" i="18"/>
  <c r="Y20" i="18"/>
  <c r="AA20" i="21"/>
  <c r="O22" i="18"/>
  <c r="N23" i="18"/>
  <c r="AU20" i="23"/>
  <c r="AW20" i="23"/>
  <c r="V20" i="19"/>
  <c r="X20" i="19" s="1"/>
  <c r="U20" i="19"/>
  <c r="W20" i="19" s="1"/>
  <c r="T21" i="18"/>
  <c r="S21" i="18"/>
  <c r="Q21" i="18"/>
  <c r="P21" i="18"/>
  <c r="R21" i="18"/>
  <c r="BV18" i="23"/>
  <c r="AB20" i="19"/>
  <c r="AF20" i="19" s="1"/>
  <c r="AD20" i="19"/>
  <c r="AG18" i="20"/>
  <c r="AJ18" i="20" s="1"/>
  <c r="AP18" i="20" s="1"/>
  <c r="AT15" i="20" s="1"/>
  <c r="G13" i="24" s="1"/>
  <c r="AK18" i="20"/>
  <c r="AM18" i="20"/>
  <c r="AL18" i="20"/>
  <c r="O21" i="23"/>
  <c r="N22" i="23"/>
  <c r="AJ18" i="18"/>
  <c r="AP18" i="18" s="1"/>
  <c r="AT15" i="18" s="1"/>
  <c r="C13" i="24" s="1"/>
  <c r="CJ19" i="23"/>
  <c r="CL19" i="23" s="1"/>
  <c r="CI19" i="23"/>
  <c r="CK19" i="23" s="1"/>
  <c r="AG19" i="18"/>
  <c r="AP21" i="23"/>
  <c r="AO21" i="23"/>
  <c r="AN21" i="23"/>
  <c r="AM21" i="23"/>
  <c r="AL21" i="23"/>
  <c r="AA20" i="19"/>
  <c r="Y20" i="19"/>
  <c r="T21" i="19"/>
  <c r="Q21" i="19"/>
  <c r="R21" i="19"/>
  <c r="P21" i="19"/>
  <c r="S21" i="19"/>
  <c r="AB20" i="21"/>
  <c r="AF20" i="21" s="1"/>
  <c r="BW18" i="23"/>
  <c r="AI19" i="20"/>
  <c r="N23" i="19"/>
  <c r="O22" i="19"/>
  <c r="AN17" i="20"/>
  <c r="Z19" i="21"/>
  <c r="Y19" i="21" s="1"/>
  <c r="CH20" i="23"/>
  <c r="CG20" i="23"/>
  <c r="CF20" i="23"/>
  <c r="CD20" i="23"/>
  <c r="CE20" i="23"/>
  <c r="CP19" i="23"/>
  <c r="CR19" i="23" s="1"/>
  <c r="AE19" i="18"/>
  <c r="AI19" i="18" s="1"/>
  <c r="AF19" i="18"/>
  <c r="Y20" i="20"/>
  <c r="T20" i="23"/>
  <c r="Q20" i="23"/>
  <c r="P20" i="23"/>
  <c r="S20" i="23"/>
  <c r="R20" i="23"/>
  <c r="AN17" i="18"/>
  <c r="CB22" i="23"/>
  <c r="CC21" i="23"/>
  <c r="Q21" i="20"/>
  <c r="P21" i="20"/>
  <c r="R21" i="20"/>
  <c r="T21" i="20"/>
  <c r="S21" i="20"/>
  <c r="AB20" i="20"/>
  <c r="AF20" i="20" s="1"/>
  <c r="BT19" i="23"/>
  <c r="BW19" i="23" s="1"/>
  <c r="AE18" i="23"/>
  <c r="P21" i="21"/>
  <c r="T21" i="21"/>
  <c r="R21" i="21"/>
  <c r="Q21" i="21"/>
  <c r="S21" i="21"/>
  <c r="N23" i="20"/>
  <c r="O22" i="20"/>
  <c r="AG19" i="19"/>
  <c r="V20" i="21"/>
  <c r="X20" i="21" s="1"/>
  <c r="U20" i="21"/>
  <c r="W20" i="21" s="1"/>
  <c r="Z18" i="23"/>
  <c r="AK22" i="23"/>
  <c r="AJ23" i="23"/>
  <c r="BL20" i="23"/>
  <c r="BK20" i="23"/>
  <c r="BJ20" i="23"/>
  <c r="BI20" i="23"/>
  <c r="BH20" i="23"/>
  <c r="AC19" i="21"/>
  <c r="AN17" i="21"/>
  <c r="CS18" i="23"/>
  <c r="CT18" i="23" s="1"/>
  <c r="N23" i="21"/>
  <c r="O22" i="21"/>
  <c r="AB19" i="23"/>
  <c r="AE19" i="23" s="1"/>
  <c r="AD19" i="23"/>
  <c r="AV19" i="23"/>
  <c r="AX20" i="23"/>
  <c r="BA20" i="23" s="1"/>
  <c r="AZ20" i="23"/>
  <c r="AY20" i="23"/>
  <c r="BQ19" i="23"/>
  <c r="BO19" i="23"/>
  <c r="Z19" i="18"/>
  <c r="AH19" i="18" s="1"/>
  <c r="CO19" i="23"/>
  <c r="V19" i="23"/>
  <c r="X19" i="23" s="1"/>
  <c r="U19" i="23"/>
  <c r="W19" i="23" s="1"/>
  <c r="AC19" i="20"/>
  <c r="V20" i="18"/>
  <c r="X20" i="18" s="1"/>
  <c r="U20" i="18"/>
  <c r="W20" i="18" s="1"/>
  <c r="Z19" i="19"/>
  <c r="BG21" i="23"/>
  <c r="BF22" i="23"/>
  <c r="AD19" i="21"/>
  <c r="AH19" i="21" s="1"/>
  <c r="AE19" i="21"/>
  <c r="AI19" i="21" s="1"/>
  <c r="AL18" i="21"/>
  <c r="AN18" i="21" s="1"/>
  <c r="U20" i="20"/>
  <c r="W20" i="20" s="1"/>
  <c r="V20" i="20"/>
  <c r="X20" i="20" s="1"/>
  <c r="AB20" i="18"/>
  <c r="AD20" i="18" s="1"/>
  <c r="Y19" i="23"/>
  <c r="AA19" i="23"/>
  <c r="AQ20" i="23"/>
  <c r="AS20" i="23" s="1"/>
  <c r="AR20" i="23"/>
  <c r="AT20" i="23" s="1"/>
  <c r="AD19" i="20"/>
  <c r="AH19" i="20" s="1"/>
  <c r="AF18" i="23" l="1"/>
  <c r="Z20" i="21"/>
  <c r="Y20" i="21" s="1"/>
  <c r="AC19" i="23"/>
  <c r="AE20" i="21"/>
  <c r="AI20" i="21" s="1"/>
  <c r="AD20" i="21"/>
  <c r="AE20" i="19"/>
  <c r="AI20" i="19" s="1"/>
  <c r="AL19" i="19"/>
  <c r="BU19" i="23"/>
  <c r="AC20" i="19"/>
  <c r="AM19" i="19"/>
  <c r="AH19" i="19"/>
  <c r="AC20" i="18"/>
  <c r="AK20" i="18" s="1"/>
  <c r="BV19" i="23"/>
  <c r="BS19" i="23"/>
  <c r="BR19" i="23" s="1"/>
  <c r="AN18" i="20"/>
  <c r="AN18" i="18"/>
  <c r="BX18" i="23"/>
  <c r="CW18" i="23" s="1"/>
  <c r="DA15" i="23" s="1"/>
  <c r="K13" i="24" s="1"/>
  <c r="AC20" i="21"/>
  <c r="U20" i="23"/>
  <c r="V20" i="23"/>
  <c r="AB21" i="21"/>
  <c r="AF21" i="21" s="1"/>
  <c r="P22" i="18"/>
  <c r="T22" i="18"/>
  <c r="S22" i="18"/>
  <c r="Q22" i="18"/>
  <c r="R22" i="18"/>
  <c r="CJ20" i="23"/>
  <c r="CL20" i="23" s="1"/>
  <c r="CI20" i="23"/>
  <c r="CK20" i="23" s="1"/>
  <c r="AR21" i="23"/>
  <c r="AT21" i="23" s="1"/>
  <c r="AQ21" i="23"/>
  <c r="AS21" i="23" s="1"/>
  <c r="N23" i="23"/>
  <c r="O22" i="23"/>
  <c r="V21" i="18"/>
  <c r="X21" i="18" s="1"/>
  <c r="U21" i="18"/>
  <c r="W21" i="18" s="1"/>
  <c r="Y21" i="18"/>
  <c r="AA21" i="18"/>
  <c r="AA21" i="21"/>
  <c r="CP20" i="23"/>
  <c r="CR20" i="23" s="1"/>
  <c r="AW21" i="23"/>
  <c r="AU21" i="23"/>
  <c r="AB21" i="20"/>
  <c r="AF21" i="20" s="1"/>
  <c r="AA20" i="20"/>
  <c r="Z20" i="20" s="1"/>
  <c r="AX21" i="23"/>
  <c r="AY21" i="23" s="1"/>
  <c r="BA21" i="23"/>
  <c r="AN22" i="23"/>
  <c r="AO22" i="23"/>
  <c r="AM22" i="23"/>
  <c r="AL22" i="23"/>
  <c r="AP22" i="23"/>
  <c r="CO20" i="23"/>
  <c r="V21" i="21"/>
  <c r="X21" i="21" s="1"/>
  <c r="U21" i="21"/>
  <c r="W21" i="21" s="1"/>
  <c r="U21" i="20"/>
  <c r="V21" i="20"/>
  <c r="X21" i="20" s="1"/>
  <c r="AH20" i="21"/>
  <c r="BN20" i="23"/>
  <c r="BP20" i="23" s="1"/>
  <c r="BM20" i="23"/>
  <c r="BO20" i="23" s="1"/>
  <c r="W21" i="20"/>
  <c r="Y21" i="20"/>
  <c r="U21" i="19"/>
  <c r="V21" i="19"/>
  <c r="AB21" i="18"/>
  <c r="AF21" i="18" s="1"/>
  <c r="S21" i="23"/>
  <c r="R21" i="23"/>
  <c r="T21" i="23"/>
  <c r="Q21" i="23"/>
  <c r="P21" i="23"/>
  <c r="AB21" i="19"/>
  <c r="AF21" i="19" s="1"/>
  <c r="AL19" i="18"/>
  <c r="Z20" i="18"/>
  <c r="AH20" i="18" s="1"/>
  <c r="CN19" i="23"/>
  <c r="CM19" i="23" s="1"/>
  <c r="O23" i="21"/>
  <c r="N24" i="21"/>
  <c r="BL21" i="23"/>
  <c r="BK21" i="23"/>
  <c r="BI21" i="23"/>
  <c r="BH21" i="23"/>
  <c r="BJ21" i="23"/>
  <c r="Z19" i="23"/>
  <c r="AG19" i="20"/>
  <c r="AM19" i="20"/>
  <c r="AK19" i="20"/>
  <c r="AL19" i="20"/>
  <c r="BQ20" i="23"/>
  <c r="BT20" i="23"/>
  <c r="BV20" i="23" s="1"/>
  <c r="X21" i="19"/>
  <c r="AA21" i="19"/>
  <c r="Y21" i="19"/>
  <c r="W21" i="19"/>
  <c r="Q22" i="21"/>
  <c r="S22" i="21"/>
  <c r="T22" i="21"/>
  <c r="R22" i="21"/>
  <c r="P22" i="21"/>
  <c r="BF23" i="23"/>
  <c r="BG22" i="23"/>
  <c r="AG19" i="21"/>
  <c r="AK19" i="21"/>
  <c r="AM19" i="21"/>
  <c r="AL19" i="21"/>
  <c r="R22" i="19"/>
  <c r="Q22" i="19"/>
  <c r="T22" i="19"/>
  <c r="S22" i="19"/>
  <c r="P22" i="19"/>
  <c r="R22" i="20"/>
  <c r="Q22" i="20"/>
  <c r="T22" i="20"/>
  <c r="S22" i="20"/>
  <c r="P22" i="20"/>
  <c r="AE20" i="20"/>
  <c r="AI20" i="20" s="1"/>
  <c r="CS19" i="23"/>
  <c r="O23" i="19"/>
  <c r="N24" i="19"/>
  <c r="AM19" i="18"/>
  <c r="O23" i="18"/>
  <c r="N24" i="18"/>
  <c r="AD20" i="20"/>
  <c r="AB20" i="23"/>
  <c r="AD20" i="23" s="1"/>
  <c r="CQ19" i="23"/>
  <c r="AG20" i="19"/>
  <c r="AM20" i="19"/>
  <c r="AK20" i="19"/>
  <c r="AL20" i="19"/>
  <c r="AA20" i="23"/>
  <c r="X20" i="23"/>
  <c r="W20" i="23"/>
  <c r="Y20" i="23"/>
  <c r="CH21" i="23"/>
  <c r="CG21" i="23"/>
  <c r="CF21" i="23"/>
  <c r="CE21" i="23"/>
  <c r="CD21" i="23"/>
  <c r="AE20" i="18"/>
  <c r="AI20" i="18" s="1"/>
  <c r="AF20" i="18"/>
  <c r="CB23" i="23"/>
  <c r="CC22" i="23"/>
  <c r="O23" i="20"/>
  <c r="N24" i="20"/>
  <c r="AK23" i="23"/>
  <c r="AJ24" i="23"/>
  <c r="AC20" i="20"/>
  <c r="Z20" i="19"/>
  <c r="AH20" i="19" s="1"/>
  <c r="AV20" i="23"/>
  <c r="BU20" i="23" l="1"/>
  <c r="BW20" i="23"/>
  <c r="AD21" i="21"/>
  <c r="AH20" i="20"/>
  <c r="AL20" i="21"/>
  <c r="AG20" i="18"/>
  <c r="AN19" i="19"/>
  <c r="CS20" i="23"/>
  <c r="AE21" i="21"/>
  <c r="AI21" i="21" s="1"/>
  <c r="CQ20" i="23"/>
  <c r="AM20" i="21"/>
  <c r="AK20" i="21"/>
  <c r="Z21" i="21"/>
  <c r="Y21" i="21" s="1"/>
  <c r="Z21" i="18"/>
  <c r="AN19" i="20"/>
  <c r="AG20" i="21"/>
  <c r="AC21" i="18"/>
  <c r="AG21" i="18" s="1"/>
  <c r="AC21" i="21"/>
  <c r="AA21" i="20"/>
  <c r="Z21" i="20" s="1"/>
  <c r="Z20" i="23"/>
  <c r="V22" i="19"/>
  <c r="X22" i="19" s="1"/>
  <c r="U22" i="19"/>
  <c r="W22" i="19" s="1"/>
  <c r="CO21" i="23"/>
  <c r="CP21" i="23"/>
  <c r="CS21" i="23" s="1"/>
  <c r="O24" i="19"/>
  <c r="N25" i="19"/>
  <c r="O25" i="19" s="1"/>
  <c r="AA21" i="23"/>
  <c r="Y21" i="23"/>
  <c r="AR22" i="23"/>
  <c r="AT22" i="23" s="1"/>
  <c r="AQ22" i="23"/>
  <c r="AS22" i="23" s="1"/>
  <c r="AB22" i="18"/>
  <c r="AD22" i="18" s="1"/>
  <c r="AC22" i="18"/>
  <c r="AN19" i="21"/>
  <c r="AW22" i="23"/>
  <c r="AU22" i="23"/>
  <c r="Y22" i="18"/>
  <c r="AA22" i="18"/>
  <c r="N25" i="18"/>
  <c r="O25" i="18" s="1"/>
  <c r="O24" i="18"/>
  <c r="AN23" i="23"/>
  <c r="AM23" i="23"/>
  <c r="AP23" i="23"/>
  <c r="AO23" i="23"/>
  <c r="AL23" i="23"/>
  <c r="U22" i="20"/>
  <c r="W22" i="20" s="1"/>
  <c r="V22" i="20"/>
  <c r="X22" i="20" s="1"/>
  <c r="O24" i="21"/>
  <c r="N25" i="21"/>
  <c r="O25" i="21" s="1"/>
  <c r="AB21" i="23"/>
  <c r="AE21" i="23" s="1"/>
  <c r="AD21" i="23"/>
  <c r="AC20" i="23"/>
  <c r="AA22" i="19"/>
  <c r="Y22" i="19"/>
  <c r="BS20" i="23"/>
  <c r="BR20" i="23" s="1"/>
  <c r="AK24" i="23"/>
  <c r="AJ25" i="23"/>
  <c r="AK25" i="23" s="1"/>
  <c r="AE20" i="23"/>
  <c r="N25" i="20"/>
  <c r="O25" i="20" s="1"/>
  <c r="O24" i="20"/>
  <c r="T23" i="20"/>
  <c r="R23" i="20"/>
  <c r="S23" i="20"/>
  <c r="Q23" i="20"/>
  <c r="P23" i="20"/>
  <c r="AL20" i="18"/>
  <c r="Z21" i="19"/>
  <c r="T23" i="21"/>
  <c r="P23" i="21"/>
  <c r="R23" i="21"/>
  <c r="Q23" i="21"/>
  <c r="S23" i="21"/>
  <c r="AX22" i="23"/>
  <c r="BA22" i="23" s="1"/>
  <c r="AV21" i="23"/>
  <c r="V22" i="18"/>
  <c r="X22" i="18" s="1"/>
  <c r="U22" i="18"/>
  <c r="W22" i="18" s="1"/>
  <c r="CB24" i="23"/>
  <c r="CC23" i="23"/>
  <c r="AN20" i="19"/>
  <c r="Y22" i="20"/>
  <c r="BL22" i="23"/>
  <c r="BK22" i="23"/>
  <c r="BJ22" i="23"/>
  <c r="BI22" i="23"/>
  <c r="BH22" i="23"/>
  <c r="BT21" i="23"/>
  <c r="BW21" i="23" s="1"/>
  <c r="BU21" i="23"/>
  <c r="AD21" i="18"/>
  <c r="AH21" i="18" s="1"/>
  <c r="AZ21" i="23"/>
  <c r="AM21" i="21"/>
  <c r="CF22" i="23"/>
  <c r="CE22" i="23"/>
  <c r="CD22" i="23"/>
  <c r="CH22" i="23"/>
  <c r="CG22" i="23"/>
  <c r="AM20" i="18"/>
  <c r="AB22" i="20"/>
  <c r="AF22" i="20" s="1"/>
  <c r="BG23" i="23"/>
  <c r="BF24" i="23"/>
  <c r="BN21" i="23"/>
  <c r="BP21" i="23" s="1"/>
  <c r="BM21" i="23"/>
  <c r="BO21" i="23" s="1"/>
  <c r="AN19" i="18"/>
  <c r="AE21" i="18"/>
  <c r="AI21" i="18" s="1"/>
  <c r="S22" i="23"/>
  <c r="Q22" i="23"/>
  <c r="P22" i="23"/>
  <c r="T22" i="23"/>
  <c r="R22" i="23"/>
  <c r="AH21" i="21"/>
  <c r="U22" i="21"/>
  <c r="W22" i="21" s="1"/>
  <c r="V22" i="21"/>
  <c r="X22" i="21" s="1"/>
  <c r="BQ21" i="23"/>
  <c r="AE21" i="19"/>
  <c r="AI21" i="19" s="1"/>
  <c r="O23" i="23"/>
  <c r="N24" i="23"/>
  <c r="CJ21" i="23"/>
  <c r="CL21" i="23" s="1"/>
  <c r="CI21" i="23"/>
  <c r="CK21" i="23" s="1"/>
  <c r="Q23" i="18"/>
  <c r="S23" i="18"/>
  <c r="R23" i="18"/>
  <c r="P23" i="18"/>
  <c r="T23" i="18"/>
  <c r="AB22" i="21"/>
  <c r="AF22" i="21" s="1"/>
  <c r="AD21" i="19"/>
  <c r="AH21" i="19" s="1"/>
  <c r="AC21" i="19"/>
  <c r="AD21" i="20"/>
  <c r="AH21" i="20" s="1"/>
  <c r="CN20" i="23"/>
  <c r="CM20" i="23" s="1"/>
  <c r="AC21" i="20"/>
  <c r="AG20" i="20"/>
  <c r="AL20" i="20"/>
  <c r="AK20" i="20"/>
  <c r="AM20" i="20"/>
  <c r="R23" i="19"/>
  <c r="T23" i="19"/>
  <c r="S23" i="19"/>
  <c r="Q23" i="19"/>
  <c r="P23" i="19"/>
  <c r="AB22" i="19"/>
  <c r="AF22" i="19" s="1"/>
  <c r="AA22" i="21"/>
  <c r="AN20" i="21"/>
  <c r="V21" i="23"/>
  <c r="X21" i="23" s="1"/>
  <c r="U21" i="23"/>
  <c r="W21" i="23" s="1"/>
  <c r="AE21" i="20"/>
  <c r="CQ21" i="23" l="1"/>
  <c r="AG21" i="21"/>
  <c r="AC21" i="23"/>
  <c r="AL21" i="21"/>
  <c r="CR21" i="23"/>
  <c r="AK21" i="21"/>
  <c r="AE22" i="19"/>
  <c r="AI22" i="19" s="1"/>
  <c r="AD22" i="21"/>
  <c r="AC22" i="21"/>
  <c r="AG22" i="21" s="1"/>
  <c r="AI21" i="20"/>
  <c r="AA22" i="20"/>
  <c r="Z22" i="20" s="1"/>
  <c r="AD22" i="19"/>
  <c r="AE22" i="20"/>
  <c r="BV21" i="23"/>
  <c r="AE22" i="21"/>
  <c r="AI22" i="21" s="1"/>
  <c r="AZ22" i="23"/>
  <c r="AC22" i="19"/>
  <c r="Z22" i="21"/>
  <c r="Y22" i="21" s="1"/>
  <c r="AC22" i="20"/>
  <c r="AK22" i="20" s="1"/>
  <c r="AD22" i="20"/>
  <c r="AB22" i="23"/>
  <c r="AC22" i="23" s="1"/>
  <c r="Y23" i="20"/>
  <c r="AV22" i="23"/>
  <c r="T24" i="19"/>
  <c r="R24" i="19"/>
  <c r="P24" i="19"/>
  <c r="S24" i="19"/>
  <c r="Q24" i="19"/>
  <c r="Y23" i="18"/>
  <c r="AA23" i="18"/>
  <c r="Z22" i="19"/>
  <c r="AU23" i="23"/>
  <c r="AW23" i="23"/>
  <c r="AG21" i="20"/>
  <c r="AK21" i="20"/>
  <c r="AM21" i="20"/>
  <c r="AL21" i="20"/>
  <c r="AG21" i="19"/>
  <c r="AL21" i="19"/>
  <c r="AK21" i="19"/>
  <c r="AM21" i="19"/>
  <c r="AY22" i="23"/>
  <c r="AB23" i="20"/>
  <c r="AF23" i="20" s="1"/>
  <c r="AX23" i="23"/>
  <c r="BA23" i="23" s="1"/>
  <c r="AK22" i="18"/>
  <c r="AG22" i="18"/>
  <c r="T24" i="18"/>
  <c r="R24" i="18"/>
  <c r="Q24" i="18"/>
  <c r="S24" i="18"/>
  <c r="P24" i="18"/>
  <c r="BL23" i="23"/>
  <c r="BK23" i="23"/>
  <c r="BI23" i="23"/>
  <c r="BJ23" i="23"/>
  <c r="BH23" i="23"/>
  <c r="T25" i="19"/>
  <c r="S25" i="19"/>
  <c r="P25" i="19"/>
  <c r="R25" i="19"/>
  <c r="Q25" i="19"/>
  <c r="N25" i="23"/>
  <c r="O25" i="23" s="1"/>
  <c r="O24" i="23"/>
  <c r="CH23" i="23"/>
  <c r="CG23" i="23"/>
  <c r="CF23" i="23"/>
  <c r="CD23" i="23"/>
  <c r="CE23" i="23"/>
  <c r="T24" i="20"/>
  <c r="S24" i="20"/>
  <c r="Q24" i="20"/>
  <c r="P24" i="20"/>
  <c r="R24" i="20"/>
  <c r="Q25" i="18"/>
  <c r="P25" i="18"/>
  <c r="S25" i="18"/>
  <c r="R25" i="18"/>
  <c r="T25" i="18"/>
  <c r="AE22" i="18"/>
  <c r="AI22" i="18" s="1"/>
  <c r="AF22" i="18"/>
  <c r="AA23" i="19"/>
  <c r="Y23" i="19"/>
  <c r="AA22" i="23"/>
  <c r="Y22" i="23"/>
  <c r="CB25" i="23"/>
  <c r="CC25" i="23" s="1"/>
  <c r="CC24" i="23"/>
  <c r="AA23" i="21"/>
  <c r="Q25" i="20"/>
  <c r="P25" i="20"/>
  <c r="R25" i="20"/>
  <c r="S25" i="20"/>
  <c r="T25" i="20"/>
  <c r="V23" i="19"/>
  <c r="X23" i="19" s="1"/>
  <c r="U23" i="19"/>
  <c r="W23" i="19" s="1"/>
  <c r="V22" i="23"/>
  <c r="X22" i="23" s="1"/>
  <c r="U22" i="23"/>
  <c r="W22" i="23" s="1"/>
  <c r="AL21" i="18"/>
  <c r="T25" i="21"/>
  <c r="P25" i="21"/>
  <c r="S25" i="21"/>
  <c r="Q25" i="21"/>
  <c r="R25" i="21"/>
  <c r="Z22" i="18"/>
  <c r="AH22" i="18" s="1"/>
  <c r="CN21" i="23"/>
  <c r="CM21" i="23" s="1"/>
  <c r="AR23" i="23"/>
  <c r="AT23" i="23" s="1"/>
  <c r="AQ23" i="23"/>
  <c r="AS23" i="23" s="1"/>
  <c r="V23" i="20"/>
  <c r="X23" i="20" s="1"/>
  <c r="U23" i="20"/>
  <c r="W23" i="20" s="1"/>
  <c r="AN20" i="18"/>
  <c r="AH22" i="21"/>
  <c r="BS21" i="23"/>
  <c r="BR21" i="23" s="1"/>
  <c r="CO22" i="23"/>
  <c r="BM22" i="23"/>
  <c r="BO22" i="23" s="1"/>
  <c r="BN22" i="23"/>
  <c r="BP22" i="23" s="1"/>
  <c r="AM21" i="18"/>
  <c r="V23" i="21"/>
  <c r="X23" i="21" s="1"/>
  <c r="U23" i="21"/>
  <c r="W23" i="21" s="1"/>
  <c r="AO25" i="23"/>
  <c r="AN25" i="23"/>
  <c r="AM25" i="23"/>
  <c r="AP25" i="23"/>
  <c r="AL25" i="23"/>
  <c r="R24" i="21"/>
  <c r="T24" i="21"/>
  <c r="S24" i="21"/>
  <c r="P24" i="21"/>
  <c r="Q24" i="21"/>
  <c r="CP22" i="23"/>
  <c r="CS22" i="23" s="1"/>
  <c r="AK21" i="18"/>
  <c r="AL24" i="23"/>
  <c r="AO24" i="23"/>
  <c r="AP24" i="23"/>
  <c r="AN24" i="23"/>
  <c r="AM24" i="23"/>
  <c r="AB23" i="18"/>
  <c r="AC23" i="18" s="1"/>
  <c r="Q23" i="23"/>
  <c r="P23" i="23"/>
  <c r="T23" i="23"/>
  <c r="S23" i="23"/>
  <c r="R23" i="23"/>
  <c r="AB23" i="19"/>
  <c r="AF23" i="19" s="1"/>
  <c r="AD23" i="19"/>
  <c r="CJ22" i="23"/>
  <c r="CL22" i="23" s="1"/>
  <c r="CI22" i="23"/>
  <c r="CK22" i="23" s="1"/>
  <c r="AB23" i="21"/>
  <c r="AF23" i="21" s="1"/>
  <c r="BQ22" i="23"/>
  <c r="AN20" i="20"/>
  <c r="V23" i="18"/>
  <c r="X23" i="18" s="1"/>
  <c r="U23" i="18"/>
  <c r="W23" i="18" s="1"/>
  <c r="BF25" i="23"/>
  <c r="BG25" i="23" s="1"/>
  <c r="BG24" i="23"/>
  <c r="AN21" i="21"/>
  <c r="BT22" i="23"/>
  <c r="BV22" i="23" s="1"/>
  <c r="BU22" i="23"/>
  <c r="Z21" i="23"/>
  <c r="AY23" i="23" l="1"/>
  <c r="AK22" i="21"/>
  <c r="BW22" i="23"/>
  <c r="AL22" i="18"/>
  <c r="AZ23" i="23"/>
  <c r="AC23" i="20"/>
  <c r="AI22" i="20"/>
  <c r="CQ22" i="23"/>
  <c r="AE23" i="20"/>
  <c r="AM22" i="20"/>
  <c r="AL22" i="20"/>
  <c r="AM22" i="19"/>
  <c r="AG22" i="20"/>
  <c r="AN21" i="19"/>
  <c r="Z23" i="18"/>
  <c r="AM22" i="21"/>
  <c r="AG22" i="19"/>
  <c r="AL22" i="21"/>
  <c r="AN22" i="21" s="1"/>
  <c r="AH22" i="20"/>
  <c r="AH22" i="19"/>
  <c r="AD22" i="23"/>
  <c r="AM22" i="18"/>
  <c r="AN22" i="18" s="1"/>
  <c r="AN21" i="20"/>
  <c r="AL22" i="19"/>
  <c r="AD23" i="21"/>
  <c r="AK22" i="19"/>
  <c r="AG23" i="18"/>
  <c r="V24" i="19"/>
  <c r="X24" i="19" s="1"/>
  <c r="U24" i="19"/>
  <c r="W24" i="19" s="1"/>
  <c r="AC23" i="19"/>
  <c r="CE25" i="23"/>
  <c r="CD25" i="23"/>
  <c r="CG25" i="23"/>
  <c r="CH25" i="23"/>
  <c r="CF25" i="23"/>
  <c r="Z23" i="19"/>
  <c r="AH23" i="19" s="1"/>
  <c r="AB24" i="19"/>
  <c r="AF24" i="19" s="1"/>
  <c r="BN23" i="23"/>
  <c r="BM23" i="23"/>
  <c r="CO23" i="23"/>
  <c r="AB23" i="23"/>
  <c r="AE23" i="23" s="1"/>
  <c r="AR24" i="23"/>
  <c r="AT24" i="23" s="1"/>
  <c r="AQ24" i="23"/>
  <c r="AA24" i="21"/>
  <c r="CJ23" i="23"/>
  <c r="CL23" i="23" s="1"/>
  <c r="CI23" i="23"/>
  <c r="CK23" i="23" s="1"/>
  <c r="BT23" i="23"/>
  <c r="BW23" i="23" s="1"/>
  <c r="AX24" i="23"/>
  <c r="BA24" i="23" s="1"/>
  <c r="V24" i="21"/>
  <c r="X24" i="21" s="1"/>
  <c r="U24" i="21"/>
  <c r="W24" i="21" s="1"/>
  <c r="CP23" i="23"/>
  <c r="CS23" i="23" s="1"/>
  <c r="AB25" i="18"/>
  <c r="AD25" i="18" s="1"/>
  <c r="CH24" i="23"/>
  <c r="CG24" i="23"/>
  <c r="CF24" i="23"/>
  <c r="CE24" i="23"/>
  <c r="CD24" i="23"/>
  <c r="BS22" i="23"/>
  <c r="BR22" i="23" s="1"/>
  <c r="AC23" i="21"/>
  <c r="U23" i="23"/>
  <c r="W23" i="23" s="1"/>
  <c r="V23" i="23"/>
  <c r="X23" i="23" s="1"/>
  <c r="CR22" i="23"/>
  <c r="AB25" i="21"/>
  <c r="AF25" i="21" s="1"/>
  <c r="AB25" i="20"/>
  <c r="AF25" i="20" s="1"/>
  <c r="AA23" i="20"/>
  <c r="Z23" i="20" s="1"/>
  <c r="AE23" i="21"/>
  <c r="AI23" i="21" s="1"/>
  <c r="AA23" i="23"/>
  <c r="Y23" i="23"/>
  <c r="AB24" i="21"/>
  <c r="AF24" i="21" s="1"/>
  <c r="AA25" i="21"/>
  <c r="U25" i="20"/>
  <c r="W25" i="20" s="1"/>
  <c r="V25" i="20"/>
  <c r="X25" i="20" s="1"/>
  <c r="U25" i="18"/>
  <c r="W25" i="18" s="1"/>
  <c r="V25" i="18"/>
  <c r="X25" i="18" s="1"/>
  <c r="S24" i="23"/>
  <c r="R24" i="23"/>
  <c r="Q24" i="23"/>
  <c r="P24" i="23"/>
  <c r="T24" i="23"/>
  <c r="CN22" i="23"/>
  <c r="CM22" i="23" s="1"/>
  <c r="Y25" i="20"/>
  <c r="S25" i="23"/>
  <c r="R25" i="23"/>
  <c r="Q25" i="23"/>
  <c r="P25" i="23"/>
  <c r="T25" i="23"/>
  <c r="U24" i="18"/>
  <c r="W24" i="18" s="1"/>
  <c r="V24" i="18"/>
  <c r="X24" i="18" s="1"/>
  <c r="AD23" i="20"/>
  <c r="AM23" i="20" s="1"/>
  <c r="AE22" i="23"/>
  <c r="BQ23" i="23"/>
  <c r="BP23" i="23"/>
  <c r="BO23" i="23"/>
  <c r="AD23" i="18"/>
  <c r="AH23" i="18" s="1"/>
  <c r="AR25" i="23"/>
  <c r="AT25" i="23" s="1"/>
  <c r="AQ25" i="23"/>
  <c r="AS25" i="23" s="1"/>
  <c r="Y25" i="18"/>
  <c r="AA25" i="18"/>
  <c r="BL24" i="23"/>
  <c r="BK24" i="23"/>
  <c r="BJ24" i="23"/>
  <c r="BI24" i="23"/>
  <c r="BH24" i="23"/>
  <c r="V25" i="21"/>
  <c r="X25" i="21" s="1"/>
  <c r="U25" i="21"/>
  <c r="W25" i="21" s="1"/>
  <c r="Z22" i="23"/>
  <c r="AB24" i="20"/>
  <c r="AF24" i="20" s="1"/>
  <c r="AA25" i="19"/>
  <c r="Y25" i="19"/>
  <c r="AW25" i="23"/>
  <c r="AU25" i="23"/>
  <c r="Z23" i="21"/>
  <c r="Y23" i="21" s="1"/>
  <c r="U24" i="20"/>
  <c r="W24" i="20" s="1"/>
  <c r="V24" i="20"/>
  <c r="X24" i="20" s="1"/>
  <c r="AB25" i="19"/>
  <c r="AF25" i="19" s="1"/>
  <c r="Y24" i="18"/>
  <c r="AA24" i="18"/>
  <c r="AG23" i="20"/>
  <c r="AA24" i="19"/>
  <c r="Y24" i="19"/>
  <c r="AV23" i="23"/>
  <c r="BL25" i="23"/>
  <c r="BK25" i="23"/>
  <c r="BI25" i="23"/>
  <c r="BJ25" i="23"/>
  <c r="BH25" i="23"/>
  <c r="AE23" i="18"/>
  <c r="AI23" i="18" s="1"/>
  <c r="AF23" i="18"/>
  <c r="AE23" i="19"/>
  <c r="AI23" i="19" s="1"/>
  <c r="AS24" i="23"/>
  <c r="AU24" i="23"/>
  <c r="AW24" i="23"/>
  <c r="AX25" i="23"/>
  <c r="AZ25" i="23" s="1"/>
  <c r="AN21" i="18"/>
  <c r="Y24" i="20"/>
  <c r="V25" i="19"/>
  <c r="X25" i="19" s="1"/>
  <c r="U25" i="19"/>
  <c r="W25" i="19" s="1"/>
  <c r="AB24" i="18"/>
  <c r="AF24" i="18" s="1"/>
  <c r="AN22" i="20" l="1"/>
  <c r="AN22" i="19"/>
  <c r="AY24" i="23"/>
  <c r="AZ24" i="23"/>
  <c r="AY25" i="23"/>
  <c r="CR23" i="23"/>
  <c r="AC24" i="20"/>
  <c r="AG24" i="20" s="1"/>
  <c r="AC25" i="19"/>
  <c r="AE25" i="20"/>
  <c r="AD24" i="18"/>
  <c r="AH24" i="18" s="1"/>
  <c r="AD25" i="20"/>
  <c r="AC24" i="21"/>
  <c r="AK24" i="21" s="1"/>
  <c r="AE24" i="21"/>
  <c r="AI24" i="21" s="1"/>
  <c r="AD24" i="21"/>
  <c r="AK23" i="20"/>
  <c r="AD24" i="19"/>
  <c r="Z25" i="18"/>
  <c r="AH25" i="18" s="1"/>
  <c r="AC25" i="20"/>
  <c r="AG25" i="20" s="1"/>
  <c r="AE24" i="19"/>
  <c r="AI24" i="19" s="1"/>
  <c r="CN23" i="23"/>
  <c r="CM23" i="23" s="1"/>
  <c r="BA25" i="23"/>
  <c r="AE25" i="19"/>
  <c r="AI25" i="19" s="1"/>
  <c r="Z24" i="18"/>
  <c r="AA24" i="20"/>
  <c r="Z24" i="20" s="1"/>
  <c r="Z25" i="21"/>
  <c r="Y25" i="21" s="1"/>
  <c r="AD25" i="19"/>
  <c r="AI23" i="20"/>
  <c r="BM24" i="23"/>
  <c r="BO24" i="23" s="1"/>
  <c r="BN24" i="23"/>
  <c r="BP24" i="23" s="1"/>
  <c r="AC25" i="18"/>
  <c r="BU23" i="23"/>
  <c r="CP25" i="23"/>
  <c r="CS25" i="23" s="1"/>
  <c r="AV24" i="23"/>
  <c r="Z24" i="19"/>
  <c r="BQ24" i="23"/>
  <c r="BS23" i="23"/>
  <c r="BR23" i="23" s="1"/>
  <c r="Z23" i="23"/>
  <c r="BV23" i="23"/>
  <c r="AH23" i="20"/>
  <c r="AG23" i="21"/>
  <c r="AM23" i="21"/>
  <c r="AK23" i="21"/>
  <c r="AL23" i="21"/>
  <c r="CQ23" i="23"/>
  <c r="CO25" i="23"/>
  <c r="AM25" i="20"/>
  <c r="AK25" i="20"/>
  <c r="AL25" i="20"/>
  <c r="AH23" i="21"/>
  <c r="Z24" i="21"/>
  <c r="Y24" i="21" s="1"/>
  <c r="AG23" i="19"/>
  <c r="AM23" i="19"/>
  <c r="AK23" i="19"/>
  <c r="AL23" i="19"/>
  <c r="AG25" i="19"/>
  <c r="AK25" i="19"/>
  <c r="AL25" i="19"/>
  <c r="AE24" i="20"/>
  <c r="AD24" i="20"/>
  <c r="CI24" i="23"/>
  <c r="CK24" i="23" s="1"/>
  <c r="CJ24" i="23"/>
  <c r="AA25" i="20"/>
  <c r="Z25" i="20" s="1"/>
  <c r="V25" i="23"/>
  <c r="X25" i="23" s="1"/>
  <c r="U25" i="23"/>
  <c r="W25" i="23" s="1"/>
  <c r="CO24" i="23"/>
  <c r="CL24" i="23"/>
  <c r="AK23" i="18"/>
  <c r="Z25" i="19"/>
  <c r="CJ25" i="23"/>
  <c r="CL25" i="23" s="1"/>
  <c r="CI25" i="23"/>
  <c r="CK25" i="23" s="1"/>
  <c r="AL23" i="20"/>
  <c r="AN23" i="20" s="1"/>
  <c r="Y24" i="23"/>
  <c r="AA24" i="23"/>
  <c r="BQ25" i="23"/>
  <c r="AV25" i="23"/>
  <c r="Y25" i="23"/>
  <c r="AA25" i="23"/>
  <c r="AB24" i="23"/>
  <c r="AE24" i="23" s="1"/>
  <c r="AD25" i="21"/>
  <c r="AH25" i="21" s="1"/>
  <c r="CP24" i="23"/>
  <c r="CS24" i="23" s="1"/>
  <c r="AC24" i="19"/>
  <c r="AL23" i="18"/>
  <c r="U24" i="23"/>
  <c r="W24" i="23" s="1"/>
  <c r="V24" i="23"/>
  <c r="X24" i="23" s="1"/>
  <c r="BT25" i="23"/>
  <c r="BW25" i="23" s="1"/>
  <c r="AE24" i="18"/>
  <c r="AI24" i="18" s="1"/>
  <c r="AB25" i="23"/>
  <c r="AE25" i="23" s="1"/>
  <c r="AE25" i="21"/>
  <c r="AI25" i="21" s="1"/>
  <c r="AD23" i="23"/>
  <c r="AM23" i="18"/>
  <c r="BT24" i="23"/>
  <c r="BW24" i="23" s="1"/>
  <c r="AE25" i="18"/>
  <c r="AI25" i="18" s="1"/>
  <c r="AF25" i="18"/>
  <c r="BN25" i="23"/>
  <c r="BP25" i="23" s="1"/>
  <c r="BM25" i="23"/>
  <c r="BO25" i="23" s="1"/>
  <c r="AC24" i="18"/>
  <c r="AC25" i="21"/>
  <c r="AC23" i="23"/>
  <c r="BV25" i="23" l="1"/>
  <c r="AH25" i="20"/>
  <c r="AG24" i="21"/>
  <c r="AM25" i="19"/>
  <c r="AM24" i="21"/>
  <c r="AL24" i="21"/>
  <c r="AN24" i="21" s="1"/>
  <c r="AH24" i="19"/>
  <c r="AK24" i="20"/>
  <c r="BV24" i="23"/>
  <c r="BU24" i="23"/>
  <c r="AN25" i="20"/>
  <c r="CR24" i="23"/>
  <c r="CR25" i="23"/>
  <c r="AD25" i="23"/>
  <c r="AC25" i="23"/>
  <c r="AC24" i="23"/>
  <c r="CQ25" i="23"/>
  <c r="BS24" i="23"/>
  <c r="BR24" i="23" s="1"/>
  <c r="AH25" i="19"/>
  <c r="AH24" i="20"/>
  <c r="CQ24" i="23"/>
  <c r="AI24" i="20"/>
  <c r="AN25" i="19"/>
  <c r="AN23" i="21"/>
  <c r="AN23" i="18"/>
  <c r="AM24" i="20"/>
  <c r="AI25" i="20"/>
  <c r="Z25" i="23"/>
  <c r="AG24" i="19"/>
  <c r="AK24" i="19"/>
  <c r="AL24" i="19"/>
  <c r="AM24" i="19"/>
  <c r="AL24" i="20"/>
  <c r="AG25" i="18"/>
  <c r="AL25" i="18"/>
  <c r="AM25" i="18"/>
  <c r="AK25" i="18"/>
  <c r="CN24" i="23"/>
  <c r="CM24" i="23" s="1"/>
  <c r="AG24" i="18"/>
  <c r="AL24" i="18"/>
  <c r="AM24" i="18"/>
  <c r="AK24" i="18"/>
  <c r="AH24" i="21"/>
  <c r="AG25" i="21"/>
  <c r="AK25" i="21"/>
  <c r="AL25" i="21"/>
  <c r="AM25" i="21"/>
  <c r="BS25" i="23"/>
  <c r="BR25" i="23" s="1"/>
  <c r="BU25" i="23"/>
  <c r="AD24" i="23"/>
  <c r="Z24" i="23"/>
  <c r="AN23" i="19"/>
  <c r="CN25" i="23"/>
  <c r="CM25" i="23" s="1"/>
  <c r="AN25" i="21" l="1"/>
  <c r="AN24" i="20"/>
  <c r="AN24" i="19"/>
  <c r="AN24" i="18"/>
  <c r="AN25" i="18"/>
</calcChain>
</file>

<file path=xl/sharedStrings.xml><?xml version="1.0" encoding="utf-8"?>
<sst xmlns="http://schemas.openxmlformats.org/spreadsheetml/2006/main" count="752" uniqueCount="144">
  <si>
    <t>INPUTS - paste raw measured data here (100 block cols A-D, 111 block cols F-I). Constants at cols L-M.</t>
  </si>
  <si>
    <t>Oil bar</t>
  </si>
  <si>
    <t>SBR 100 (S buffer)</t>
  </si>
  <si>
    <t>2TP 100 (raw)</t>
  </si>
  <si>
    <t>2TS 100 (raw)</t>
  </si>
  <si>
    <t>SBR 111 (S buffer)</t>
  </si>
  <si>
    <t>2TP 111 (raw)</t>
  </si>
  <si>
    <t>2TS 111 (raw)</t>
  </si>
  <si>
    <t>Linit 100 (initial length, mm)</t>
  </si>
  <si>
    <t>Lfin 100 (final/used length, mm)</t>
  </si>
  <si>
    <t>alpha 100 (thermal expansion)</t>
  </si>
  <si>
    <t>rho 100 (density g/cc)</t>
  </si>
  <si>
    <t>gamma 100 (Gruneisen)</t>
  </si>
  <si>
    <t>T 100 (K)</t>
  </si>
  <si>
    <t>SBR0 100 (0-P buffer S-time = first measured pt; source O24)</t>
  </si>
  <si>
    <t>scalar 100 =(1+a*g*T)/(12*rho*Lfin^2)</t>
  </si>
  <si>
    <t>Linit 111 (initial length, mm)</t>
  </si>
  <si>
    <t>Lfin 111 (final/used length, mm)</t>
  </si>
  <si>
    <t>alpha 111 (thermal expansion)</t>
  </si>
  <si>
    <t>rho 111 (density g/cc)</t>
  </si>
  <si>
    <t>gamma 111 (Gruneisen)</t>
  </si>
  <si>
    <t>T 111 (K)</t>
  </si>
  <si>
    <t>SBR0 111 (pressure_fit, 0-P buffer S-time)</t>
  </si>
  <si>
    <t>scalar 111 =(1+a*g*T)/(12*rho*Lfin^2)</t>
  </si>
  <si>
    <t>Cutoff HIGH oil bar (fit uses oil &lt;= this)</t>
  </si>
  <si>
    <t>Cutoff LOW oil bar (fit uses oil &gt;= this)</t>
  </si>
  <si>
    <t>Normalize flag (0/1, global fits)</t>
  </si>
  <si>
    <t>ALIGN - master pressure = 100 calibration; 111 travel times resampled onto master P via 6th-order polynomial (LINEST).</t>
  </si>
  <si>
    <t>P master (GPa)</t>
  </si>
  <si>
    <t>tP100</t>
  </si>
  <si>
    <t>tS100</t>
  </si>
  <si>
    <t>P111 (GPa)</t>
  </si>
  <si>
    <t>tP111 aligned</t>
  </si>
  <si>
    <t>tS111 aligned</t>
  </si>
  <si>
    <t>poly coeffs c6..c0 -&gt;</t>
  </si>
  <si>
    <t>2TP111:</t>
  </si>
  <si>
    <t>2TS111:</t>
  </si>
  <si>
    <t>P (GPa)</t>
  </si>
  <si>
    <t>tP111</t>
  </si>
  <si>
    <t>tS111</t>
  </si>
  <si>
    <t>L fit</t>
  </si>
  <si>
    <t>L111</t>
  </si>
  <si>
    <t>V0/V</t>
  </si>
  <si>
    <t>rho</t>
  </si>
  <si>
    <t>f</t>
  </si>
  <si>
    <t>Vp100</t>
  </si>
  <si>
    <t>Vs100</t>
  </si>
  <si>
    <t>Vp111</t>
  </si>
  <si>
    <t>Vs111</t>
  </si>
  <si>
    <t>rVp111^2</t>
  </si>
  <si>
    <t>rVs111^2</t>
  </si>
  <si>
    <t>C11 meas</t>
  </si>
  <si>
    <t>C12 meas</t>
  </si>
  <si>
    <t>C44 meas</t>
  </si>
  <si>
    <t>P_FS</t>
  </si>
  <si>
    <t>C11 mod</t>
  </si>
  <si>
    <t>C12 mod</t>
  </si>
  <si>
    <t>C44 mod</t>
  </si>
  <si>
    <t>dP</t>
  </si>
  <si>
    <t>dC11</t>
  </si>
  <si>
    <t>dC12</t>
  </si>
  <si>
    <t>dC44</t>
  </si>
  <si>
    <t>gated sq</t>
  </si>
  <si>
    <t>K bulk</t>
  </si>
  <si>
    <t>GV</t>
  </si>
  <si>
    <t>GR</t>
  </si>
  <si>
    <t>GH</t>
  </si>
  <si>
    <t>FIT PARAMS</t>
  </si>
  <si>
    <t>C11_0</t>
  </si>
  <si>
    <t>C12_0</t>
  </si>
  <si>
    <t>C44_0</t>
  </si>
  <si>
    <t>C11'</t>
  </si>
  <si>
    <t>C12'</t>
  </si>
  <si>
    <t>C44'</t>
  </si>
  <si>
    <t>K0</t>
  </si>
  <si>
    <t>K0'</t>
  </si>
  <si>
    <t>C11a</t>
  </si>
  <si>
    <t>C12a</t>
  </si>
  <si>
    <t>C44a</t>
  </si>
  <si>
    <t>OBJECTIVE (misfit)</t>
  </si>
  <si>
    <t>OUTPUTS</t>
  </si>
  <si>
    <t>GV0</t>
  </si>
  <si>
    <t>GR0</t>
  </si>
  <si>
    <t>GH0 (Hill)</t>
  </si>
  <si>
    <t>misfit</t>
  </si>
  <si>
    <t>Vp100r</t>
  </si>
  <si>
    <t>Vs100r</t>
  </si>
  <si>
    <t>Vp111r</t>
  </si>
  <si>
    <t>Vs111r</t>
  </si>
  <si>
    <t>vcombo2</t>
  </si>
  <si>
    <t>integrand</t>
  </si>
  <si>
    <t>trap</t>
  </si>
  <si>
    <t>Integral</t>
  </si>
  <si>
    <t>Cook L</t>
  </si>
  <si>
    <t>C11 exp</t>
  </si>
  <si>
    <t>C12 exp</t>
  </si>
  <si>
    <t>C44 exp</t>
  </si>
  <si>
    <t>C11 nVs111</t>
  </si>
  <si>
    <t>C12 nVs111</t>
  </si>
  <si>
    <t>C44 nVs111</t>
  </si>
  <si>
    <t>C11 nVp111</t>
  </si>
  <si>
    <t>C12 nVp111</t>
  </si>
  <si>
    <t>C44 nVp111</t>
  </si>
  <si>
    <t>C11 nVs100</t>
  </si>
  <si>
    <t>C12 nVs100</t>
  </si>
  <si>
    <t>C44 nVs100</t>
  </si>
  <si>
    <t>C11 nVp100</t>
  </si>
  <si>
    <t>C12 nVp100</t>
  </si>
  <si>
    <t>C44 nVp100</t>
  </si>
  <si>
    <t>gated sum</t>
  </si>
  <si>
    <t>vc2 NoVs111</t>
  </si>
  <si>
    <t>integral</t>
  </si>
  <si>
    <t>C11</t>
  </si>
  <si>
    <t>C12</t>
  </si>
  <si>
    <t>C44</t>
  </si>
  <si>
    <t>C11mod</t>
  </si>
  <si>
    <t>C12mod</t>
  </si>
  <si>
    <t>C44mod</t>
  </si>
  <si>
    <t>gated</t>
  </si>
  <si>
    <t>vc2 NoVp111</t>
  </si>
  <si>
    <t>vc2 NoVs100</t>
  </si>
  <si>
    <t>vc2 NoVp100</t>
  </si>
  <si>
    <t>SHARED FIT PARAMS</t>
  </si>
  <si>
    <t>OBJECTIVE</t>
  </si>
  <si>
    <t>No Vs111 FS</t>
  </si>
  <si>
    <t>No Vs111 CK</t>
  </si>
  <si>
    <t>No Vp111 FS</t>
  </si>
  <si>
    <t>No Vp111 CK</t>
  </si>
  <si>
    <t>No Vs100 FS</t>
  </si>
  <si>
    <t>No Vs100 CK</t>
  </si>
  <si>
    <t>No Vp100 FS</t>
  </si>
  <si>
    <t>No Vp100 CK</t>
  </si>
  <si>
    <t>GLOBAL FS</t>
  </si>
  <si>
    <t>GLOBAL CK</t>
  </si>
  <si>
    <t>Katahara 1979</t>
  </si>
  <si>
    <t>Lenkkeri 1978</t>
  </si>
  <si>
    <t>Greiner 1979</t>
  </si>
  <si>
    <t>C11_0 (GPa)</t>
  </si>
  <si>
    <t>C12_0 (GPa)</t>
  </si>
  <si>
    <t>C44_0 (GPa)</t>
  </si>
  <si>
    <t>K0 (GPa)</t>
  </si>
  <si>
    <t>G Hill 0 (GPa)</t>
  </si>
  <si>
    <t>total misfit</t>
  </si>
  <si>
    <t>SIMPLIFIED VANADIUM Cij Cij' SUMMARY (all fits live-linked; edit Inputs, re-run each sheet's Solver)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</si>
</sst>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A672-E363-400E-9B10-69524028F99A}">
  <dimension ref="A1:O13"/>
  <sheetViews>
    <sheetView workbookViewId="0">
      <selection activeCell="H13" sqref="H13"/>
    </sheetView>
  </sheetViews>
  <sheetFormatPr defaultRowHeight="15" x14ac:dyDescent="0.25"/>
  <cols>
    <col min="1" max="1" width="16.7109375" customWidth="1"/>
    <col min="2" max="2" width="12" bestFit="1" customWidth="1"/>
    <col min="3" max="3" width="12.140625" bestFit="1" customWidth="1"/>
    <col min="4" max="4" width="12" bestFit="1" customWidth="1"/>
    <col min="5" max="5" width="12.28515625" bestFit="1" customWidth="1"/>
    <col min="6" max="6" width="12" bestFit="1" customWidth="1"/>
    <col min="7" max="7" width="12.140625" bestFit="1" customWidth="1"/>
    <col min="8" max="8" width="12" bestFit="1" customWidth="1"/>
    <col min="9" max="9" width="12.28515625" bestFit="1" customWidth="1"/>
    <col min="10" max="11" width="12" bestFit="1" customWidth="1"/>
  </cols>
  <sheetData>
    <row r="1" spans="1:15" x14ac:dyDescent="0.25">
      <c r="A1" s="1" t="s">
        <v>143</v>
      </c>
    </row>
    <row r="3" spans="1:15" x14ac:dyDescent="0.25">
      <c r="A3" s="1"/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  <c r="G3" s="1" t="s">
        <v>129</v>
      </c>
      <c r="H3" s="1" t="s">
        <v>130</v>
      </c>
      <c r="I3" s="1" t="s">
        <v>131</v>
      </c>
      <c r="J3" s="1" t="s">
        <v>132</v>
      </c>
      <c r="K3" s="1" t="s">
        <v>133</v>
      </c>
      <c r="L3" s="1"/>
      <c r="M3" s="1" t="s">
        <v>134</v>
      </c>
      <c r="N3" s="1" t="s">
        <v>135</v>
      </c>
      <c r="O3" s="1" t="s">
        <v>136</v>
      </c>
    </row>
    <row r="4" spans="1:15" x14ac:dyDescent="0.25">
      <c r="A4" s="1" t="s">
        <v>137</v>
      </c>
      <c r="B4">
        <f>FS_NoVs111!AM4</f>
        <v>240.96035136039328</v>
      </c>
      <c r="C4">
        <f>Cook_NoVs111!AT4</f>
        <v>240.71785449356787</v>
      </c>
      <c r="D4">
        <f>FS_NoVp111!AM4</f>
        <v>240.83322839065517</v>
      </c>
      <c r="E4">
        <f>Cook_NoVp111!AT4</f>
        <v>241.08938549163528</v>
      </c>
      <c r="F4">
        <f>FS_NoVs100!AM4</f>
        <v>240.84873143067483</v>
      </c>
      <c r="G4">
        <f>Cook_NoVs100!AT4</f>
        <v>240.97215648770859</v>
      </c>
      <c r="H4">
        <f>FS_NoVp100!AM4</f>
        <v>229.36894694914798</v>
      </c>
      <c r="I4">
        <f>Cook_NoVp100!AT4</f>
        <v>229.5456018448867</v>
      </c>
      <c r="J4">
        <f>Global_FS!AT4</f>
        <v>239.49929843444053</v>
      </c>
      <c r="K4">
        <f>Global_Cook!DA4</f>
        <v>238.85608244795318</v>
      </c>
      <c r="M4">
        <v>230.9</v>
      </c>
      <c r="N4">
        <v>235.7</v>
      </c>
      <c r="O4">
        <v>235.89</v>
      </c>
    </row>
    <row r="5" spans="1:15" x14ac:dyDescent="0.25">
      <c r="A5" s="1" t="s">
        <v>138</v>
      </c>
      <c r="B5">
        <f>FS_NoVs111!AM5</f>
        <v>112.06574896145518</v>
      </c>
      <c r="C5">
        <f>Cook_NoVs111!AT5</f>
        <v>111.92080624424638</v>
      </c>
      <c r="D5">
        <f>FS_NoVp111!AM5</f>
        <v>128.74145431015069</v>
      </c>
      <c r="E5">
        <f>Cook_NoVp111!AT5</f>
        <v>128.90555644176084</v>
      </c>
      <c r="F5">
        <f>FS_NoVs100!AM5</f>
        <v>123.20384406346359</v>
      </c>
      <c r="G5">
        <f>Cook_NoVs100!AT5</f>
        <v>123.26424201844094</v>
      </c>
      <c r="H5">
        <f>FS_NoVp100!AM5</f>
        <v>117.43415201851467</v>
      </c>
      <c r="I5">
        <f>Cook_NoVp100!AT5</f>
        <v>117.51639686958849</v>
      </c>
      <c r="J5">
        <f>Global_FS!AT5</f>
        <v>121.24044055266326</v>
      </c>
      <c r="K5">
        <f>Global_Cook!DA5</f>
        <v>121.75226559311153</v>
      </c>
      <c r="M5">
        <v>120.02</v>
      </c>
      <c r="N5">
        <v>126.5</v>
      </c>
      <c r="O5">
        <v>120.76</v>
      </c>
    </row>
    <row r="6" spans="1:15" x14ac:dyDescent="0.25">
      <c r="A6" s="1" t="s">
        <v>139</v>
      </c>
      <c r="B6">
        <f>FS_NoVs111!AM6</f>
        <v>46.81907931458737</v>
      </c>
      <c r="C6">
        <f>Cook_NoVs111!AT6</f>
        <v>46.789339240824013</v>
      </c>
      <c r="D6">
        <f>FS_NoVp111!AM6</f>
        <v>46.761628986935641</v>
      </c>
      <c r="E6">
        <f>Cook_NoVp111!AT6</f>
        <v>46.7600429001902</v>
      </c>
      <c r="F6">
        <f>FS_NoVs100!AM6</f>
        <v>41.226118759046464</v>
      </c>
      <c r="G6">
        <f>Cook_NoVs100!AT6</f>
        <v>41.196738869795915</v>
      </c>
      <c r="H6">
        <f>FS_NoVp100!AM6</f>
        <v>46.816589236147337</v>
      </c>
      <c r="I6">
        <f>Cook_NoVp100!AT6</f>
        <v>46.789541236287278</v>
      </c>
      <c r="J6">
        <f>Global_FS!AT6</f>
        <v>45.464390080738781</v>
      </c>
      <c r="K6">
        <f>Global_Cook!DA6</f>
        <v>45.196512663027143</v>
      </c>
      <c r="M6">
        <v>43.36</v>
      </c>
      <c r="N6">
        <v>43.6</v>
      </c>
      <c r="O6">
        <v>46.55</v>
      </c>
    </row>
    <row r="7" spans="1:15" x14ac:dyDescent="0.25">
      <c r="A7" s="1" t="s">
        <v>71</v>
      </c>
      <c r="B7">
        <f>FS_NoVs111!AM7</f>
        <v>5.4419713277473969</v>
      </c>
      <c r="C7">
        <f>Cook_NoVs111!AT7</f>
        <v>5.3943351978214196</v>
      </c>
      <c r="D7">
        <f>FS_NoVp111!AM7</f>
        <v>5.3801597034985109</v>
      </c>
      <c r="E7">
        <f>Cook_NoVp111!AT7</f>
        <v>5.286282428830293</v>
      </c>
      <c r="F7">
        <f>FS_NoVs100!AM7</f>
        <v>5.3991814512445879</v>
      </c>
      <c r="G7">
        <f>Cook_NoVs100!AT7</f>
        <v>5.3201903265071069</v>
      </c>
      <c r="H7">
        <f>FS_NoVp100!AM7</f>
        <v>5.9623945419465212</v>
      </c>
      <c r="I7">
        <f>Cook_NoVp100!AT7</f>
        <v>5.8541865490890084</v>
      </c>
      <c r="J7">
        <f>Global_FS!AT7</f>
        <v>5.5161185499618695</v>
      </c>
      <c r="K7">
        <f>Global_Cook!DA7</f>
        <v>5.3297090257595459</v>
      </c>
      <c r="M7">
        <v>5.65</v>
      </c>
    </row>
    <row r="8" spans="1:15" x14ac:dyDescent="0.25">
      <c r="A8" s="1" t="s">
        <v>72</v>
      </c>
      <c r="B8">
        <f>FS_NoVs111!AM8</f>
        <v>3.4771142639053982</v>
      </c>
      <c r="C8">
        <f>Cook_NoVs111!AT8</f>
        <v>3.4396087008312484</v>
      </c>
      <c r="D8">
        <f>FS_NoVp111!AM8</f>
        <v>2.7363925829487616</v>
      </c>
      <c r="E8">
        <f>Cook_NoVp111!AT8</f>
        <v>2.6829993981584201</v>
      </c>
      <c r="F8">
        <f>FS_NoVs100!AM8</f>
        <v>2.9762004442661447</v>
      </c>
      <c r="G8">
        <f>Cook_NoVs100!AT8</f>
        <v>2.9314957291585499</v>
      </c>
      <c r="H8">
        <f>FS_NoVp100!AM8</f>
        <v>3.268426974302046</v>
      </c>
      <c r="I8">
        <f>Cook_NoVp100!AT8</f>
        <v>3.2082418665593475</v>
      </c>
      <c r="J8">
        <f>Global_FS!AT8</f>
        <v>3.0938019068439409</v>
      </c>
      <c r="K8">
        <f>Global_Cook!DA8</f>
        <v>2.8658596319068614</v>
      </c>
      <c r="M8">
        <v>3.5659999999999998</v>
      </c>
    </row>
    <row r="9" spans="1:15" x14ac:dyDescent="0.25">
      <c r="A9" s="1" t="s">
        <v>73</v>
      </c>
      <c r="B9">
        <f>FS_NoVs111!AM9</f>
        <v>0.25171874668397398</v>
      </c>
      <c r="C9">
        <f>Cook_NoVs111!AT9</f>
        <v>0.25588400378509985</v>
      </c>
      <c r="D9">
        <f>FS_NoVp111!AM9</f>
        <v>0.25693970989677783</v>
      </c>
      <c r="E9">
        <f>Cook_NoVp111!AT9</f>
        <v>0.25806268878658312</v>
      </c>
      <c r="F9">
        <f>FS_NoVs100!AM9</f>
        <v>0.48443352440609155</v>
      </c>
      <c r="G9">
        <f>Cook_NoVs100!AT9</f>
        <v>0.48531965762206358</v>
      </c>
      <c r="H9">
        <f>FS_NoVp100!AM9</f>
        <v>0.2514005183599427</v>
      </c>
      <c r="I9">
        <f>Cook_NoVp100!AT9</f>
        <v>0.25585660615462691</v>
      </c>
      <c r="J9">
        <f>Global_FS!AT9</f>
        <v>0.30700295053614812</v>
      </c>
      <c r="K9">
        <f>Global_Cook!DA9</f>
        <v>0.34042979720790301</v>
      </c>
      <c r="M9">
        <v>0.185</v>
      </c>
    </row>
    <row r="10" spans="1:15" x14ac:dyDescent="0.25">
      <c r="A10" s="1" t="s">
        <v>140</v>
      </c>
      <c r="B10">
        <f>FS_NoVs111!AM10</f>
        <v>155.03061642776788</v>
      </c>
      <c r="C10">
        <f>Cook_NoVs111!AT10</f>
        <v>154.85315566068687</v>
      </c>
      <c r="D10">
        <f>FS_NoVp111!AM10</f>
        <v>166.10537900365219</v>
      </c>
      <c r="E10">
        <f>Cook_NoVp111!AT10</f>
        <v>166.30016612505233</v>
      </c>
      <c r="F10">
        <f>FS_NoVs100!AM10</f>
        <v>162.41880651920067</v>
      </c>
      <c r="G10">
        <f>Cook_NoVs100!AT10</f>
        <v>162.50021350819682</v>
      </c>
      <c r="H10">
        <f>FS_NoVp100!AM10</f>
        <v>154.74575032872576</v>
      </c>
      <c r="I10">
        <f>Cook_NoVp100!AT10</f>
        <v>154.85946519468789</v>
      </c>
      <c r="J10">
        <f>Global_FS!AT10</f>
        <v>160.66005984658901</v>
      </c>
      <c r="K10">
        <f>Global_Cook!DA10</f>
        <v>160.78687121139208</v>
      </c>
      <c r="M10">
        <f>(M4+2*M5)/3</f>
        <v>156.97999999999999</v>
      </c>
      <c r="N10">
        <f>(N4+2*N5)/3</f>
        <v>162.9</v>
      </c>
      <c r="O10">
        <f>(O4+2*O5)/3</f>
        <v>159.13666666666666</v>
      </c>
    </row>
    <row r="11" spans="1:15" x14ac:dyDescent="0.25">
      <c r="A11" s="1" t="s">
        <v>75</v>
      </c>
      <c r="B11">
        <f>FS_NoVs111!AM11</f>
        <v>4.1320666185193984</v>
      </c>
      <c r="C11">
        <f>Cook_NoVs111!AT11</f>
        <v>4.0911841998279721</v>
      </c>
      <c r="D11">
        <f>FS_NoVp111!AM11</f>
        <v>3.6176482897986779</v>
      </c>
      <c r="E11">
        <f>Cook_NoVp111!AT11</f>
        <v>3.5507604083823776</v>
      </c>
      <c r="F11">
        <f>FS_NoVs100!AM11</f>
        <v>3.7838607799256256</v>
      </c>
      <c r="G11">
        <f>Cook_NoVs100!AT11</f>
        <v>3.7277272616080688</v>
      </c>
      <c r="H11">
        <f>FS_NoVp100!AM11</f>
        <v>4.1664161635168711</v>
      </c>
      <c r="I11">
        <f>Cook_NoVp100!AT11</f>
        <v>4.0902234274025675</v>
      </c>
      <c r="J11">
        <f>Global_FS!AT11</f>
        <v>3.9012407878832502</v>
      </c>
      <c r="K11">
        <f>Global_Cook!DA11</f>
        <v>3.6871427631910891</v>
      </c>
    </row>
    <row r="12" spans="1:15" x14ac:dyDescent="0.25">
      <c r="A12" s="1" t="s">
        <v>141</v>
      </c>
      <c r="B12">
        <f>FS_NoVs111!AM14</f>
        <v>53.22066257106993</v>
      </c>
      <c r="C12">
        <f>Cook_NoVs111!AT14</f>
        <v>53.184244921723419</v>
      </c>
      <c r="D12">
        <f>FS_NoVp111!AM14</f>
        <v>50.277677668412402</v>
      </c>
      <c r="E12">
        <f>Cook_NoVp111!AT14</f>
        <v>50.293207404928424</v>
      </c>
      <c r="F12">
        <f>FS_NoVs100!AM14</f>
        <v>47.547134824698169</v>
      </c>
      <c r="G12">
        <f>Cook_NoVs100!AT14</f>
        <v>47.537237523502256</v>
      </c>
      <c r="H12">
        <f>FS_NoVp100!AM14</f>
        <v>50.284807060086457</v>
      </c>
      <c r="I12">
        <f>Cook_NoVp100!AT14</f>
        <v>50.284395302519442</v>
      </c>
      <c r="J12">
        <f>Global_FS!AT14</f>
        <v>50.512840042821544</v>
      </c>
      <c r="K12">
        <f>Global_Cook!DA14</f>
        <v>50.136414023884662</v>
      </c>
    </row>
    <row r="13" spans="1:15" x14ac:dyDescent="0.25">
      <c r="A13" s="1" t="s">
        <v>142</v>
      </c>
      <c r="B13">
        <f>FS_NoVs111!AM15</f>
        <v>2.3284859788842827</v>
      </c>
      <c r="C13">
        <f>Cook_NoVs111!AT15</f>
        <v>3.5582993912781982</v>
      </c>
      <c r="D13">
        <f>FS_NoVp111!AM15</f>
        <v>1.7693237905429817</v>
      </c>
      <c r="E13">
        <f>Cook_NoVp111!AT15</f>
        <v>5.2648649043056404</v>
      </c>
      <c r="F13">
        <f>FS_NoVs100!AM15</f>
        <v>1.2627223222133397</v>
      </c>
      <c r="G13">
        <f>Cook_NoVs100!AT15</f>
        <v>3.6179982526934609</v>
      </c>
      <c r="H13">
        <f>FS_NoVp100!AM15</f>
        <v>0.63238467078568372</v>
      </c>
      <c r="I13">
        <f>Cook_NoVp100!AT15</f>
        <v>2.76081742761993</v>
      </c>
      <c r="J13">
        <f>Global_FS!AT15</f>
        <v>1452.0621619740145</v>
      </c>
      <c r="K13">
        <f>Global_Cook!DA15</f>
        <v>1835.6761919610678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DDEE-824B-42B1-8CA1-57C54297E97C}">
  <dimension ref="A1:M25"/>
  <sheetViews>
    <sheetView workbookViewId="0"/>
  </sheetViews>
  <sheetFormatPr defaultRowHeight="15" x14ac:dyDescent="0.25"/>
  <cols>
    <col min="1" max="1" width="8.7109375" customWidth="1"/>
    <col min="12" max="12" width="40.7109375" customWidth="1"/>
  </cols>
  <sheetData>
    <row r="1" spans="1:13" x14ac:dyDescent="0.25">
      <c r="A1" t="s">
        <v>0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5</v>
      </c>
      <c r="H3" t="s">
        <v>6</v>
      </c>
      <c r="I3" t="s">
        <v>7</v>
      </c>
    </row>
    <row r="4" spans="1:13" x14ac:dyDescent="0.25">
      <c r="A4">
        <v>0</v>
      </c>
      <c r="B4">
        <v>1.1601999999999999</v>
      </c>
      <c r="C4">
        <v>0.229199934662983</v>
      </c>
      <c r="D4">
        <v>0.51092691729323303</v>
      </c>
      <c r="F4">
        <v>0</v>
      </c>
      <c r="G4">
        <v>1.1382000000000001</v>
      </c>
      <c r="H4">
        <v>0.2029</v>
      </c>
      <c r="I4">
        <v>0.4194</v>
      </c>
      <c r="L4" t="s">
        <v>8</v>
      </c>
      <c r="M4">
        <v>0.71199999999999997</v>
      </c>
    </row>
    <row r="5" spans="1:13" x14ac:dyDescent="0.25">
      <c r="A5">
        <v>30</v>
      </c>
      <c r="B5">
        <v>1.1596</v>
      </c>
      <c r="C5">
        <v>0.22474572005565299</v>
      </c>
      <c r="D5">
        <v>0.50723364660407499</v>
      </c>
      <c r="F5">
        <v>30</v>
      </c>
      <c r="G5">
        <v>1.1162000000000001</v>
      </c>
      <c r="H5">
        <v>0.2011</v>
      </c>
      <c r="I5">
        <v>0.41260000000000002</v>
      </c>
      <c r="L5" t="s">
        <v>9</v>
      </c>
      <c r="M5">
        <v>0.70399999999999996</v>
      </c>
    </row>
    <row r="6" spans="1:13" x14ac:dyDescent="0.25">
      <c r="A6">
        <v>60</v>
      </c>
      <c r="B6">
        <v>1.1526000000000001</v>
      </c>
      <c r="C6">
        <v>0.22094572005565299</v>
      </c>
      <c r="D6">
        <v>0.50583364660407504</v>
      </c>
      <c r="F6">
        <v>60</v>
      </c>
      <c r="G6">
        <v>1.1120000000000001</v>
      </c>
      <c r="H6">
        <v>0.19950000000000001</v>
      </c>
      <c r="I6">
        <v>0.4052</v>
      </c>
      <c r="L6" t="s">
        <v>10</v>
      </c>
      <c r="M6">
        <v>4.6E-5</v>
      </c>
    </row>
    <row r="7" spans="1:13" x14ac:dyDescent="0.25">
      <c r="A7">
        <v>90</v>
      </c>
      <c r="B7">
        <v>1.1486000000000001</v>
      </c>
      <c r="C7">
        <v>0.21874572005565299</v>
      </c>
      <c r="D7">
        <v>0.50583364660407504</v>
      </c>
      <c r="F7">
        <v>90</v>
      </c>
      <c r="G7">
        <v>1.1055999999999999</v>
      </c>
      <c r="H7">
        <v>0.19689999999999999</v>
      </c>
      <c r="I7">
        <v>0.40279999999999999</v>
      </c>
      <c r="L7" t="s">
        <v>11</v>
      </c>
      <c r="M7">
        <v>6.09</v>
      </c>
    </row>
    <row r="8" spans="1:13" x14ac:dyDescent="0.25">
      <c r="A8">
        <v>120</v>
      </c>
      <c r="B8">
        <v>1.1442000000000001</v>
      </c>
      <c r="C8">
        <v>0.21654572005565301</v>
      </c>
      <c r="D8">
        <v>0.50523364660407499</v>
      </c>
      <c r="F8">
        <v>120</v>
      </c>
      <c r="G8">
        <v>1.1033999999999999</v>
      </c>
      <c r="H8">
        <v>0.1953</v>
      </c>
      <c r="I8">
        <v>0.3972</v>
      </c>
      <c r="L8" t="s">
        <v>12</v>
      </c>
      <c r="M8">
        <v>1.23</v>
      </c>
    </row>
    <row r="9" spans="1:13" x14ac:dyDescent="0.25">
      <c r="A9">
        <v>150</v>
      </c>
      <c r="B9">
        <v>1.1395999999999999</v>
      </c>
      <c r="C9">
        <v>0.21474572005565301</v>
      </c>
      <c r="D9">
        <v>0.50523364660407499</v>
      </c>
      <c r="F9">
        <v>150</v>
      </c>
      <c r="G9">
        <v>1.0978000000000001</v>
      </c>
      <c r="H9">
        <v>0.19409999999999999</v>
      </c>
      <c r="I9">
        <v>0.39600000000000002</v>
      </c>
      <c r="L9" t="s">
        <v>13</v>
      </c>
      <c r="M9">
        <v>300</v>
      </c>
    </row>
    <row r="10" spans="1:13" x14ac:dyDescent="0.25">
      <c r="A10">
        <v>180</v>
      </c>
      <c r="B10">
        <v>1.1364000000000001</v>
      </c>
      <c r="C10">
        <v>0.213345720055653</v>
      </c>
      <c r="D10">
        <v>0.50523364660407499</v>
      </c>
      <c r="F10">
        <v>180</v>
      </c>
      <c r="G10">
        <v>1.0942000000000001</v>
      </c>
      <c r="H10">
        <v>0.19289999999999999</v>
      </c>
      <c r="I10">
        <v>0.3926</v>
      </c>
      <c r="L10" t="s">
        <v>14</v>
      </c>
      <c r="M10">
        <v>1.1601999999999999</v>
      </c>
    </row>
    <row r="11" spans="1:13" x14ac:dyDescent="0.25">
      <c r="A11">
        <v>210</v>
      </c>
      <c r="B11">
        <v>1.1334</v>
      </c>
      <c r="C11">
        <v>0.21174572005565301</v>
      </c>
      <c r="D11">
        <v>0.50423364660407499</v>
      </c>
      <c r="F11">
        <v>210</v>
      </c>
      <c r="G11">
        <v>1.0913999999999999</v>
      </c>
      <c r="H11">
        <v>0.19170000000000001</v>
      </c>
      <c r="I11">
        <v>0.38940000000000002</v>
      </c>
      <c r="L11" t="s">
        <v>15</v>
      </c>
      <c r="M11">
        <f>(1+M6*M8*M9)/(12*M7*M5^2)</f>
        <v>2.8077988570065868E-2</v>
      </c>
    </row>
    <row r="12" spans="1:13" x14ac:dyDescent="0.25">
      <c r="A12">
        <v>240</v>
      </c>
      <c r="B12">
        <v>1.1295999999999999</v>
      </c>
      <c r="C12">
        <v>0.21074572005565301</v>
      </c>
      <c r="D12">
        <v>0.50423364660407499</v>
      </c>
      <c r="F12">
        <v>240</v>
      </c>
      <c r="G12">
        <v>1.0862000000000001</v>
      </c>
      <c r="H12">
        <v>0.1905</v>
      </c>
      <c r="I12">
        <v>0.38940000000000002</v>
      </c>
    </row>
    <row r="13" spans="1:13" x14ac:dyDescent="0.25">
      <c r="A13">
        <v>270</v>
      </c>
      <c r="B13">
        <v>1.1264000000000001</v>
      </c>
      <c r="C13">
        <v>0.20914572005565299</v>
      </c>
      <c r="D13">
        <v>0.50463364660407495</v>
      </c>
      <c r="F13">
        <v>270</v>
      </c>
      <c r="G13">
        <v>1.0831999999999999</v>
      </c>
      <c r="H13">
        <v>0.18890000000000001</v>
      </c>
      <c r="I13">
        <v>0.3866</v>
      </c>
      <c r="L13" t="s">
        <v>16</v>
      </c>
      <c r="M13">
        <v>0.623</v>
      </c>
    </row>
    <row r="14" spans="1:13" x14ac:dyDescent="0.25">
      <c r="A14">
        <v>300</v>
      </c>
      <c r="B14">
        <v>1.1237999999999999</v>
      </c>
      <c r="C14">
        <v>0.20814572005565299</v>
      </c>
      <c r="D14">
        <v>0.50383364660407504</v>
      </c>
      <c r="F14">
        <v>300</v>
      </c>
      <c r="G14">
        <v>1.0804</v>
      </c>
      <c r="H14">
        <v>0.18809999999999999</v>
      </c>
      <c r="I14">
        <v>0.3846</v>
      </c>
      <c r="L14" t="s">
        <v>17</v>
      </c>
      <c r="M14">
        <v>0.60699999999999998</v>
      </c>
    </row>
    <row r="15" spans="1:13" x14ac:dyDescent="0.25">
      <c r="A15">
        <v>330</v>
      </c>
      <c r="B15">
        <v>1.1206</v>
      </c>
      <c r="C15">
        <v>0.20734572005565299</v>
      </c>
      <c r="D15">
        <v>0.50403364660407501</v>
      </c>
      <c r="F15">
        <v>330</v>
      </c>
      <c r="G15">
        <v>1.0758000000000001</v>
      </c>
      <c r="H15">
        <v>0.1875</v>
      </c>
      <c r="I15">
        <v>0.38440000000000002</v>
      </c>
      <c r="L15" t="s">
        <v>18</v>
      </c>
      <c r="M15">
        <v>4.6E-5</v>
      </c>
    </row>
    <row r="16" spans="1:13" x14ac:dyDescent="0.25">
      <c r="A16">
        <v>360</v>
      </c>
      <c r="B16">
        <v>1.1177999999999999</v>
      </c>
      <c r="C16">
        <v>0.20634572005565299</v>
      </c>
      <c r="D16">
        <v>0.50443364660407497</v>
      </c>
      <c r="F16">
        <v>360</v>
      </c>
      <c r="G16">
        <v>1.0726</v>
      </c>
      <c r="H16">
        <v>0.18629999999999999</v>
      </c>
      <c r="I16">
        <v>0.38300000000000001</v>
      </c>
      <c r="L16" t="s">
        <v>19</v>
      </c>
      <c r="M16">
        <v>6.09</v>
      </c>
    </row>
    <row r="17" spans="1:13" x14ac:dyDescent="0.25">
      <c r="A17">
        <v>390</v>
      </c>
      <c r="B17">
        <v>1.1157999999999999</v>
      </c>
      <c r="C17">
        <v>0.205545720055653</v>
      </c>
      <c r="D17">
        <v>0.50383364660407504</v>
      </c>
      <c r="F17">
        <v>390</v>
      </c>
      <c r="G17">
        <v>1.0708</v>
      </c>
      <c r="H17">
        <v>0.18590000000000001</v>
      </c>
      <c r="I17">
        <v>0.38119999999999998</v>
      </c>
      <c r="L17" t="s">
        <v>20</v>
      </c>
      <c r="M17">
        <v>1.23</v>
      </c>
    </row>
    <row r="18" spans="1:13" x14ac:dyDescent="0.25">
      <c r="A18">
        <v>420</v>
      </c>
      <c r="B18">
        <v>1.1132</v>
      </c>
      <c r="C18">
        <v>0.204745720055653</v>
      </c>
      <c r="D18">
        <v>0.50323364660407499</v>
      </c>
      <c r="F18">
        <v>420</v>
      </c>
      <c r="G18">
        <v>1.0680000000000001</v>
      </c>
      <c r="H18">
        <v>0.18509999999999999</v>
      </c>
      <c r="I18">
        <v>0.38</v>
      </c>
      <c r="L18" t="s">
        <v>21</v>
      </c>
      <c r="M18">
        <v>300</v>
      </c>
    </row>
    <row r="19" spans="1:13" x14ac:dyDescent="0.25">
      <c r="A19">
        <v>450</v>
      </c>
      <c r="B19">
        <v>1.1108</v>
      </c>
      <c r="C19">
        <v>0.20394572005565301</v>
      </c>
      <c r="D19">
        <v>0.50443364660407497</v>
      </c>
      <c r="F19">
        <v>450</v>
      </c>
      <c r="G19">
        <v>1.0644</v>
      </c>
      <c r="H19">
        <v>0.1845</v>
      </c>
      <c r="I19">
        <v>0.37980000000000003</v>
      </c>
      <c r="L19" t="s">
        <v>22</v>
      </c>
      <c r="M19">
        <v>1.1225000000000001</v>
      </c>
    </row>
    <row r="20" spans="1:13" x14ac:dyDescent="0.25">
      <c r="A20">
        <v>480</v>
      </c>
      <c r="B20">
        <v>1.1093999999999999</v>
      </c>
      <c r="C20">
        <v>0.20334572005565299</v>
      </c>
      <c r="D20">
        <v>0.50523364660407499</v>
      </c>
      <c r="F20">
        <v>480</v>
      </c>
      <c r="G20">
        <v>1.0626</v>
      </c>
      <c r="H20">
        <v>0.18390000000000001</v>
      </c>
      <c r="I20">
        <v>0.37880000000000003</v>
      </c>
      <c r="L20" t="s">
        <v>23</v>
      </c>
      <c r="M20">
        <f>(1+M15*M17*M18)/(12*M16*M14^2)</f>
        <v>3.776886457322931E-2</v>
      </c>
    </row>
    <row r="21" spans="1:13" x14ac:dyDescent="0.25">
      <c r="A21">
        <v>510</v>
      </c>
      <c r="B21">
        <v>1.1084000000000001</v>
      </c>
      <c r="C21">
        <v>0.20234572005565299</v>
      </c>
      <c r="D21">
        <v>0.50563364660407495</v>
      </c>
      <c r="F21">
        <v>510</v>
      </c>
      <c r="G21">
        <v>1.0613999999999999</v>
      </c>
      <c r="H21">
        <v>0.18290000000000001</v>
      </c>
      <c r="I21">
        <v>0.37740000000000001</v>
      </c>
    </row>
    <row r="22" spans="1:13" x14ac:dyDescent="0.25">
      <c r="A22">
        <v>540</v>
      </c>
      <c r="B22">
        <v>1.1066</v>
      </c>
      <c r="C22">
        <v>0.201745720055653</v>
      </c>
      <c r="D22">
        <v>0.50523364660407499</v>
      </c>
      <c r="F22">
        <v>540</v>
      </c>
      <c r="G22">
        <v>1.0593999999999999</v>
      </c>
      <c r="H22">
        <v>0.1825</v>
      </c>
      <c r="I22">
        <v>0.37630000000000002</v>
      </c>
      <c r="L22" t="s">
        <v>24</v>
      </c>
      <c r="M22">
        <v>420</v>
      </c>
    </row>
    <row r="23" spans="1:13" x14ac:dyDescent="0.25">
      <c r="A23">
        <v>570</v>
      </c>
      <c r="B23">
        <v>1.1042000000000001</v>
      </c>
      <c r="C23">
        <v>0.200945720055653</v>
      </c>
      <c r="D23">
        <v>0.50583364660407504</v>
      </c>
      <c r="F23">
        <v>570</v>
      </c>
      <c r="G23">
        <v>1.0568</v>
      </c>
      <c r="H23">
        <v>0.18129999999999999</v>
      </c>
      <c r="I23">
        <v>0.37659999999999999</v>
      </c>
      <c r="L23" t="s">
        <v>25</v>
      </c>
      <c r="M23">
        <v>120</v>
      </c>
    </row>
    <row r="24" spans="1:13" x14ac:dyDescent="0.25">
      <c r="A24">
        <v>600</v>
      </c>
      <c r="B24">
        <v>1.103</v>
      </c>
      <c r="C24">
        <v>0.20034572005565299</v>
      </c>
      <c r="D24">
        <v>0.50703364660407502</v>
      </c>
      <c r="F24">
        <v>600</v>
      </c>
      <c r="G24">
        <v>1.0551999999999999</v>
      </c>
      <c r="H24">
        <v>0.18049999999999999</v>
      </c>
      <c r="I24">
        <v>0.37619999999999998</v>
      </c>
      <c r="L24" t="s">
        <v>26</v>
      </c>
      <c r="M24">
        <v>0</v>
      </c>
    </row>
    <row r="25" spans="1:13" x14ac:dyDescent="0.25">
      <c r="A25">
        <v>630</v>
      </c>
      <c r="B25">
        <v>1.1022000000000001</v>
      </c>
      <c r="C25">
        <v>0.199745720055653</v>
      </c>
      <c r="D25">
        <v>0.50683364660407504</v>
      </c>
      <c r="F25">
        <v>630</v>
      </c>
      <c r="G25">
        <v>1.0546</v>
      </c>
      <c r="H25">
        <v>0.18010000000000001</v>
      </c>
      <c r="I25">
        <v>0.37459999999999999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C0BB-529D-4F6A-B2C9-13A02F7B6681}">
  <dimension ref="A1:Q25"/>
  <sheetViews>
    <sheetView workbookViewId="0">
      <selection activeCell="E4" sqref="E4"/>
    </sheetView>
  </sheetViews>
  <sheetFormatPr defaultRowHeight="15" x14ac:dyDescent="0.25"/>
  <sheetData>
    <row r="1" spans="1:17" x14ac:dyDescent="0.25">
      <c r="A1" t="s">
        <v>27</v>
      </c>
      <c r="K1" t="s">
        <v>34</v>
      </c>
    </row>
    <row r="2" spans="1:17" x14ac:dyDescent="0.25">
      <c r="J2" t="s">
        <v>35</v>
      </c>
      <c r="K2">
        <f>INDEX(LINEST(Inputs!$H$4:$H$25,$E$4:$E$25^{1,2,3,4,5,6}),1,1)</f>
        <v>-1.4769645629811454E-8</v>
      </c>
      <c r="L2">
        <f>INDEX(LINEST(Inputs!$H$4:$H$25,$E$4:$E$25^{1,2,3,4,5,6}),1,2)</f>
        <v>6.0182296794161729E-7</v>
      </c>
      <c r="M2">
        <f>INDEX(LINEST(Inputs!$H$4:$H$25,$E$4:$E$25^{1,2,3,4,5,6}),1,3)</f>
        <v>-9.4365266820407001E-6</v>
      </c>
      <c r="N2">
        <f>INDEX(LINEST(Inputs!$H$4:$H$25,$E$4:$E$25^{1,2,3,4,5,6}),1,4)</f>
        <v>6.984946517950001E-5</v>
      </c>
      <c r="O2">
        <f>INDEX(LINEST(Inputs!$H$4:$H$25,$E$4:$E$25^{1,2,3,4,5,6}),1,5)</f>
        <v>-1.9504808739336687E-4</v>
      </c>
      <c r="P2">
        <f>INDEX(LINEST(Inputs!$H$4:$H$25,$E$4:$E$25^{1,2,3,4,5,6}),1,6)</f>
        <v>-1.7595091967453538E-3</v>
      </c>
      <c r="Q2">
        <f>INDEX(LINEST(Inputs!$H$4:$H$25,$E$4:$E$25^{1,2,3,4,5,6}),1,7)</f>
        <v>0.20385318129850316</v>
      </c>
    </row>
    <row r="3" spans="1:17" x14ac:dyDescent="0.25">
      <c r="A3" t="s">
        <v>1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J3" t="s">
        <v>36</v>
      </c>
      <c r="K3">
        <f>INDEX(LINEST(Inputs!$I$4:$I$25,$E$4:$E$25^{1,2,3,4,5,6}),1,1)</f>
        <v>-1.9658080864331248E-8</v>
      </c>
      <c r="L3">
        <f>INDEX(LINEST(Inputs!$I$4:$I$25,$E$4:$E$25^{1,2,3,4,5,6}),1,2)</f>
        <v>1.0135119754158375E-6</v>
      </c>
      <c r="M3">
        <f>INDEX(LINEST(Inputs!$I$4:$I$25,$E$4:$E$25^{1,2,3,4,5,6}),1,3)</f>
        <v>-1.993017761447984E-5</v>
      </c>
      <c r="N3">
        <f>INDEX(LINEST(Inputs!$I$4:$I$25,$E$4:$E$25^{1,2,3,4,5,6}),1,4)</f>
        <v>1.7486100628638304E-4</v>
      </c>
      <c r="O3">
        <f>INDEX(LINEST(Inputs!$I$4:$I$25,$E$4:$E$25^{1,2,3,4,5,6}),1,5)</f>
        <v>-4.3694969705208246E-4</v>
      </c>
      <c r="P3">
        <f>INDEX(LINEST(Inputs!$I$4:$I$25,$E$4:$E$25^{1,2,3,4,5,6}),1,6)</f>
        <v>-4.8072238439988268E-3</v>
      </c>
      <c r="Q3">
        <f>INDEX(LINEST(Inputs!$I$4:$I$25,$E$4:$E$25^{1,2,3,4,5,6}),1,7)</f>
        <v>0.41892602269188728</v>
      </c>
    </row>
    <row r="4" spans="1:17" x14ac:dyDescent="0.25">
      <c r="A4">
        <f>Inputs!A4</f>
        <v>0</v>
      </c>
      <c r="B4">
        <f>249.7*(1-Inputs!B4/SBR0_100)</f>
        <v>0</v>
      </c>
      <c r="C4">
        <f>Inputs!C4</f>
        <v>0.229199934662983</v>
      </c>
      <c r="D4">
        <f>Inputs!D4</f>
        <v>0.51092691729323303</v>
      </c>
      <c r="E4">
        <f>249.7*(1-Inputs!G4/SBR0_111)</f>
        <v>-3.4924632516703986</v>
      </c>
      <c r="F4">
        <f>SUMPRODUCT($K$2:$P$2,B4^{6,5,4,3,2,1})+$Q$2</f>
        <v>0.20385318129850316</v>
      </c>
      <c r="G4">
        <f>SUMPRODUCT($K$3:$P$3,B4^{6,5,4,3,2,1})+$Q$3</f>
        <v>0.41892602269188728</v>
      </c>
    </row>
    <row r="5" spans="1:17" x14ac:dyDescent="0.25">
      <c r="A5">
        <f>Inputs!A5</f>
        <v>30</v>
      </c>
      <c r="B5">
        <f>249.7*(1-Inputs!B5/SBR0_100)</f>
        <v>0.12913290811927533</v>
      </c>
      <c r="C5">
        <f>Inputs!C5</f>
        <v>0.22474572005565299</v>
      </c>
      <c r="D5">
        <f>Inputs!D5</f>
        <v>0.50723364660407499</v>
      </c>
      <c r="E5">
        <f>249.7*(1-Inputs!G5/SBR0_111)</f>
        <v>1.4014342984409727</v>
      </c>
      <c r="F5">
        <f>SUMPRODUCT($K$2:$P$2,B5^{6,5,4,3,2,1})+$Q$2</f>
        <v>0.20362286607872532</v>
      </c>
      <c r="G5">
        <f>SUMPRODUCT($K$3:$P$3,B5^{6,5,4,3,2,1})+$Q$3</f>
        <v>0.41829833665419647</v>
      </c>
    </row>
    <row r="6" spans="1:17" x14ac:dyDescent="0.25">
      <c r="A6">
        <f>Inputs!A6</f>
        <v>60</v>
      </c>
      <c r="B6">
        <f>249.7*(1-Inputs!B6/SBR0_100)</f>
        <v>1.635683502844302</v>
      </c>
      <c r="C6">
        <f>Inputs!C6</f>
        <v>0.22094572005565299</v>
      </c>
      <c r="D6">
        <f>Inputs!D6</f>
        <v>0.50583364660407504</v>
      </c>
      <c r="E6">
        <f>249.7*(1-Inputs!G6/SBR0_111)</f>
        <v>2.3357238307349637</v>
      </c>
      <c r="F6">
        <f>SUMPRODUCT($K$2:$P$2,B6^{6,5,4,3,2,1})+$Q$2</f>
        <v>0.2006982293785837</v>
      </c>
      <c r="G6">
        <f>SUMPRODUCT($K$3:$P$3,B6^{6,5,4,3,2,1})+$Q$3</f>
        <v>0.41052794029834355</v>
      </c>
    </row>
    <row r="7" spans="1:17" x14ac:dyDescent="0.25">
      <c r="A7">
        <f>Inputs!A7</f>
        <v>90</v>
      </c>
      <c r="B7">
        <f>249.7*(1-Inputs!B7/SBR0_100)</f>
        <v>2.4965695569728967</v>
      </c>
      <c r="C7">
        <f>Inputs!C7</f>
        <v>0.21874572005565299</v>
      </c>
      <c r="D7">
        <f>Inputs!D7</f>
        <v>0.50583364660407504</v>
      </c>
      <c r="E7">
        <f>249.7*(1-Inputs!G7/SBR0_111)</f>
        <v>3.759403118040114</v>
      </c>
      <c r="F7">
        <f>SUMPRODUCT($K$2:$P$2,B7^{6,5,4,3,2,1})+$Q$2</f>
        <v>0.1990198462501756</v>
      </c>
      <c r="G7">
        <f>SUMPRODUCT($K$3:$P$3,B7^{6,5,4,3,2,1})+$Q$3</f>
        <v>0.40624125969800334</v>
      </c>
    </row>
    <row r="8" spans="1:17" x14ac:dyDescent="0.25">
      <c r="A8">
        <f>Inputs!A8</f>
        <v>120</v>
      </c>
      <c r="B8">
        <f>249.7*(1-Inputs!B8/SBR0_100)</f>
        <v>3.4435442165143506</v>
      </c>
      <c r="C8">
        <f>Inputs!C8</f>
        <v>0.21654572005565301</v>
      </c>
      <c r="D8">
        <f>Inputs!D8</f>
        <v>0.50523364660407499</v>
      </c>
      <c r="E8">
        <f>249.7*(1-Inputs!G8/SBR0_111)</f>
        <v>4.2487928730512454</v>
      </c>
      <c r="F8">
        <f>SUMPRODUCT($K$2:$P$2,B8^{6,5,4,3,2,1})+$Q$2</f>
        <v>0.19727344341490469</v>
      </c>
      <c r="G8">
        <f>SUMPRODUCT($K$3:$P$3,B8^{6,5,4,3,2,1})+$Q$3</f>
        <v>0.40198652512971206</v>
      </c>
    </row>
    <row r="9" spans="1:17" x14ac:dyDescent="0.25">
      <c r="A9">
        <f>Inputs!A9</f>
        <v>150</v>
      </c>
      <c r="B9">
        <f>249.7*(1-Inputs!B9/SBR0_100)</f>
        <v>4.4335631787622765</v>
      </c>
      <c r="C9">
        <f>Inputs!C9</f>
        <v>0.21474572005565301</v>
      </c>
      <c r="D9">
        <f>Inputs!D9</f>
        <v>0.50523364660407499</v>
      </c>
      <c r="E9">
        <f>249.7*(1-Inputs!G9/SBR0_111)</f>
        <v>5.494512249443197</v>
      </c>
      <c r="F9">
        <f>SUMPRODUCT($K$2:$P$2,B9^{6,5,4,3,2,1})+$Q$2</f>
        <v>0.19557829313348446</v>
      </c>
      <c r="G9">
        <f>SUMPRODUCT($K$3:$P$3,B9^{6,5,4,3,2,1})+$Q$3</f>
        <v>0.39814913664783835</v>
      </c>
    </row>
    <row r="10" spans="1:17" x14ac:dyDescent="0.25">
      <c r="A10">
        <f>Inputs!A10</f>
        <v>180</v>
      </c>
      <c r="B10">
        <f>249.7*(1-Inputs!B10/SBR0_100)</f>
        <v>5.1222720220651237</v>
      </c>
      <c r="C10">
        <f>Inputs!C10</f>
        <v>0.213345720055653</v>
      </c>
      <c r="D10">
        <f>Inputs!D10</f>
        <v>0.50523364660407499</v>
      </c>
      <c r="E10">
        <f>249.7*(1-Inputs!G10/SBR0_111)</f>
        <v>6.295331848552344</v>
      </c>
      <c r="F10">
        <f>SUMPRODUCT($K$2:$P$2,B10^{6,5,4,3,2,1})+$Q$2</f>
        <v>0.19446956506388374</v>
      </c>
      <c r="G10">
        <f>SUMPRODUCT($K$3:$P$3,B10^{6,5,4,3,2,1})+$Q$3</f>
        <v>0.39583686159097592</v>
      </c>
    </row>
    <row r="11" spans="1:17" x14ac:dyDescent="0.25">
      <c r="A11">
        <f>Inputs!A11</f>
        <v>210</v>
      </c>
      <c r="B11">
        <f>249.7*(1-Inputs!B11/SBR0_100)</f>
        <v>5.7679365626615837</v>
      </c>
      <c r="C11">
        <f>Inputs!C11</f>
        <v>0.21174572005565301</v>
      </c>
      <c r="D11">
        <f>Inputs!D11</f>
        <v>0.50423364660407499</v>
      </c>
      <c r="E11">
        <f>249.7*(1-Inputs!G11/SBR0_111)</f>
        <v>6.9181915367483473</v>
      </c>
      <c r="F11">
        <f>SUMPRODUCT($K$2:$P$2,B11^{6,5,4,3,2,1})+$Q$2</f>
        <v>0.19347266547115427</v>
      </c>
      <c r="G11">
        <f>SUMPRODUCT($K$3:$P$3,B11^{6,5,4,3,2,1})+$Q$3</f>
        <v>0.39390327910631706</v>
      </c>
    </row>
    <row r="12" spans="1:17" x14ac:dyDescent="0.25">
      <c r="A12">
        <f>Inputs!A12</f>
        <v>240</v>
      </c>
      <c r="B12">
        <f>249.7*(1-Inputs!B12/SBR0_100)</f>
        <v>6.5857783140837629</v>
      </c>
      <c r="C12">
        <f>Inputs!C12</f>
        <v>0.21074572005565301</v>
      </c>
      <c r="D12">
        <f>Inputs!D12</f>
        <v>0.50423364660407499</v>
      </c>
      <c r="E12">
        <f>249.7*(1-Inputs!G12/SBR0_111)</f>
        <v>8.0749309576837547</v>
      </c>
      <c r="F12">
        <f>SUMPRODUCT($K$2:$P$2,B12^{6,5,4,3,2,1})+$Q$2</f>
        <v>0.19225680667996245</v>
      </c>
      <c r="G12">
        <f>SUMPRODUCT($K$3:$P$3,B12^{6,5,4,3,2,1})+$Q$3</f>
        <v>0.39172305379778766</v>
      </c>
    </row>
    <row r="13" spans="1:17" x14ac:dyDescent="0.25">
      <c r="A13">
        <f>Inputs!A13</f>
        <v>270</v>
      </c>
      <c r="B13">
        <f>249.7*(1-Inputs!B13/SBR0_100)</f>
        <v>7.274487157386611</v>
      </c>
      <c r="C13">
        <f>Inputs!C13</f>
        <v>0.20914572005565299</v>
      </c>
      <c r="D13">
        <f>Inputs!D13</f>
        <v>0.50463364660407495</v>
      </c>
      <c r="E13">
        <f>249.7*(1-Inputs!G13/SBR0_111)</f>
        <v>8.7422806236080302</v>
      </c>
      <c r="F13">
        <f>SUMPRODUCT($K$2:$P$2,B13^{6,5,4,3,2,1})+$Q$2</f>
        <v>0.19126641879166884</v>
      </c>
      <c r="G13">
        <f>SUMPRODUCT($K$3:$P$3,B13^{6,5,4,3,2,1})+$Q$3</f>
        <v>0.39006855753094027</v>
      </c>
    </row>
    <row r="14" spans="1:17" x14ac:dyDescent="0.25">
      <c r="A14">
        <f>Inputs!A14</f>
        <v>300</v>
      </c>
      <c r="B14">
        <f>249.7*(1-Inputs!B14/SBR0_100)</f>
        <v>7.834063092570239</v>
      </c>
      <c r="C14">
        <f>Inputs!C14</f>
        <v>0.20814572005565299</v>
      </c>
      <c r="D14">
        <f>Inputs!D14</f>
        <v>0.50383364660407504</v>
      </c>
      <c r="E14">
        <f>249.7*(1-Inputs!G14/SBR0_111)</f>
        <v>9.3651403118040051</v>
      </c>
      <c r="F14">
        <f>SUMPRODUCT($K$2:$P$2,B14^{6,5,4,3,2,1})+$Q$2</f>
        <v>0.19048251112180345</v>
      </c>
      <c r="G14">
        <f>SUMPRODUCT($K$3:$P$3,B14^{6,5,4,3,2,1})+$Q$3</f>
        <v>0.38881510212205178</v>
      </c>
    </row>
    <row r="15" spans="1:17" x14ac:dyDescent="0.25">
      <c r="A15">
        <f>Inputs!A15</f>
        <v>330</v>
      </c>
      <c r="B15">
        <f>249.7*(1-Inputs!B15/SBR0_100)</f>
        <v>8.5227719358730862</v>
      </c>
      <c r="C15">
        <f>Inputs!C15</f>
        <v>0.20734572005565299</v>
      </c>
      <c r="D15">
        <f>Inputs!D15</f>
        <v>0.50403364660407501</v>
      </c>
      <c r="E15">
        <f>249.7*(1-Inputs!G15/SBR0_111)</f>
        <v>10.388409799554568</v>
      </c>
      <c r="F15">
        <f>SUMPRODUCT($K$2:$P$2,B15^{6,5,4,3,2,1})+$Q$2</f>
        <v>0.18954450412784529</v>
      </c>
      <c r="G15">
        <f>SUMPRODUCT($K$3:$P$3,B15^{6,5,4,3,2,1})+$Q$3</f>
        <v>0.38735360052019047</v>
      </c>
    </row>
    <row r="16" spans="1:17" x14ac:dyDescent="0.25">
      <c r="A16">
        <f>Inputs!A16</f>
        <v>360</v>
      </c>
      <c r="B16">
        <f>249.7*(1-Inputs!B16/SBR0_100)</f>
        <v>9.1253921737631298</v>
      </c>
      <c r="C16">
        <f>Inputs!C16</f>
        <v>0.20634572005565299</v>
      </c>
      <c r="D16">
        <f>Inputs!D16</f>
        <v>0.50443364660407497</v>
      </c>
      <c r="E16">
        <f>249.7*(1-Inputs!G16/SBR0_111)</f>
        <v>11.100249443207144</v>
      </c>
      <c r="F16">
        <f>SUMPRODUCT($K$2:$P$2,B16^{6,5,4,3,2,1})+$Q$2</f>
        <v>0.18875087651223854</v>
      </c>
      <c r="G16">
        <f>SUMPRODUCT($K$3:$P$3,B16^{6,5,4,3,2,1})+$Q$3</f>
        <v>0.38612788610842824</v>
      </c>
    </row>
    <row r="17" spans="1:7" x14ac:dyDescent="0.25">
      <c r="A17">
        <f>Inputs!A17</f>
        <v>390</v>
      </c>
      <c r="B17">
        <f>249.7*(1-Inputs!B17/SBR0_100)</f>
        <v>9.5558352008274561</v>
      </c>
      <c r="C17">
        <f>Inputs!C17</f>
        <v>0.205545720055653</v>
      </c>
      <c r="D17">
        <f>Inputs!D17</f>
        <v>0.50383364660407504</v>
      </c>
      <c r="E17">
        <f>249.7*(1-Inputs!G17/SBR0_111)</f>
        <v>11.500659242761703</v>
      </c>
      <c r="F17">
        <f>SUMPRODUCT($K$2:$P$2,B17^{6,5,4,3,2,1})+$Q$2</f>
        <v>0.18820126524923472</v>
      </c>
      <c r="G17">
        <f>SUMPRODUCT($K$3:$P$3,B17^{6,5,4,3,2,1})+$Q$3</f>
        <v>0.38527501790239338</v>
      </c>
    </row>
    <row r="18" spans="1:7" x14ac:dyDescent="0.25">
      <c r="A18">
        <f>Inputs!A18</f>
        <v>420</v>
      </c>
      <c r="B18">
        <f>249.7*(1-Inputs!B18/SBR0_100)</f>
        <v>10.115411136011028</v>
      </c>
      <c r="C18">
        <f>Inputs!C18</f>
        <v>0.204745720055653</v>
      </c>
      <c r="D18">
        <f>Inputs!D18</f>
        <v>0.50323364660407499</v>
      </c>
      <c r="E18">
        <f>249.7*(1-Inputs!G18/SBR0_111)</f>
        <v>12.123518930957678</v>
      </c>
      <c r="F18">
        <f>SUMPRODUCT($K$2:$P$2,B18^{6,5,4,3,2,1})+$Q$2</f>
        <v>0.18750960223790389</v>
      </c>
      <c r="G18">
        <f>SUMPRODUCT($K$3:$P$3,B18^{6,5,4,3,2,1})+$Q$3</f>
        <v>0.38418915539421672</v>
      </c>
    </row>
    <row r="19" spans="1:7" x14ac:dyDescent="0.25">
      <c r="A19">
        <f>Inputs!A19</f>
        <v>450</v>
      </c>
      <c r="B19">
        <f>249.7*(1-Inputs!B19/SBR0_100)</f>
        <v>10.631942768488157</v>
      </c>
      <c r="C19">
        <f>Inputs!C19</f>
        <v>0.20394572005565301</v>
      </c>
      <c r="D19">
        <f>Inputs!D19</f>
        <v>0.50443364660407497</v>
      </c>
      <c r="E19">
        <f>249.7*(1-Inputs!G19/SBR0_111)</f>
        <v>12.924338530066825</v>
      </c>
      <c r="F19">
        <f>SUMPRODUCT($K$2:$P$2,B19^{6,5,4,3,2,1})+$Q$2</f>
        <v>0.18689358506496923</v>
      </c>
      <c r="G19">
        <f>SUMPRODUCT($K$3:$P$3,B19^{6,5,4,3,2,1})+$Q$3</f>
        <v>0.38320738155209105</v>
      </c>
    </row>
    <row r="20" spans="1:7" x14ac:dyDescent="0.25">
      <c r="A20">
        <f>Inputs!A20</f>
        <v>480</v>
      </c>
      <c r="B20">
        <f>249.7*(1-Inputs!B20/SBR0_100)</f>
        <v>10.933252887433179</v>
      </c>
      <c r="C20">
        <f>Inputs!C20</f>
        <v>0.20334572005565299</v>
      </c>
      <c r="D20">
        <f>Inputs!D20</f>
        <v>0.50523364660407499</v>
      </c>
      <c r="E20">
        <f>249.7*(1-Inputs!G20/SBR0_111)</f>
        <v>13.324748329621386</v>
      </c>
      <c r="F20">
        <f>SUMPRODUCT($K$2:$P$2,B20^{6,5,4,3,2,1})+$Q$2</f>
        <v>0.18654300698956763</v>
      </c>
      <c r="G20">
        <f>SUMPRODUCT($K$3:$P$3,B20^{6,5,4,3,2,1})+$Q$3</f>
        <v>0.38264355093432489</v>
      </c>
    </row>
    <row r="21" spans="1:7" x14ac:dyDescent="0.25">
      <c r="A21">
        <f>Inputs!A21</f>
        <v>510</v>
      </c>
      <c r="B21">
        <f>249.7*(1-Inputs!B21/SBR0_100)</f>
        <v>11.148474400965315</v>
      </c>
      <c r="C21">
        <f>Inputs!C21</f>
        <v>0.20234572005565299</v>
      </c>
      <c r="D21">
        <f>Inputs!D21</f>
        <v>0.50563364660407495</v>
      </c>
      <c r="E21">
        <f>249.7*(1-Inputs!G21/SBR0_111)</f>
        <v>13.591688195991129</v>
      </c>
      <c r="F21">
        <f>SUMPRODUCT($K$2:$P$2,B21^{6,5,4,3,2,1})+$Q$2</f>
        <v>0.18629573804916622</v>
      </c>
      <c r="G21">
        <f>SUMPRODUCT($K$3:$P$3,B21^{6,5,4,3,2,1})+$Q$3</f>
        <v>0.38224487640817517</v>
      </c>
    </row>
    <row r="22" spans="1:7" x14ac:dyDescent="0.25">
      <c r="A22">
        <f>Inputs!A22</f>
        <v>540</v>
      </c>
      <c r="B22">
        <f>249.7*(1-Inputs!B22/SBR0_100)</f>
        <v>11.535873125323196</v>
      </c>
      <c r="C22">
        <f>Inputs!C22</f>
        <v>0.201745720055653</v>
      </c>
      <c r="D22">
        <f>Inputs!D22</f>
        <v>0.50523364660407499</v>
      </c>
      <c r="E22">
        <f>249.7*(1-Inputs!G22/SBR0_111)</f>
        <v>14.036587973273988</v>
      </c>
      <c r="F22">
        <f>SUMPRODUCT($K$2:$P$2,B22^{6,5,4,3,2,1})+$Q$2</f>
        <v>0.18585489258700488</v>
      </c>
      <c r="G22">
        <f>SUMPRODUCT($K$3:$P$3,B22^{6,5,4,3,2,1})+$Q$3</f>
        <v>0.38153599077508715</v>
      </c>
    </row>
    <row r="23" spans="1:7" x14ac:dyDescent="0.25">
      <c r="A23">
        <f>Inputs!A23</f>
        <v>570</v>
      </c>
      <c r="B23">
        <f>249.7*(1-Inputs!B23/SBR0_100)</f>
        <v>12.052404757800351</v>
      </c>
      <c r="C23">
        <f>Inputs!C23</f>
        <v>0.200945720055653</v>
      </c>
      <c r="D23">
        <f>Inputs!D23</f>
        <v>0.50583364660407504</v>
      </c>
      <c r="E23">
        <f>249.7*(1-Inputs!G23/SBR0_111)</f>
        <v>14.614957683741665</v>
      </c>
      <c r="F23">
        <f>SUMPRODUCT($K$2:$P$2,B23^{6,5,4,3,2,1})+$Q$2</f>
        <v>0.18526701163294707</v>
      </c>
      <c r="G23">
        <f>SUMPRODUCT($K$3:$P$3,B23^{6,5,4,3,2,1})+$Q$3</f>
        <v>0.38060856099036655</v>
      </c>
    </row>
    <row r="24" spans="1:7" x14ac:dyDescent="0.25">
      <c r="A24">
        <f>Inputs!A24</f>
        <v>600</v>
      </c>
      <c r="B24">
        <f>249.7*(1-Inputs!B24/SBR0_100)</f>
        <v>12.31067057403893</v>
      </c>
      <c r="C24">
        <f>Inputs!C24</f>
        <v>0.20034572005565299</v>
      </c>
      <c r="D24">
        <f>Inputs!D24</f>
        <v>0.50703364660407502</v>
      </c>
      <c r="E24">
        <f>249.7*(1-Inputs!G24/SBR0_111)</f>
        <v>14.970877505567952</v>
      </c>
      <c r="F24">
        <f>SUMPRODUCT($K$2:$P$2,B24^{6,5,4,3,2,1})+$Q$2</f>
        <v>0.18496783088172686</v>
      </c>
      <c r="G24">
        <f>SUMPRODUCT($K$3:$P$3,B24^{6,5,4,3,2,1})+$Q$3</f>
        <v>0.38015231839357838</v>
      </c>
    </row>
    <row r="25" spans="1:7" x14ac:dyDescent="0.25">
      <c r="A25">
        <f>Inputs!A25</f>
        <v>630</v>
      </c>
      <c r="B25">
        <f>249.7*(1-Inputs!B25/SBR0_100)</f>
        <v>12.482847784864649</v>
      </c>
      <c r="C25">
        <f>Inputs!C25</f>
        <v>0.199745720055653</v>
      </c>
      <c r="D25">
        <f>Inputs!D25</f>
        <v>0.50683364660407504</v>
      </c>
      <c r="E25">
        <f>249.7*(1-Inputs!G25/SBR0_111)</f>
        <v>15.104347438752795</v>
      </c>
      <c r="F25">
        <f>SUMPRODUCT($K$2:$P$2,B25^{6,5,4,3,2,1})+$Q$2</f>
        <v>0.18476439555387808</v>
      </c>
      <c r="G25">
        <f>SUMPRODUCT($K$3:$P$3,B25^{6,5,4,3,2,1})+$Q$3</f>
        <v>0.37985075159874498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46D7-D4BF-4235-93A9-451CFE9747E7}">
  <dimension ref="A3:AM25"/>
  <sheetViews>
    <sheetView tabSelected="1" topLeftCell="K1" workbookViewId="0">
      <selection activeCell="AC25" sqref="AC25"/>
    </sheetView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5.9552663945054363</v>
      </c>
      <c r="O4">
        <f t="shared" ref="O4:O25" si="7">2*H4/F4</f>
        <v>2.8978863432718183</v>
      </c>
      <c r="P4">
        <f t="shared" ref="P4:P25" si="8">J4*N4^2</f>
        <v>215.98305478181197</v>
      </c>
      <c r="Q4">
        <f t="shared" ref="Q4:Q25" si="9">J4*O4^2</f>
        <v>51.142268624394774</v>
      </c>
      <c r="R4">
        <f t="shared" ref="R4:R25" si="10">J4*L4^2</f>
        <v>229.82307082439178</v>
      </c>
      <c r="S4">
        <f t="shared" ref="S4:S25" si="11">1.5*P4-0.5*R4-2*T4</f>
        <v>116.56447409484835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240.96035136039328</v>
      </c>
      <c r="W4">
        <f t="shared" ref="W4:W25" si="15">((1-2*K4)^3.5)*($AI$5-$AI$15*K4)+1*U4</f>
        <v>112.06574896145518</v>
      </c>
      <c r="X4">
        <f t="shared" ref="X4:X25" si="16">((1-2*K4)^3.5)*($AI$6-$AI$16*K4)+1*U4</f>
        <v>46.81907931458737</v>
      </c>
      <c r="Y4">
        <f t="shared" ref="Y4:Y25" si="17">U4-B4</f>
        <v>0</v>
      </c>
      <c r="Z4">
        <f t="shared" ref="Z4:Z25" si="18">V4-R4</f>
        <v>11.137280536001498</v>
      </c>
      <c r="AA4">
        <f t="shared" ref="AA4:AA25" si="19">W4-S4</f>
        <v>-4.4987251333931653</v>
      </c>
      <c r="AB4">
        <f t="shared" ref="AB4:AB25" si="20">X4-T4</f>
        <v>0.56979298175049564</v>
      </c>
      <c r="AC4">
        <f t="shared" ref="AC4:AC25" si="21">IF(AND(A4&gt;=CutoffLowBar,A4&lt;=CutoffOilBar),Y4^2+Z4^2+AA4^2+AB4^2,0)</f>
        <v>0</v>
      </c>
      <c r="AD4">
        <f t="shared" ref="AD4:AD25" si="22">(V4+2*W4)/3</f>
        <v>155.03061642776788</v>
      </c>
      <c r="AE4">
        <f t="shared" ref="AE4:AE25" si="23">(V4-W4+3*X4)/5</f>
        <v>53.870368068540039</v>
      </c>
      <c r="AF4">
        <f t="shared" ref="AF4:AF25" si="24">5*(V4-W4)*X4/(3*(V4-W4)+4*X4)</f>
        <v>52.570957073599821</v>
      </c>
      <c r="AG4">
        <f t="shared" ref="AG4:AG25" si="25">(AE4+AF4)/2</f>
        <v>53.22066257106993</v>
      </c>
      <c r="AH4" t="s">
        <v>68</v>
      </c>
      <c r="AI4">
        <v>240.96035136039328</v>
      </c>
      <c r="AL4" t="s">
        <v>68</v>
      </c>
      <c r="AM4">
        <f>$AI$4</f>
        <v>240.96035136039328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5.955953210668044</v>
      </c>
      <c r="O5">
        <f t="shared" si="7"/>
        <v>2.8992901876863018</v>
      </c>
      <c r="P5">
        <f t="shared" si="8"/>
        <v>216.69178017533224</v>
      </c>
      <c r="Q5">
        <f t="shared" si="9"/>
        <v>51.347967096069596</v>
      </c>
      <c r="R5">
        <f t="shared" si="10"/>
        <v>239.26578867794052</v>
      </c>
      <c r="S5">
        <f t="shared" si="11"/>
        <v>111.45897937994359</v>
      </c>
      <c r="T5">
        <f t="shared" si="12"/>
        <v>46.972898272042251</v>
      </c>
      <c r="U5">
        <f t="shared" si="13"/>
        <v>0.47510665809704616</v>
      </c>
      <c r="V5">
        <f t="shared" si="14"/>
        <v>243.54012800334914</v>
      </c>
      <c r="W5">
        <f t="shared" si="15"/>
        <v>113.71624615110269</v>
      </c>
      <c r="X5">
        <f t="shared" si="16"/>
        <v>46.936493742889141</v>
      </c>
      <c r="Y5">
        <f t="shared" si="17"/>
        <v>0.34597374997777086</v>
      </c>
      <c r="Z5">
        <f t="shared" si="18"/>
        <v>4.2743393254086186</v>
      </c>
      <c r="AA5">
        <f t="shared" si="19"/>
        <v>2.2572667711591095</v>
      </c>
      <c r="AB5">
        <f t="shared" si="20"/>
        <v>-3.6404529153109877E-2</v>
      </c>
      <c r="AC5">
        <f t="shared" si="21"/>
        <v>0</v>
      </c>
      <c r="AD5">
        <f t="shared" si="22"/>
        <v>156.99087343518485</v>
      </c>
      <c r="AE5">
        <f t="shared" si="23"/>
        <v>54.12667261618278</v>
      </c>
      <c r="AF5">
        <f t="shared" si="24"/>
        <v>52.783193041287589</v>
      </c>
      <c r="AG5">
        <f t="shared" si="25"/>
        <v>53.454932828735181</v>
      </c>
      <c r="AH5" t="s">
        <v>69</v>
      </c>
      <c r="AI5">
        <v>112.06574896145518</v>
      </c>
      <c r="AL5" t="s">
        <v>69</v>
      </c>
      <c r="AM5">
        <f>$AI$5</f>
        <v>112.06574896145518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6.0366079447998739</v>
      </c>
      <c r="O6">
        <f t="shared" si="7"/>
        <v>2.9511670389439613</v>
      </c>
      <c r="P6">
        <f t="shared" si="8"/>
        <v>223.27996675397867</v>
      </c>
      <c r="Q6">
        <f t="shared" si="9"/>
        <v>53.364371670910479</v>
      </c>
      <c r="R6">
        <f t="shared" si="10"/>
        <v>247.81842385033514</v>
      </c>
      <c r="S6">
        <f t="shared" si="11"/>
        <v>116.44815126089314</v>
      </c>
      <c r="T6">
        <f t="shared" si="12"/>
        <v>47.281293472453648</v>
      </c>
      <c r="U6">
        <f t="shared" si="13"/>
        <v>0.95670373231471317</v>
      </c>
      <c r="V6">
        <f t="shared" si="14"/>
        <v>246.143611050912</v>
      </c>
      <c r="W6">
        <f t="shared" si="15"/>
        <v>115.38628117605286</v>
      </c>
      <c r="X6">
        <f t="shared" si="16"/>
        <v>47.051123535626353</v>
      </c>
      <c r="Y6">
        <f t="shared" si="17"/>
        <v>-0.6789797705295888</v>
      </c>
      <c r="Z6">
        <f t="shared" si="18"/>
        <v>-1.6748127994231368</v>
      </c>
      <c r="AA6">
        <f t="shared" si="19"/>
        <v>-1.0618700848402796</v>
      </c>
      <c r="AB6">
        <f t="shared" si="20"/>
        <v>-0.23016993682729492</v>
      </c>
      <c r="AC6">
        <f t="shared" si="21"/>
        <v>0</v>
      </c>
      <c r="AD6">
        <f t="shared" si="22"/>
        <v>158.97205780100592</v>
      </c>
      <c r="AE6">
        <f t="shared" si="23"/>
        <v>54.382140096347641</v>
      </c>
      <c r="AF6">
        <f t="shared" si="24"/>
        <v>52.993355055527587</v>
      </c>
      <c r="AG6">
        <f t="shared" si="25"/>
        <v>53.687747575937614</v>
      </c>
      <c r="AH6" t="s">
        <v>70</v>
      </c>
      <c r="AI6">
        <v>46.81907931458737</v>
      </c>
      <c r="AL6" t="s">
        <v>70</v>
      </c>
      <c r="AM6">
        <f>$AI$6</f>
        <v>46.81907931458737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6.0813271227214161</v>
      </c>
      <c r="O7">
        <f t="shared" si="7"/>
        <v>2.9792758861095754</v>
      </c>
      <c r="P7">
        <f t="shared" si="8"/>
        <v>227.29287831218113</v>
      </c>
      <c r="Q7">
        <f t="shared" si="9"/>
        <v>54.551982823819927</v>
      </c>
      <c r="R7">
        <f t="shared" si="10"/>
        <v>253.08558420876813</v>
      </c>
      <c r="S7">
        <f t="shared" si="11"/>
        <v>119.73770130627437</v>
      </c>
      <c r="T7">
        <f t="shared" si="12"/>
        <v>47.329412028806644</v>
      </c>
      <c r="U7">
        <f t="shared" si="13"/>
        <v>1.4448686349694342</v>
      </c>
      <c r="V7">
        <f t="shared" si="14"/>
        <v>248.77101865826836</v>
      </c>
      <c r="W7">
        <f t="shared" si="15"/>
        <v>117.07608667726511</v>
      </c>
      <c r="X7">
        <f t="shared" si="16"/>
        <v>47.162895899843903</v>
      </c>
      <c r="Y7">
        <f t="shared" si="17"/>
        <v>-1.0517009220034625</v>
      </c>
      <c r="Z7">
        <f t="shared" si="18"/>
        <v>-4.3145655504997649</v>
      </c>
      <c r="AA7">
        <f t="shared" si="19"/>
        <v>-2.6616146290092644</v>
      </c>
      <c r="AB7">
        <f t="shared" si="20"/>
        <v>-0.16651612896274059</v>
      </c>
      <c r="AC7">
        <f t="shared" si="21"/>
        <v>0</v>
      </c>
      <c r="AD7">
        <f t="shared" si="22"/>
        <v>160.97439733759953</v>
      </c>
      <c r="AE7">
        <f t="shared" si="23"/>
        <v>54.636723936107003</v>
      </c>
      <c r="AF7">
        <f t="shared" si="24"/>
        <v>53.201364393514623</v>
      </c>
      <c r="AG7">
        <f t="shared" si="25"/>
        <v>53.919044164810813</v>
      </c>
      <c r="AH7" t="s">
        <v>71</v>
      </c>
      <c r="AI7">
        <v>5.4419713277473969</v>
      </c>
      <c r="AL7" t="s">
        <v>71</v>
      </c>
      <c r="AM7">
        <f>$AI$7</f>
        <v>5.4419713277473969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v>0.69911063565158382</v>
      </c>
      <c r="H8">
        <f t="shared" si="0"/>
        <v>0.60278431227345364</v>
      </c>
      <c r="I8">
        <f t="shared" si="1"/>
        <v>1.021128152772816</v>
      </c>
      <c r="J8">
        <f t="shared" si="2"/>
        <v>6.2186704503864494</v>
      </c>
      <c r="K8">
        <f t="shared" si="3"/>
        <v>-7.0181477036441731E-3</v>
      </c>
      <c r="L8">
        <f t="shared" si="4"/>
        <v>6.4569333023244235</v>
      </c>
      <c r="M8">
        <f t="shared" si="5"/>
        <v>2.7674745747859504</v>
      </c>
      <c r="N8">
        <f t="shared" si="6"/>
        <v>6.1111551746545043</v>
      </c>
      <c r="O8">
        <f t="shared" si="7"/>
        <v>2.9990274528677232</v>
      </c>
      <c r="P8">
        <f t="shared" si="8"/>
        <v>232.24381962821855</v>
      </c>
      <c r="Q8">
        <f t="shared" si="9"/>
        <v>55.931752234716001</v>
      </c>
      <c r="R8">
        <f t="shared" si="10"/>
        <v>259.26873174544801</v>
      </c>
      <c r="S8">
        <f t="shared" si="11"/>
        <v>123.4748202911908</v>
      </c>
      <c r="T8">
        <f t="shared" si="12"/>
        <v>47.628271639206524</v>
      </c>
      <c r="U8">
        <f t="shared" si="13"/>
        <v>3.3845299422697024</v>
      </c>
      <c r="V8">
        <f t="shared" si="14"/>
        <v>259.10057112465694</v>
      </c>
      <c r="W8">
        <f t="shared" si="15"/>
        <v>123.76205027830068</v>
      </c>
      <c r="X8">
        <f t="shared" si="16"/>
        <v>47.564693188347917</v>
      </c>
      <c r="Y8">
        <f t="shared" si="17"/>
        <v>-5.9014274244648224E-2</v>
      </c>
      <c r="Z8">
        <f t="shared" si="18"/>
        <v>-0.16816062079107041</v>
      </c>
      <c r="AA8">
        <f t="shared" si="19"/>
        <v>0.28722998710988179</v>
      </c>
      <c r="AB8">
        <f t="shared" si="20"/>
        <v>-6.3578450858607027E-2</v>
      </c>
      <c r="AC8">
        <f t="shared" si="21"/>
        <v>0.1183039638581839</v>
      </c>
      <c r="AD8">
        <f t="shared" si="22"/>
        <v>168.87489056041943</v>
      </c>
      <c r="AE8">
        <f t="shared" si="23"/>
        <v>55.606520082280007</v>
      </c>
      <c r="AF8">
        <f t="shared" si="24"/>
        <v>53.979643593618547</v>
      </c>
      <c r="AG8">
        <f t="shared" si="25"/>
        <v>54.793081837949273</v>
      </c>
      <c r="AH8" t="s">
        <v>72</v>
      </c>
      <c r="AI8">
        <v>3.4771142639053982</v>
      </c>
      <c r="AL8" t="s">
        <v>72</v>
      </c>
      <c r="AM8">
        <f>$AI$8</f>
        <v>3.4771142639053982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v>0.6977310957296754</v>
      </c>
      <c r="H9">
        <f t="shared" si="0"/>
        <v>0.60159485100555821</v>
      </c>
      <c r="I9">
        <f t="shared" si="1"/>
        <v>1.0271969984535312</v>
      </c>
      <c r="J9">
        <f t="shared" si="2"/>
        <v>6.2556297205820046</v>
      </c>
      <c r="K9">
        <f t="shared" si="3"/>
        <v>-9.0250619752954009E-3</v>
      </c>
      <c r="L9">
        <f t="shared" si="4"/>
        <v>6.4982072336422165</v>
      </c>
      <c r="M9">
        <f t="shared" si="5"/>
        <v>2.7620135769637311</v>
      </c>
      <c r="N9">
        <f t="shared" si="6"/>
        <v>6.1519593137563859</v>
      </c>
      <c r="O9">
        <f t="shared" si="7"/>
        <v>3.0219573302135121</v>
      </c>
      <c r="P9">
        <f t="shared" si="8"/>
        <v>236.75433704032147</v>
      </c>
      <c r="Q9">
        <f t="shared" si="9"/>
        <v>57.12782504146125</v>
      </c>
      <c r="R9">
        <f t="shared" si="10"/>
        <v>264.15458232762626</v>
      </c>
      <c r="S9">
        <f t="shared" si="11"/>
        <v>127.60933179228952</v>
      </c>
      <c r="T9">
        <f t="shared" si="12"/>
        <v>47.722441302189772</v>
      </c>
      <c r="U9">
        <f t="shared" si="13"/>
        <v>4.3973151345037564</v>
      </c>
      <c r="V9">
        <f t="shared" si="14"/>
        <v>264.42770134885961</v>
      </c>
      <c r="W9">
        <f t="shared" si="15"/>
        <v>127.2362707259489</v>
      </c>
      <c r="X9">
        <f t="shared" si="16"/>
        <v>47.748775982524499</v>
      </c>
      <c r="Y9">
        <f t="shared" si="17"/>
        <v>-3.6248044258520018E-2</v>
      </c>
      <c r="Z9">
        <f t="shared" si="18"/>
        <v>0.27311902123335585</v>
      </c>
      <c r="AA9">
        <f t="shared" si="19"/>
        <v>-0.3730610663406253</v>
      </c>
      <c r="AB9">
        <f t="shared" si="20"/>
        <v>2.6334680334727523E-2</v>
      </c>
      <c r="AC9">
        <f t="shared" si="21"/>
        <v>0.21577599507957063</v>
      </c>
      <c r="AD9">
        <f t="shared" si="22"/>
        <v>172.96674760025246</v>
      </c>
      <c r="AE9">
        <f t="shared" si="23"/>
        <v>56.087551714096847</v>
      </c>
      <c r="AF9">
        <f t="shared" si="24"/>
        <v>54.356584761918413</v>
      </c>
      <c r="AG9">
        <f t="shared" si="25"/>
        <v>55.22206823800763</v>
      </c>
      <c r="AH9" t="s">
        <v>73</v>
      </c>
      <c r="AI9">
        <v>0.25171874668397398</v>
      </c>
      <c r="AL9" t="s">
        <v>73</v>
      </c>
      <c r="AM9">
        <f>$AI$9</f>
        <v>0.25171874668397398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v>0.6967519258271162</v>
      </c>
      <c r="H10">
        <f t="shared" si="0"/>
        <v>0.60075059513786866</v>
      </c>
      <c r="I10">
        <f t="shared" si="1"/>
        <v>1.0315337551795245</v>
      </c>
      <c r="J10">
        <f t="shared" si="2"/>
        <v>6.2820405690433043</v>
      </c>
      <c r="K10">
        <f t="shared" si="3"/>
        <v>-1.0456768804695038E-2</v>
      </c>
      <c r="L10">
        <f t="shared" si="4"/>
        <v>6.5316700578325424</v>
      </c>
      <c r="M10">
        <f t="shared" si="5"/>
        <v>2.758137469704681</v>
      </c>
      <c r="N10">
        <f t="shared" si="6"/>
        <v>6.1783507865667371</v>
      </c>
      <c r="O10">
        <f t="shared" si="7"/>
        <v>3.0353443725442282</v>
      </c>
      <c r="P10">
        <f t="shared" si="8"/>
        <v>239.79816845409536</v>
      </c>
      <c r="Q10">
        <f t="shared" si="9"/>
        <v>57.87842149471129</v>
      </c>
      <c r="R10">
        <f t="shared" si="10"/>
        <v>268.0088985277153</v>
      </c>
      <c r="S10">
        <f t="shared" si="11"/>
        <v>130.11378877403337</v>
      </c>
      <c r="T10">
        <f t="shared" si="12"/>
        <v>47.789507321626012</v>
      </c>
      <c r="U10">
        <f t="shared" si="13"/>
        <v>5.132244588842382</v>
      </c>
      <c r="V10">
        <f t="shared" si="14"/>
        <v>268.2663162917267</v>
      </c>
      <c r="W10">
        <f t="shared" si="15"/>
        <v>129.75059164593316</v>
      </c>
      <c r="X10">
        <f t="shared" si="16"/>
        <v>47.871802910630684</v>
      </c>
      <c r="Y10">
        <f t="shared" si="17"/>
        <v>9.9725667772583293E-3</v>
      </c>
      <c r="Z10">
        <f t="shared" si="18"/>
        <v>0.25741776401139305</v>
      </c>
      <c r="AA10">
        <f t="shared" si="19"/>
        <v>-0.36319712810021088</v>
      </c>
      <c r="AB10">
        <f t="shared" si="20"/>
        <v>8.229558900467282E-2</v>
      </c>
      <c r="AC10">
        <f t="shared" si="21"/>
        <v>0.20504807514661913</v>
      </c>
      <c r="AD10">
        <f t="shared" si="22"/>
        <v>175.92249986119768</v>
      </c>
      <c r="AE10">
        <f t="shared" si="23"/>
        <v>56.426226675537123</v>
      </c>
      <c r="AF10">
        <f t="shared" si="24"/>
        <v>54.617972455810623</v>
      </c>
      <c r="AG10">
        <f t="shared" si="25"/>
        <v>55.522099565673869</v>
      </c>
      <c r="AL10" t="s">
        <v>74</v>
      </c>
      <c r="AM10">
        <f>$AI$11</f>
        <v>155.03061642776788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v>0.69580580579528084</v>
      </c>
      <c r="H11">
        <f t="shared" si="0"/>
        <v>0.59993483539451065</v>
      </c>
      <c r="I11">
        <f t="shared" si="1"/>
        <v>1.0357473549846252</v>
      </c>
      <c r="J11">
        <f t="shared" si="2"/>
        <v>6.3077013918563676</v>
      </c>
      <c r="K11">
        <f t="shared" si="3"/>
        <v>-1.1845896971170444E-2</v>
      </c>
      <c r="L11">
        <f t="shared" si="4"/>
        <v>6.5720884994738276</v>
      </c>
      <c r="M11">
        <f t="shared" si="5"/>
        <v>2.7598547240209403</v>
      </c>
      <c r="N11">
        <f t="shared" si="6"/>
        <v>6.2017529342816404</v>
      </c>
      <c r="O11">
        <f t="shared" si="7"/>
        <v>3.0461022652852012</v>
      </c>
      <c r="P11">
        <f t="shared" si="8"/>
        <v>242.60516751162947</v>
      </c>
      <c r="Q11">
        <f t="shared" si="9"/>
        <v>58.527514971679906</v>
      </c>
      <c r="R11">
        <f t="shared" si="10"/>
        <v>272.44442883430116</v>
      </c>
      <c r="S11">
        <f t="shared" si="11"/>
        <v>131.59656092558234</v>
      </c>
      <c r="T11">
        <f t="shared" si="12"/>
        <v>48.044487962355646</v>
      </c>
      <c r="U11">
        <f t="shared" si="13"/>
        <v>5.8552802571248863</v>
      </c>
      <c r="V11">
        <f t="shared" si="14"/>
        <v>272.02138241384694</v>
      </c>
      <c r="W11">
        <f t="shared" si="15"/>
        <v>132.21891697876441</v>
      </c>
      <c r="X11">
        <f t="shared" si="16"/>
        <v>47.984427759331354</v>
      </c>
      <c r="Y11">
        <f t="shared" si="17"/>
        <v>8.734369446330259E-2</v>
      </c>
      <c r="Z11">
        <f t="shared" si="18"/>
        <v>-0.42304642045422725</v>
      </c>
      <c r="AA11">
        <f t="shared" si="19"/>
        <v>0.62235605318207377</v>
      </c>
      <c r="AB11">
        <f t="shared" si="20"/>
        <v>-6.0060203024292491E-2</v>
      </c>
      <c r="AC11">
        <f t="shared" si="21"/>
        <v>0.57753147974132113</v>
      </c>
      <c r="AD11">
        <f t="shared" si="22"/>
        <v>178.81973879045859</v>
      </c>
      <c r="AE11">
        <f t="shared" si="23"/>
        <v>56.751149742615311</v>
      </c>
      <c r="AF11">
        <f t="shared" si="24"/>
        <v>54.865420714711412</v>
      </c>
      <c r="AG11">
        <f t="shared" si="25"/>
        <v>55.808285228663365</v>
      </c>
      <c r="AH11" t="s">
        <v>74</v>
      </c>
      <c r="AI11">
        <f>($AI$4+2*$AI$5)/3</f>
        <v>155.03061642776788</v>
      </c>
      <c r="AL11" t="s">
        <v>75</v>
      </c>
      <c r="AM11">
        <f>$AI$12</f>
        <v>4.1320666185193984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v>0.69488649339074948</v>
      </c>
      <c r="H12">
        <f t="shared" si="0"/>
        <v>0.59914218961389909</v>
      </c>
      <c r="I12">
        <f t="shared" si="1"/>
        <v>1.0398635767846987</v>
      </c>
      <c r="J12">
        <f t="shared" si="2"/>
        <v>6.3327691826188151</v>
      </c>
      <c r="K12">
        <f t="shared" si="3"/>
        <v>-1.3201104031734134E-2</v>
      </c>
      <c r="L12">
        <f t="shared" si="4"/>
        <v>6.5945490442913499</v>
      </c>
      <c r="M12">
        <f t="shared" si="5"/>
        <v>2.7562083493264993</v>
      </c>
      <c r="N12">
        <f t="shared" si="6"/>
        <v>6.2327279846195776</v>
      </c>
      <c r="O12">
        <f t="shared" si="7"/>
        <v>3.0590090820806468</v>
      </c>
      <c r="P12">
        <f t="shared" si="8"/>
        <v>246.00843931964314</v>
      </c>
      <c r="Q12">
        <f t="shared" si="9"/>
        <v>59.259119179323065</v>
      </c>
      <c r="R12">
        <f t="shared" si="10"/>
        <v>275.39995445480412</v>
      </c>
      <c r="S12">
        <f t="shared" si="11"/>
        <v>135.09658321330369</v>
      </c>
      <c r="T12">
        <f t="shared" si="12"/>
        <v>48.108049269379492</v>
      </c>
      <c r="U12">
        <f t="shared" si="13"/>
        <v>6.5701787261795905</v>
      </c>
      <c r="V12">
        <f t="shared" si="14"/>
        <v>275.71390462347335</v>
      </c>
      <c r="W12">
        <f t="shared" si="15"/>
        <v>134.65448169362014</v>
      </c>
      <c r="X12">
        <f t="shared" si="16"/>
        <v>48.087785786791834</v>
      </c>
      <c r="Y12">
        <f t="shared" si="17"/>
        <v>-1.5599587904172374E-2</v>
      </c>
      <c r="Z12">
        <f t="shared" si="18"/>
        <v>0.31395016866923697</v>
      </c>
      <c r="AA12">
        <f t="shared" si="19"/>
        <v>-0.44210151968354694</v>
      </c>
      <c r="AB12">
        <f t="shared" si="20"/>
        <v>-2.0263482587658643E-2</v>
      </c>
      <c r="AC12">
        <f t="shared" si="21"/>
        <v>0.29467241798330429</v>
      </c>
      <c r="AD12">
        <f t="shared" si="22"/>
        <v>181.67428933690454</v>
      </c>
      <c r="AE12">
        <f t="shared" si="23"/>
        <v>57.064556058045738</v>
      </c>
      <c r="AF12">
        <f t="shared" si="24"/>
        <v>55.100822003908824</v>
      </c>
      <c r="AG12">
        <f t="shared" si="25"/>
        <v>56.082689030977278</v>
      </c>
      <c r="AH12" t="s">
        <v>75</v>
      </c>
      <c r="AI12">
        <f>($AI$7+2*$AI$8)/3</f>
        <v>4.1320666185193984</v>
      </c>
      <c r="AL12" t="s">
        <v>81</v>
      </c>
      <c r="AM12">
        <f>AE4</f>
        <v>53.870368068540039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v>0.69386573959988074</v>
      </c>
      <c r="H13">
        <f t="shared" si="0"/>
        <v>0.59826207945614718</v>
      </c>
      <c r="I13">
        <f t="shared" si="1"/>
        <v>1.0444595968635328</v>
      </c>
      <c r="J13">
        <f t="shared" si="2"/>
        <v>6.3607589448989152</v>
      </c>
      <c r="K13">
        <f t="shared" si="3"/>
        <v>-1.4712166661866921E-2</v>
      </c>
      <c r="L13">
        <f t="shared" si="4"/>
        <v>6.6352372825534784</v>
      </c>
      <c r="M13">
        <f t="shared" si="5"/>
        <v>2.7499781049846379</v>
      </c>
      <c r="N13">
        <f t="shared" si="6"/>
        <v>6.2557984118245669</v>
      </c>
      <c r="O13">
        <f t="shared" si="7"/>
        <v>3.0674714375495031</v>
      </c>
      <c r="P13">
        <f t="shared" si="8"/>
        <v>248.92838889236913</v>
      </c>
      <c r="Q13">
        <f t="shared" si="9"/>
        <v>59.85080449008484</v>
      </c>
      <c r="R13">
        <f t="shared" si="10"/>
        <v>280.04115093301965</v>
      </c>
      <c r="S13">
        <f t="shared" si="11"/>
        <v>137.16706078241211</v>
      </c>
      <c r="T13">
        <f t="shared" si="12"/>
        <v>48.102473544815865</v>
      </c>
      <c r="U13">
        <f t="shared" si="13"/>
        <v>7.3784534279908582</v>
      </c>
      <c r="V13">
        <f t="shared" si="14"/>
        <v>279.86514845715885</v>
      </c>
      <c r="W13">
        <f t="shared" si="15"/>
        <v>137.40242477313495</v>
      </c>
      <c r="X13">
        <f t="shared" si="16"/>
        <v>48.195302377360051</v>
      </c>
      <c r="Y13">
        <f t="shared" si="17"/>
        <v>0.10396627060424724</v>
      </c>
      <c r="Z13">
        <f t="shared" si="18"/>
        <v>-0.17600247586079831</v>
      </c>
      <c r="AA13">
        <f t="shared" si="19"/>
        <v>0.23536399072284553</v>
      </c>
      <c r="AB13">
        <f t="shared" si="20"/>
        <v>9.2828832544185502E-2</v>
      </c>
      <c r="AC13">
        <f t="shared" si="21"/>
        <v>0.10579925721298661</v>
      </c>
      <c r="AD13">
        <f t="shared" si="22"/>
        <v>184.88999933447624</v>
      </c>
      <c r="AE13">
        <f t="shared" si="23"/>
        <v>57.40972616322081</v>
      </c>
      <c r="AF13">
        <f t="shared" si="24"/>
        <v>55.356119317251697</v>
      </c>
      <c r="AG13">
        <f t="shared" si="25"/>
        <v>56.382922740236253</v>
      </c>
      <c r="AL13" t="s">
        <v>82</v>
      </c>
      <c r="AM13">
        <f>AF4</f>
        <v>52.570957073599821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v>0.69318895692278204</v>
      </c>
      <c r="H14">
        <f t="shared" si="0"/>
        <v>0.59767854666495557</v>
      </c>
      <c r="I14">
        <f t="shared" si="1"/>
        <v>1.0475218031565798</v>
      </c>
      <c r="J14">
        <f t="shared" si="2"/>
        <v>6.3794077812235708</v>
      </c>
      <c r="K14">
        <f t="shared" si="3"/>
        <v>-1.5717717389191366E-2</v>
      </c>
      <c r="L14">
        <f t="shared" si="4"/>
        <v>6.6606121589955398</v>
      </c>
      <c r="M14">
        <f t="shared" si="5"/>
        <v>2.7516580585476742</v>
      </c>
      <c r="N14">
        <f t="shared" si="6"/>
        <v>6.2754165003922262</v>
      </c>
      <c r="O14">
        <f t="shared" si="7"/>
        <v>3.0743587036767934</v>
      </c>
      <c r="P14">
        <f t="shared" si="8"/>
        <v>251.22651529652393</v>
      </c>
      <c r="Q14">
        <f t="shared" si="9"/>
        <v>60.296130116794423</v>
      </c>
      <c r="R14">
        <f t="shared" si="10"/>
        <v>283.0144795934192</v>
      </c>
      <c r="S14">
        <f t="shared" si="11"/>
        <v>138.72760363345969</v>
      </c>
      <c r="T14">
        <f t="shared" si="12"/>
        <v>48.302464757308293</v>
      </c>
      <c r="U14">
        <f t="shared" si="13"/>
        <v>7.9228872485692809</v>
      </c>
      <c r="V14">
        <f t="shared" si="14"/>
        <v>282.64759603889559</v>
      </c>
      <c r="W14">
        <f t="shared" si="15"/>
        <v>139.25005325740898</v>
      </c>
      <c r="X14">
        <f t="shared" si="16"/>
        <v>48.262260391935214</v>
      </c>
      <c r="Y14">
        <f t="shared" si="17"/>
        <v>8.882415599904192E-2</v>
      </c>
      <c r="Z14">
        <f t="shared" si="18"/>
        <v>-0.36688355452361066</v>
      </c>
      <c r="AA14">
        <f t="shared" si="19"/>
        <v>0.52244962394928507</v>
      </c>
      <c r="AB14">
        <f t="shared" si="20"/>
        <v>-4.0204365373078588E-2</v>
      </c>
      <c r="AC14">
        <f t="shared" si="21"/>
        <v>0.41706327382862274</v>
      </c>
      <c r="AD14">
        <f t="shared" si="22"/>
        <v>187.04923418457119</v>
      </c>
      <c r="AE14">
        <f t="shared" si="23"/>
        <v>57.63686479145845</v>
      </c>
      <c r="AF14">
        <f t="shared" si="24"/>
        <v>55.521717203687054</v>
      </c>
      <c r="AG14">
        <f t="shared" si="25"/>
        <v>56.579290997572755</v>
      </c>
      <c r="AH14" t="s">
        <v>76</v>
      </c>
      <c r="AI14">
        <f>3*$AI$11*($AI$7-3)-7*$AI$4</f>
        <v>-550.98149880391156</v>
      </c>
      <c r="AL14" t="s">
        <v>83</v>
      </c>
      <c r="AM14">
        <f>AG4</f>
        <v>53.22066257106993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v>0.69244722771654055</v>
      </c>
      <c r="H15">
        <f t="shared" si="0"/>
        <v>0.59703901594309672</v>
      </c>
      <c r="I15">
        <f t="shared" si="1"/>
        <v>1.0508916343459729</v>
      </c>
      <c r="J15">
        <f t="shared" si="2"/>
        <v>6.3999300531669743</v>
      </c>
      <c r="K15">
        <f t="shared" si="3"/>
        <v>-1.6823152580520806E-2</v>
      </c>
      <c r="L15">
        <f t="shared" si="4"/>
        <v>6.6791562182299495</v>
      </c>
      <c r="M15">
        <f t="shared" si="5"/>
        <v>2.7476230302556246</v>
      </c>
      <c r="N15">
        <f t="shared" si="6"/>
        <v>6.2997238425905682</v>
      </c>
      <c r="O15">
        <f t="shared" si="7"/>
        <v>3.0826563385047279</v>
      </c>
      <c r="P15">
        <f t="shared" si="8"/>
        <v>253.99095520816377</v>
      </c>
      <c r="Q15">
        <f t="shared" si="9"/>
        <v>60.817063959796037</v>
      </c>
      <c r="R15">
        <f t="shared" si="10"/>
        <v>285.50809743302028</v>
      </c>
      <c r="S15">
        <f t="shared" si="11"/>
        <v>141.60070656369277</v>
      </c>
      <c r="T15">
        <f t="shared" si="12"/>
        <v>48.315838766021372</v>
      </c>
      <c r="U15">
        <f t="shared" si="13"/>
        <v>8.5274848312196951</v>
      </c>
      <c r="V15">
        <f t="shared" si="14"/>
        <v>285.72489474068107</v>
      </c>
      <c r="W15">
        <f t="shared" si="15"/>
        <v>141.29882730528482</v>
      </c>
      <c r="X15">
        <f t="shared" si="16"/>
        <v>48.331572305639945</v>
      </c>
      <c r="Y15">
        <f t="shared" si="17"/>
        <v>4.712895346608903E-3</v>
      </c>
      <c r="Z15">
        <f t="shared" si="18"/>
        <v>0.21679730766078364</v>
      </c>
      <c r="AA15">
        <f t="shared" si="19"/>
        <v>-0.3018792584079506</v>
      </c>
      <c r="AB15">
        <f t="shared" si="20"/>
        <v>1.5733539618572934E-2</v>
      </c>
      <c r="AC15">
        <f t="shared" si="21"/>
        <v>0.13840191491737597</v>
      </c>
      <c r="AD15">
        <f t="shared" si="22"/>
        <v>189.44084978375022</v>
      </c>
      <c r="AE15">
        <f t="shared" si="23"/>
        <v>57.884156870463222</v>
      </c>
      <c r="AF15">
        <f t="shared" si="24"/>
        <v>55.699719802860905</v>
      </c>
      <c r="AG15">
        <f t="shared" si="25"/>
        <v>56.791938336662064</v>
      </c>
      <c r="AH15" t="s">
        <v>77</v>
      </c>
      <c r="AI15">
        <f>3*$AI$11*($AI$8-1)-7*$AI$5</f>
        <v>367.62541115562476</v>
      </c>
      <c r="AL15" t="s">
        <v>84</v>
      </c>
      <c r="AM15">
        <f>$AI$18</f>
        <v>2.3284859788842827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v>0.6917025703896168</v>
      </c>
      <c r="H16">
        <f t="shared" si="0"/>
        <v>0.59639696054900204</v>
      </c>
      <c r="I16">
        <f t="shared" si="1"/>
        <v>1.0542893241425211</v>
      </c>
      <c r="J16">
        <f t="shared" si="2"/>
        <v>6.420621984027953</v>
      </c>
      <c r="K16">
        <f t="shared" si="3"/>
        <v>-1.7936530854910315E-2</v>
      </c>
      <c r="L16">
        <f t="shared" si="4"/>
        <v>6.7043074138204508</v>
      </c>
      <c r="M16">
        <f t="shared" si="5"/>
        <v>2.7424918026236558</v>
      </c>
      <c r="N16">
        <f t="shared" si="6"/>
        <v>6.3194086466701185</v>
      </c>
      <c r="O16">
        <f t="shared" si="7"/>
        <v>3.0891162332757718</v>
      </c>
      <c r="P16">
        <f t="shared" si="8"/>
        <v>256.40706151787793</v>
      </c>
      <c r="Q16">
        <f t="shared" si="9"/>
        <v>61.269678408362665</v>
      </c>
      <c r="R16">
        <f t="shared" si="10"/>
        <v>288.5924340866963</v>
      </c>
      <c r="S16">
        <f t="shared" si="11"/>
        <v>143.73202409372692</v>
      </c>
      <c r="T16">
        <f t="shared" si="12"/>
        <v>48.291175569870894</v>
      </c>
      <c r="U16">
        <f t="shared" si="13"/>
        <v>9.1428993046401672</v>
      </c>
      <c r="V16">
        <f t="shared" si="14"/>
        <v>288.84389928398127</v>
      </c>
      <c r="W16">
        <f t="shared" si="15"/>
        <v>143.38107339257397</v>
      </c>
      <c r="X16">
        <f t="shared" si="16"/>
        <v>48.396771704443722</v>
      </c>
      <c r="Y16">
        <f t="shared" si="17"/>
        <v>1.7507130877037369E-2</v>
      </c>
      <c r="Z16">
        <f t="shared" si="18"/>
        <v>0.25146519728497196</v>
      </c>
      <c r="AA16">
        <f t="shared" si="19"/>
        <v>-0.35095070115295357</v>
      </c>
      <c r="AB16">
        <f t="shared" si="20"/>
        <v>0.10559613457282779</v>
      </c>
      <c r="AC16">
        <f t="shared" si="21"/>
        <v>0.19785818335358807</v>
      </c>
      <c r="AD16">
        <f t="shared" si="22"/>
        <v>191.86868202304308</v>
      </c>
      <c r="AE16">
        <f t="shared" si="23"/>
        <v>58.130628200947697</v>
      </c>
      <c r="AF16">
        <f t="shared" si="24"/>
        <v>55.874636834736471</v>
      </c>
      <c r="AG16">
        <f t="shared" si="25"/>
        <v>57.002632517842088</v>
      </c>
      <c r="AH16" t="s">
        <v>78</v>
      </c>
      <c r="AI16">
        <f>3*$AI$11*($AI$9-1)-7*$AI$6</f>
        <v>-675.75306709089023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v>0.69119064979070299</v>
      </c>
      <c r="H17">
        <f t="shared" si="0"/>
        <v>0.59595557446442715</v>
      </c>
      <c r="I17">
        <f t="shared" si="1"/>
        <v>1.0566335930565158</v>
      </c>
      <c r="J17">
        <f t="shared" si="2"/>
        <v>6.4348985817141813</v>
      </c>
      <c r="K17">
        <f t="shared" si="3"/>
        <v>-1.8704019726859755E-2</v>
      </c>
      <c r="L17">
        <f t="shared" si="4"/>
        <v>6.7254200146182379</v>
      </c>
      <c r="M17">
        <f t="shared" si="5"/>
        <v>2.7437256501206151</v>
      </c>
      <c r="N17">
        <f t="shared" si="6"/>
        <v>6.3331728793130466</v>
      </c>
      <c r="O17">
        <f t="shared" si="7"/>
        <v>3.0936632108101447</v>
      </c>
      <c r="P17">
        <f t="shared" si="8"/>
        <v>258.09785376446922</v>
      </c>
      <c r="Q17">
        <f t="shared" si="9"/>
        <v>61.586818869187944</v>
      </c>
      <c r="R17">
        <f t="shared" si="10"/>
        <v>291.05866331212019</v>
      </c>
      <c r="S17">
        <f t="shared" si="11"/>
        <v>144.73322414744962</v>
      </c>
      <c r="T17">
        <f t="shared" si="12"/>
        <v>48.442112421597074</v>
      </c>
      <c r="U17">
        <f t="shared" si="13"/>
        <v>9.5709248423179698</v>
      </c>
      <c r="V17">
        <f t="shared" si="14"/>
        <v>291.00540971583064</v>
      </c>
      <c r="W17">
        <f t="shared" si="15"/>
        <v>144.82744785078984</v>
      </c>
      <c r="X17">
        <f t="shared" si="16"/>
        <v>48.438988316394095</v>
      </c>
      <c r="Y17">
        <f t="shared" si="17"/>
        <v>1.5089641490513728E-2</v>
      </c>
      <c r="Z17">
        <f t="shared" si="18"/>
        <v>-5.3253596289550842E-2</v>
      </c>
      <c r="AA17">
        <f t="shared" si="19"/>
        <v>9.4223703340219345E-2</v>
      </c>
      <c r="AB17">
        <f t="shared" si="20"/>
        <v>-3.1241052029784555E-3</v>
      </c>
      <c r="AC17">
        <f t="shared" si="21"/>
        <v>1.1951509102547634E-2</v>
      </c>
      <c r="AD17">
        <f t="shared" si="22"/>
        <v>193.55343513913678</v>
      </c>
      <c r="AE17">
        <f t="shared" si="23"/>
        <v>58.298985362844611</v>
      </c>
      <c r="AF17">
        <f t="shared" si="24"/>
        <v>55.992617243806293</v>
      </c>
      <c r="AG17">
        <f t="shared" si="25"/>
        <v>57.145801303325456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v>0.69060358999761462</v>
      </c>
      <c r="H18">
        <f t="shared" si="0"/>
        <v>0.59544940217123876</v>
      </c>
      <c r="I18">
        <f t="shared" si="1"/>
        <v>1.0593305145318765</v>
      </c>
      <c r="J18">
        <f t="shared" si="2"/>
        <v>6.4513228334991277</v>
      </c>
      <c r="K18">
        <f t="shared" si="3"/>
        <v>-1.9586261597822618E-2</v>
      </c>
      <c r="L18">
        <f t="shared" si="4"/>
        <v>6.7459636256122772</v>
      </c>
      <c r="M18">
        <f t="shared" si="5"/>
        <v>2.7446638143452882</v>
      </c>
      <c r="N18">
        <f t="shared" si="6"/>
        <v>6.3511350359088157</v>
      </c>
      <c r="O18">
        <f t="shared" si="7"/>
        <v>3.0997720461955662</v>
      </c>
      <c r="P18">
        <f t="shared" si="8"/>
        <v>260.22646880010717</v>
      </c>
      <c r="Q18">
        <f t="shared" si="9"/>
        <v>61.988095022938431</v>
      </c>
      <c r="R18">
        <f t="shared" si="10"/>
        <v>293.58696232590552</v>
      </c>
      <c r="S18">
        <f t="shared" si="11"/>
        <v>146.34827679921932</v>
      </c>
      <c r="T18">
        <f t="shared" si="12"/>
        <v>48.598972618994345</v>
      </c>
      <c r="U18">
        <f t="shared" si="13"/>
        <v>10.066795234807225</v>
      </c>
      <c r="V18">
        <f t="shared" si="14"/>
        <v>293.50169968149225</v>
      </c>
      <c r="W18">
        <f t="shared" si="15"/>
        <v>146.50123632584646</v>
      </c>
      <c r="X18">
        <f t="shared" si="16"/>
        <v>48.484735727002473</v>
      </c>
      <c r="Y18">
        <f t="shared" si="17"/>
        <v>-4.8615901203802991E-2</v>
      </c>
      <c r="Z18">
        <f t="shared" si="18"/>
        <v>-8.5262644413262478E-2</v>
      </c>
      <c r="AA18">
        <f t="shared" si="19"/>
        <v>0.15295952662714285</v>
      </c>
      <c r="AB18">
        <f t="shared" si="20"/>
        <v>-0.11423689199187237</v>
      </c>
      <c r="AC18">
        <f t="shared" si="21"/>
        <v>4.6079908660162705E-2</v>
      </c>
      <c r="AD18">
        <f t="shared" si="22"/>
        <v>195.50139077772837</v>
      </c>
      <c r="AE18">
        <f t="shared" si="23"/>
        <v>58.490934107330645</v>
      </c>
      <c r="AF18">
        <f t="shared" si="24"/>
        <v>56.125577848797782</v>
      </c>
      <c r="AG18">
        <f t="shared" si="25"/>
        <v>57.30825597806421</v>
      </c>
      <c r="AH18" t="s">
        <v>79</v>
      </c>
      <c r="AI18">
        <f>SUM(AC4:AC25)</f>
        <v>2.3284859788842827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6.3968163722130891</v>
      </c>
      <c r="O19">
        <f t="shared" si="7"/>
        <v>3.1197831836198127</v>
      </c>
      <c r="P19">
        <f t="shared" si="8"/>
        <v>260.93136376633134</v>
      </c>
      <c r="Q19">
        <f t="shared" si="9"/>
        <v>62.065083175384238</v>
      </c>
      <c r="R19">
        <f t="shared" si="10"/>
        <v>294.75000323850139</v>
      </c>
      <c r="S19">
        <f t="shared" si="11"/>
        <v>147.66024230689513</v>
      </c>
      <c r="T19">
        <f t="shared" si="12"/>
        <v>48.18090086167561</v>
      </c>
      <c r="U19">
        <f t="shared" si="13"/>
        <v>7.8446309832165895</v>
      </c>
      <c r="V19">
        <f t="shared" si="14"/>
        <v>282.24831928358338</v>
      </c>
      <c r="W19">
        <f t="shared" si="15"/>
        <v>138.9846382663805</v>
      </c>
      <c r="X19">
        <f t="shared" si="16"/>
        <v>48.252902807504235</v>
      </c>
      <c r="Y19">
        <f t="shared" si="17"/>
        <v>-2.7873117852715676</v>
      </c>
      <c r="Z19">
        <f t="shared" si="18"/>
        <v>-12.501683954918008</v>
      </c>
      <c r="AA19">
        <f t="shared" si="19"/>
        <v>-8.675604040514628</v>
      </c>
      <c r="AB19">
        <f t="shared" si="20"/>
        <v>7.2001945828624514E-2</v>
      </c>
      <c r="AC19">
        <f t="shared" si="21"/>
        <v>0</v>
      </c>
      <c r="AD19">
        <f t="shared" si="22"/>
        <v>186.73919860544811</v>
      </c>
      <c r="AE19">
        <f t="shared" si="23"/>
        <v>57.604477887943119</v>
      </c>
      <c r="AF19">
        <f t="shared" si="24"/>
        <v>55.498225870136032</v>
      </c>
      <c r="AG19">
        <f t="shared" si="25"/>
        <v>56.551351879039572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6.4022352114169472</v>
      </c>
      <c r="O20">
        <f t="shared" si="7"/>
        <v>3.1211612083256832</v>
      </c>
      <c r="P20">
        <f t="shared" si="8"/>
        <v>262.18316864676535</v>
      </c>
      <c r="Q20">
        <f t="shared" si="9"/>
        <v>62.312325267351319</v>
      </c>
      <c r="R20">
        <f t="shared" si="10"/>
        <v>296.79775959233848</v>
      </c>
      <c r="S20">
        <f t="shared" si="11"/>
        <v>148.71992481395242</v>
      </c>
      <c r="T20">
        <f t="shared" si="12"/>
        <v>48.077974180013186</v>
      </c>
      <c r="U20">
        <f t="shared" si="13"/>
        <v>8.4256650136446876</v>
      </c>
      <c r="V20">
        <f t="shared" si="14"/>
        <v>285.20756761019567</v>
      </c>
      <c r="W20">
        <f t="shared" si="15"/>
        <v>140.95401435086347</v>
      </c>
      <c r="X20">
        <f t="shared" si="16"/>
        <v>48.320267230669664</v>
      </c>
      <c r="Y20">
        <f t="shared" si="17"/>
        <v>-2.5075878737884914</v>
      </c>
      <c r="Z20">
        <f t="shared" si="18"/>
        <v>-11.590191982142812</v>
      </c>
      <c r="AA20">
        <f t="shared" si="19"/>
        <v>-7.7659104630889431</v>
      </c>
      <c r="AB20">
        <f t="shared" si="20"/>
        <v>0.24229305065647821</v>
      </c>
      <c r="AC20">
        <f t="shared" si="21"/>
        <v>0</v>
      </c>
      <c r="AD20">
        <f t="shared" si="22"/>
        <v>189.03853210397423</v>
      </c>
      <c r="AE20">
        <f t="shared" si="23"/>
        <v>57.842870990268239</v>
      </c>
      <c r="AF20">
        <f t="shared" si="24"/>
        <v>55.670172792884728</v>
      </c>
      <c r="AG20">
        <f t="shared" si="25"/>
        <v>56.756521891576483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6.4041211209263107</v>
      </c>
      <c r="O21">
        <f t="shared" si="7"/>
        <v>3.1211941465115332</v>
      </c>
      <c r="P21">
        <f t="shared" si="8"/>
        <v>263.15101968492144</v>
      </c>
      <c r="Q21">
        <f t="shared" si="9"/>
        <v>62.506840945215096</v>
      </c>
      <c r="R21">
        <f t="shared" si="10"/>
        <v>300.04803489689095</v>
      </c>
      <c r="S21">
        <f t="shared" si="11"/>
        <v>148.59952278709446</v>
      </c>
      <c r="T21">
        <f t="shared" si="12"/>
        <v>48.051494645921096</v>
      </c>
      <c r="U21">
        <f t="shared" si="13"/>
        <v>9.0144546216834023</v>
      </c>
      <c r="V21">
        <f t="shared" si="14"/>
        <v>288.1940213106522</v>
      </c>
      <c r="W21">
        <f t="shared" si="15"/>
        <v>142.94674315945949</v>
      </c>
      <c r="X21">
        <f t="shared" si="16"/>
        <v>48.383604646396506</v>
      </c>
      <c r="Y21">
        <f t="shared" si="17"/>
        <v>-2.1340197792819122</v>
      </c>
      <c r="Z21">
        <f t="shared" si="18"/>
        <v>-11.85401358623875</v>
      </c>
      <c r="AA21">
        <f t="shared" si="19"/>
        <v>-5.6527796276349704</v>
      </c>
      <c r="AB21">
        <f t="shared" si="20"/>
        <v>0.33211000047541006</v>
      </c>
      <c r="AC21">
        <f t="shared" si="21"/>
        <v>0</v>
      </c>
      <c r="AD21">
        <f t="shared" si="22"/>
        <v>191.3625025431904</v>
      </c>
      <c r="AE21">
        <f t="shared" si="23"/>
        <v>58.079618418076436</v>
      </c>
      <c r="AF21">
        <f t="shared" si="24"/>
        <v>55.838646763579035</v>
      </c>
      <c r="AG21">
        <f t="shared" si="25"/>
        <v>56.959132590827735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6.4126842031252895</v>
      </c>
      <c r="O22">
        <f t="shared" si="7"/>
        <v>3.1237648939620182</v>
      </c>
      <c r="P22">
        <f t="shared" si="8"/>
        <v>264.67413638231147</v>
      </c>
      <c r="Q22">
        <f t="shared" si="9"/>
        <v>62.8041695961549</v>
      </c>
      <c r="R22">
        <f t="shared" si="10"/>
        <v>302.14734131537085</v>
      </c>
      <c r="S22">
        <f t="shared" si="11"/>
        <v>149.58283411226631</v>
      </c>
      <c r="T22">
        <f t="shared" si="12"/>
        <v>48.177349901757744</v>
      </c>
      <c r="U22">
        <f t="shared" si="13"/>
        <v>9.6110925950676407</v>
      </c>
      <c r="V22">
        <f t="shared" si="14"/>
        <v>291.2079317750219</v>
      </c>
      <c r="W22">
        <f t="shared" si="15"/>
        <v>144.96310552134307</v>
      </c>
      <c r="X22">
        <f t="shared" si="16"/>
        <v>48.442819756463805</v>
      </c>
      <c r="Y22">
        <f t="shared" si="17"/>
        <v>-1.9247805302555552</v>
      </c>
      <c r="Z22">
        <f t="shared" si="18"/>
        <v>-10.939409540348947</v>
      </c>
      <c r="AA22">
        <f t="shared" si="19"/>
        <v>-4.6197285909232448</v>
      </c>
      <c r="AB22">
        <f t="shared" si="20"/>
        <v>0.26546985470606188</v>
      </c>
      <c r="AC22">
        <f t="shared" si="21"/>
        <v>0</v>
      </c>
      <c r="AD22">
        <f t="shared" si="22"/>
        <v>193.71138093923602</v>
      </c>
      <c r="AE22">
        <f t="shared" si="23"/>
        <v>58.314657104614049</v>
      </c>
      <c r="AF22">
        <f t="shared" si="24"/>
        <v>56.003535709387904</v>
      </c>
      <c r="AG22">
        <f t="shared" si="25"/>
        <v>57.159096407000973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6.4263842022349333</v>
      </c>
      <c r="O23">
        <f t="shared" si="7"/>
        <v>3.1281403488540591</v>
      </c>
      <c r="P23">
        <f t="shared" si="8"/>
        <v>266.63206572625973</v>
      </c>
      <c r="Q23">
        <f t="shared" si="9"/>
        <v>63.175903979079443</v>
      </c>
      <c r="R23">
        <f t="shared" si="10"/>
        <v>304.87301458741479</v>
      </c>
      <c r="S23">
        <f t="shared" si="11"/>
        <v>151.28589243471509</v>
      </c>
      <c r="T23">
        <f t="shared" si="12"/>
        <v>48.11284943048355</v>
      </c>
      <c r="U23">
        <f t="shared" si="13"/>
        <v>10.215672854992178</v>
      </c>
      <c r="V23">
        <f t="shared" si="14"/>
        <v>294.24955278529012</v>
      </c>
      <c r="W23">
        <f t="shared" si="15"/>
        <v>147.00338583667957</v>
      </c>
      <c r="X23">
        <f t="shared" si="16"/>
        <v>48.497815550690419</v>
      </c>
      <c r="Y23">
        <f t="shared" si="17"/>
        <v>-1.8367319028081734</v>
      </c>
      <c r="Z23">
        <f t="shared" si="18"/>
        <v>-10.623461802124666</v>
      </c>
      <c r="AA23">
        <f t="shared" si="19"/>
        <v>-4.2825065980355248</v>
      </c>
      <c r="AB23">
        <f t="shared" si="20"/>
        <v>0.38496612020686882</v>
      </c>
      <c r="AC23">
        <f t="shared" si="21"/>
        <v>0</v>
      </c>
      <c r="AD23">
        <f t="shared" si="22"/>
        <v>196.08544148621641</v>
      </c>
      <c r="AE23">
        <f t="shared" si="23"/>
        <v>58.547922720136363</v>
      </c>
      <c r="AF23">
        <f t="shared" si="24"/>
        <v>56.164724858682106</v>
      </c>
      <c r="AG23">
        <f t="shared" si="25"/>
        <v>57.356323789409231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6.4301195190031191</v>
      </c>
      <c r="O24">
        <f t="shared" si="7"/>
        <v>3.1286544950355637</v>
      </c>
      <c r="P24">
        <f t="shared" si="8"/>
        <v>267.77232939714412</v>
      </c>
      <c r="Q24">
        <f t="shared" si="9"/>
        <v>63.393220743385484</v>
      </c>
      <c r="R24">
        <f t="shared" si="10"/>
        <v>307.01945874754944</v>
      </c>
      <c r="S24">
        <f t="shared" si="11"/>
        <v>152.27882026658881</v>
      </c>
      <c r="T24">
        <f t="shared" si="12"/>
        <v>47.934972227676305</v>
      </c>
      <c r="U24">
        <f t="shared" si="13"/>
        <v>10.828290470736802</v>
      </c>
      <c r="V24">
        <f t="shared" si="14"/>
        <v>297.3191405386176</v>
      </c>
      <c r="W24">
        <f t="shared" si="15"/>
        <v>149.06787212517781</v>
      </c>
      <c r="X24">
        <f t="shared" si="16"/>
        <v>48.548493277887253</v>
      </c>
      <c r="Y24">
        <f t="shared" si="17"/>
        <v>-1.4823801033021287</v>
      </c>
      <c r="Z24">
        <f t="shared" si="18"/>
        <v>-9.7003182089318329</v>
      </c>
      <c r="AA24">
        <f t="shared" si="19"/>
        <v>-3.210948141410995</v>
      </c>
      <c r="AB24">
        <f t="shared" si="20"/>
        <v>0.61352105021094872</v>
      </c>
      <c r="AC24">
        <f t="shared" si="21"/>
        <v>0</v>
      </c>
      <c r="AD24">
        <f t="shared" si="22"/>
        <v>198.48496159632441</v>
      </c>
      <c r="AE24">
        <f t="shared" si="23"/>
        <v>58.779349649420304</v>
      </c>
      <c r="AF24">
        <f t="shared" si="24"/>
        <v>56.322096670978226</v>
      </c>
      <c r="AG24">
        <f t="shared" si="25"/>
        <v>57.550723160199269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6.4305328911749555</v>
      </c>
      <c r="O25">
        <f t="shared" si="7"/>
        <v>3.1278956740945363</v>
      </c>
      <c r="P25">
        <f t="shared" si="8"/>
        <v>268.64052787506603</v>
      </c>
      <c r="Q25">
        <f t="shared" si="9"/>
        <v>63.559741641648742</v>
      </c>
      <c r="R25">
        <f t="shared" si="10"/>
        <v>309.18689259875458</v>
      </c>
      <c r="S25">
        <f t="shared" si="11"/>
        <v>152.3222575228412</v>
      </c>
      <c r="T25">
        <f t="shared" si="12"/>
        <v>48.022543995190276</v>
      </c>
      <c r="U25">
        <f t="shared" si="13"/>
        <v>11.449041674489949</v>
      </c>
      <c r="V25">
        <f t="shared" si="14"/>
        <v>300.41695367080797</v>
      </c>
      <c r="W25">
        <f t="shared" si="15"/>
        <v>151.15685607534024</v>
      </c>
      <c r="X25">
        <f t="shared" si="16"/>
        <v>48.594752416314186</v>
      </c>
      <c r="Y25">
        <f t="shared" si="17"/>
        <v>-1.0338061103746998</v>
      </c>
      <c r="Z25">
        <f t="shared" si="18"/>
        <v>-8.7699389279466118</v>
      </c>
      <c r="AA25">
        <f t="shared" si="19"/>
        <v>-1.1654014475009546</v>
      </c>
      <c r="AB25">
        <f t="shared" si="20"/>
        <v>0.57220842112391068</v>
      </c>
      <c r="AC25">
        <f t="shared" si="21"/>
        <v>0</v>
      </c>
      <c r="AD25">
        <f t="shared" si="22"/>
        <v>200.91022194049614</v>
      </c>
      <c r="AE25">
        <f t="shared" si="23"/>
        <v>59.008870968882057</v>
      </c>
      <c r="AF25">
        <f t="shared" si="24"/>
        <v>56.475530764678545</v>
      </c>
      <c r="AG25">
        <f t="shared" si="25"/>
        <v>57.742200866780301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B6CD-11D2-46C7-9643-28431BC7B8DA}">
  <dimension ref="A3:AM25"/>
  <sheetViews>
    <sheetView workbookViewId="0"/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5.9552663945054363</v>
      </c>
      <c r="O4">
        <f t="shared" ref="O4:O25" si="7">2*H4/F4</f>
        <v>2.8978863432718183</v>
      </c>
      <c r="P4">
        <f t="shared" ref="P4:P25" si="8">J4*N4^2</f>
        <v>215.98305478181197</v>
      </c>
      <c r="Q4">
        <f t="shared" ref="Q4:Q25" si="9">J4*O4^2</f>
        <v>51.142268624394774</v>
      </c>
      <c r="R4">
        <f t="shared" ref="R4:R25" si="10">J4*L4^2</f>
        <v>229.82307082439178</v>
      </c>
      <c r="S4">
        <f t="shared" ref="S4:S25" si="11">R4+T4-3*Q4</f>
        <v>122.64555128404436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240.83322839065517</v>
      </c>
      <c r="W4">
        <f t="shared" ref="W4:W25" si="15">((1-2*K4)^3.5)*($AI$5-$AI$15*K4)+1*U4</f>
        <v>128.74145431015069</v>
      </c>
      <c r="X4">
        <f t="shared" ref="X4:X25" si="16">((1-2*K4)^3.5)*($AI$6-$AI$16*K4)+1*U4</f>
        <v>46.761628986935641</v>
      </c>
      <c r="Y4">
        <f t="shared" ref="Y4:Y25" si="17">U4-B4</f>
        <v>0</v>
      </c>
      <c r="Z4">
        <f t="shared" ref="Z4:Z25" si="18">V4-R4</f>
        <v>11.010157566263388</v>
      </c>
      <c r="AA4">
        <f t="shared" ref="AA4:AA25" si="19">W4-S4</f>
        <v>6.0959030261063276</v>
      </c>
      <c r="AB4">
        <f t="shared" ref="AB4:AB25" si="20">X4-T4</f>
        <v>0.51234265409876656</v>
      </c>
      <c r="AC4">
        <f t="shared" ref="AC4:AC25" si="21">IF(AND(A4&gt;=CutoffLowBar,A4&lt;=CutoffOilBar),Y4^2+Z4^2+AA4^2+AB4^2,0)</f>
        <v>0</v>
      </c>
      <c r="AD4">
        <f t="shared" ref="AD4:AD25" si="22">(V4+2*W4)/3</f>
        <v>166.10537900365219</v>
      </c>
      <c r="AE4">
        <f t="shared" ref="AE4:AE25" si="23">(V4-W4+3*X4)/5</f>
        <v>50.47533220826228</v>
      </c>
      <c r="AF4">
        <f t="shared" ref="AF4:AF25" si="24">5*(V4-W4)*X4/(3*(V4-W4)+4*X4)</f>
        <v>50.080023128562523</v>
      </c>
      <c r="AG4">
        <f t="shared" ref="AG4:AG25" si="25">(AE4+AF4)/2</f>
        <v>50.277677668412402</v>
      </c>
      <c r="AH4" t="s">
        <v>68</v>
      </c>
      <c r="AI4">
        <v>240.83322839065517</v>
      </c>
      <c r="AL4" t="s">
        <v>68</v>
      </c>
      <c r="AM4">
        <f>$AI$4</f>
        <v>240.83322839065517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5.955953210668044</v>
      </c>
      <c r="O5">
        <f t="shared" si="7"/>
        <v>2.8992901876863018</v>
      </c>
      <c r="P5">
        <f t="shared" si="8"/>
        <v>216.69178017533224</v>
      </c>
      <c r="Q5">
        <f t="shared" si="9"/>
        <v>51.347967096069596</v>
      </c>
      <c r="R5">
        <f t="shared" si="10"/>
        <v>239.26578867794052</v>
      </c>
      <c r="S5">
        <f t="shared" si="11"/>
        <v>132.19478566177398</v>
      </c>
      <c r="T5">
        <f t="shared" si="12"/>
        <v>46.972898272042251</v>
      </c>
      <c r="U5">
        <f t="shared" si="13"/>
        <v>0.50864730334456665</v>
      </c>
      <c r="V5">
        <f t="shared" si="14"/>
        <v>243.5651400451176</v>
      </c>
      <c r="W5">
        <f t="shared" si="15"/>
        <v>130.13142240151993</v>
      </c>
      <c r="X5">
        <f t="shared" si="16"/>
        <v>46.889805576031989</v>
      </c>
      <c r="Y5">
        <f t="shared" si="17"/>
        <v>0.37951439522529129</v>
      </c>
      <c r="Z5">
        <f t="shared" si="18"/>
        <v>4.2993513671770813</v>
      </c>
      <c r="AA5">
        <f t="shared" si="19"/>
        <v>-2.0633632602540501</v>
      </c>
      <c r="AB5">
        <f t="shared" si="20"/>
        <v>-8.3092696010261591E-2</v>
      </c>
      <c r="AC5">
        <f t="shared" si="21"/>
        <v>0</v>
      </c>
      <c r="AD5">
        <f t="shared" si="22"/>
        <v>167.9426616160525</v>
      </c>
      <c r="AE5">
        <f t="shared" si="23"/>
        <v>50.820626874338728</v>
      </c>
      <c r="AF5">
        <f t="shared" si="24"/>
        <v>50.381551785428748</v>
      </c>
      <c r="AG5">
        <f t="shared" si="25"/>
        <v>50.601089329883735</v>
      </c>
      <c r="AH5" t="s">
        <v>69</v>
      </c>
      <c r="AI5">
        <v>128.74145431015069</v>
      </c>
      <c r="AL5" t="s">
        <v>69</v>
      </c>
      <c r="AM5">
        <f>$AI$5</f>
        <v>128.74145431015069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6.0366079447998739</v>
      </c>
      <c r="O6">
        <f t="shared" si="7"/>
        <v>2.9511670389439613</v>
      </c>
      <c r="P6">
        <f t="shared" si="8"/>
        <v>223.27996675397867</v>
      </c>
      <c r="Q6">
        <f t="shared" si="9"/>
        <v>53.364371670910479</v>
      </c>
      <c r="R6">
        <f t="shared" si="10"/>
        <v>247.81842385033514</v>
      </c>
      <c r="S6">
        <f t="shared" si="11"/>
        <v>135.00660231005733</v>
      </c>
      <c r="T6">
        <f t="shared" si="12"/>
        <v>47.281293472453648</v>
      </c>
      <c r="U6">
        <f t="shared" si="13"/>
        <v>1.0234375214691973</v>
      </c>
      <c r="V6">
        <f t="shared" si="14"/>
        <v>246.32061769876546</v>
      </c>
      <c r="W6">
        <f t="shared" si="15"/>
        <v>131.53438554370888</v>
      </c>
      <c r="X6">
        <f t="shared" si="16"/>
        <v>47.014458581285709</v>
      </c>
      <c r="Y6">
        <f t="shared" si="17"/>
        <v>-0.61224598137510466</v>
      </c>
      <c r="Z6">
        <f t="shared" si="18"/>
        <v>-1.4978061515696766</v>
      </c>
      <c r="AA6">
        <f t="shared" si="19"/>
        <v>-3.4722167663484527</v>
      </c>
      <c r="AB6">
        <f t="shared" si="20"/>
        <v>-0.26683489116793879</v>
      </c>
      <c r="AC6">
        <f t="shared" si="21"/>
        <v>0</v>
      </c>
      <c r="AD6">
        <f t="shared" si="22"/>
        <v>169.79646292872772</v>
      </c>
      <c r="AE6">
        <f t="shared" si="23"/>
        <v>51.16592157978274</v>
      </c>
      <c r="AF6">
        <f t="shared" si="24"/>
        <v>50.68036251001719</v>
      </c>
      <c r="AG6">
        <f t="shared" si="25"/>
        <v>50.923142044899961</v>
      </c>
      <c r="AH6" t="s">
        <v>70</v>
      </c>
      <c r="AI6">
        <v>46.761628986935641</v>
      </c>
      <c r="AL6" t="s">
        <v>70</v>
      </c>
      <c r="AM6">
        <f>$AI$6</f>
        <v>46.761628986935641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6.0813271227214161</v>
      </c>
      <c r="O7">
        <f t="shared" si="7"/>
        <v>2.9792758861095754</v>
      </c>
      <c r="P7">
        <f t="shared" si="8"/>
        <v>227.29287831218113</v>
      </c>
      <c r="Q7">
        <f t="shared" si="9"/>
        <v>54.551982823819927</v>
      </c>
      <c r="R7">
        <f t="shared" si="10"/>
        <v>253.08558420876813</v>
      </c>
      <c r="S7">
        <f t="shared" si="11"/>
        <v>136.75904776611497</v>
      </c>
      <c r="T7">
        <f t="shared" si="12"/>
        <v>47.329412028806644</v>
      </c>
      <c r="U7">
        <f t="shared" si="13"/>
        <v>1.5444337797410033</v>
      </c>
      <c r="V7">
        <f t="shared" si="14"/>
        <v>249.09984986012637</v>
      </c>
      <c r="W7">
        <f t="shared" si="15"/>
        <v>132.95046636077382</v>
      </c>
      <c r="X7">
        <f t="shared" si="16"/>
        <v>47.135495224256232</v>
      </c>
      <c r="Y7">
        <f t="shared" si="17"/>
        <v>-0.95213577723189347</v>
      </c>
      <c r="Z7">
        <f t="shared" si="18"/>
        <v>-3.9857343486417562</v>
      </c>
      <c r="AA7">
        <f t="shared" si="19"/>
        <v>-3.8085814053411582</v>
      </c>
      <c r="AB7">
        <f t="shared" si="20"/>
        <v>-0.19391680455041183</v>
      </c>
      <c r="AC7">
        <f t="shared" si="21"/>
        <v>0</v>
      </c>
      <c r="AD7">
        <f t="shared" si="22"/>
        <v>171.66692752722466</v>
      </c>
      <c r="AE7">
        <f t="shared" si="23"/>
        <v>51.511173834424241</v>
      </c>
      <c r="AF7">
        <f t="shared" si="24"/>
        <v>50.976343801801306</v>
      </c>
      <c r="AG7">
        <f t="shared" si="25"/>
        <v>51.243758818112774</v>
      </c>
      <c r="AH7" t="s">
        <v>71</v>
      </c>
      <c r="AI7">
        <v>5.3801597034985109</v>
      </c>
      <c r="AL7" t="s">
        <v>71</v>
      </c>
      <c r="AM7">
        <f>$AI$7</f>
        <v>5.3801597034985109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v>0.69920981662287962</v>
      </c>
      <c r="H8">
        <f t="shared" si="0"/>
        <v>0.60286982768478403</v>
      </c>
      <c r="I8">
        <f t="shared" si="1"/>
        <v>1.020693681826498</v>
      </c>
      <c r="J8">
        <f t="shared" si="2"/>
        <v>6.216024522323373</v>
      </c>
      <c r="K8">
        <f t="shared" si="3"/>
        <v>-6.874319671901663E-3</v>
      </c>
      <c r="L8">
        <f t="shared" si="4"/>
        <v>6.4578493303232243</v>
      </c>
      <c r="M8">
        <f t="shared" si="5"/>
        <v>2.7678671890623847</v>
      </c>
      <c r="N8">
        <f t="shared" si="6"/>
        <v>6.1120221480276058</v>
      </c>
      <c r="O8">
        <f t="shared" si="7"/>
        <v>2.999452916936713</v>
      </c>
      <c r="P8">
        <f t="shared" si="8"/>
        <v>232.2108764871748</v>
      </c>
      <c r="Q8">
        <f t="shared" si="9"/>
        <v>55.923818470942898</v>
      </c>
      <c r="R8">
        <f t="shared" si="10"/>
        <v>259.23195519564865</v>
      </c>
      <c r="S8">
        <f t="shared" si="11"/>
        <v>139.08201548392321</v>
      </c>
      <c r="T8">
        <f t="shared" si="12"/>
        <v>47.621515701103235</v>
      </c>
      <c r="U8">
        <f t="shared" si="13"/>
        <v>3.530569353763521</v>
      </c>
      <c r="V8">
        <f t="shared" si="14"/>
        <v>259.61073289759372</v>
      </c>
      <c r="W8">
        <f t="shared" si="15"/>
        <v>138.31529644852262</v>
      </c>
      <c r="X8">
        <f t="shared" si="16"/>
        <v>47.550961596867907</v>
      </c>
      <c r="Y8">
        <f t="shared" si="17"/>
        <v>8.7025137249170381E-2</v>
      </c>
      <c r="Z8">
        <f t="shared" si="18"/>
        <v>0.37877770194506866</v>
      </c>
      <c r="AA8">
        <f t="shared" si="19"/>
        <v>-0.76671903540059816</v>
      </c>
      <c r="AB8">
        <f t="shared" si="20"/>
        <v>-7.0554104235327486E-2</v>
      </c>
      <c r="AC8">
        <f t="shared" si="21"/>
        <v>0.7438818828740974</v>
      </c>
      <c r="AD8">
        <f t="shared" si="22"/>
        <v>178.74710859821298</v>
      </c>
      <c r="AE8">
        <f t="shared" si="23"/>
        <v>52.789664247934958</v>
      </c>
      <c r="AF8">
        <f t="shared" si="24"/>
        <v>52.046716412219276</v>
      </c>
      <c r="AG8">
        <f t="shared" si="25"/>
        <v>52.418190330077117</v>
      </c>
      <c r="AH8" t="s">
        <v>72</v>
      </c>
      <c r="AI8">
        <v>2.7363925829487616</v>
      </c>
      <c r="AL8" t="s">
        <v>72</v>
      </c>
      <c r="AM8">
        <f>$AI$8</f>
        <v>2.7363925829487616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v>0.69813953957641506</v>
      </c>
      <c r="H9">
        <f t="shared" si="0"/>
        <v>0.60194701778818738</v>
      </c>
      <c r="I9">
        <f t="shared" si="1"/>
        <v>1.0253951800774594</v>
      </c>
      <c r="J9">
        <f t="shared" si="2"/>
        <v>6.2446566466717277</v>
      </c>
      <c r="K9">
        <f t="shared" si="3"/>
        <v>-8.4296299028073784E-3</v>
      </c>
      <c r="L9">
        <f t="shared" si="4"/>
        <v>6.5020112102395968</v>
      </c>
      <c r="M9">
        <f t="shared" si="5"/>
        <v>2.7636304282937445</v>
      </c>
      <c r="N9">
        <f t="shared" si="6"/>
        <v>6.1555606007600394</v>
      </c>
      <c r="O9">
        <f t="shared" si="7"/>
        <v>3.0237263496598139</v>
      </c>
      <c r="P9">
        <f t="shared" si="8"/>
        <v>236.61582482797525</v>
      </c>
      <c r="Q9">
        <f t="shared" si="9"/>
        <v>57.09440262761261</v>
      </c>
      <c r="R9">
        <f t="shared" si="10"/>
        <v>264.00003970738544</v>
      </c>
      <c r="S9">
        <f t="shared" si="11"/>
        <v>140.4113532963936</v>
      </c>
      <c r="T9">
        <f t="shared" si="12"/>
        <v>47.69452147184596</v>
      </c>
      <c r="U9">
        <f t="shared" si="13"/>
        <v>4.3587387088853831</v>
      </c>
      <c r="V9">
        <f t="shared" si="14"/>
        <v>263.95573556072276</v>
      </c>
      <c r="W9">
        <f t="shared" si="15"/>
        <v>140.53731972361902</v>
      </c>
      <c r="X9">
        <f t="shared" si="16"/>
        <v>47.703320620372651</v>
      </c>
      <c r="Y9">
        <f t="shared" si="17"/>
        <v>-7.4824469876893396E-2</v>
      </c>
      <c r="Z9">
        <f t="shared" si="18"/>
        <v>-4.4304146662682342E-2</v>
      </c>
      <c r="AA9">
        <f t="shared" si="19"/>
        <v>0.12596642722542128</v>
      </c>
      <c r="AB9">
        <f t="shared" si="20"/>
        <v>8.7991485266911695E-3</v>
      </c>
      <c r="AC9">
        <f t="shared" si="21"/>
        <v>2.3506524506598726E-2</v>
      </c>
      <c r="AD9">
        <f t="shared" si="22"/>
        <v>181.67679166932029</v>
      </c>
      <c r="AE9">
        <f t="shared" si="23"/>
        <v>53.305675539644334</v>
      </c>
      <c r="AF9">
        <f t="shared" si="24"/>
        <v>52.466570003590924</v>
      </c>
      <c r="AG9">
        <f t="shared" si="25"/>
        <v>52.886122771617629</v>
      </c>
      <c r="AH9" t="s">
        <v>73</v>
      </c>
      <c r="AI9">
        <v>0.25693970989677783</v>
      </c>
      <c r="AL9" t="s">
        <v>73</v>
      </c>
      <c r="AM9">
        <f>$AI$9</f>
        <v>0.25693970989677783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v>0.6972402315626095</v>
      </c>
      <c r="H10">
        <f t="shared" si="0"/>
        <v>0.60117162011151137</v>
      </c>
      <c r="I10">
        <f t="shared" si="1"/>
        <v>1.0293679973348733</v>
      </c>
      <c r="J10">
        <f t="shared" si="2"/>
        <v>6.2688511037693777</v>
      </c>
      <c r="K10">
        <f t="shared" si="3"/>
        <v>-9.7420318358713009E-3</v>
      </c>
      <c r="L10">
        <f t="shared" si="4"/>
        <v>6.5362476583146698</v>
      </c>
      <c r="M10">
        <f t="shared" si="5"/>
        <v>2.76007045947595</v>
      </c>
      <c r="N10">
        <f t="shared" si="6"/>
        <v>6.18268076975464</v>
      </c>
      <c r="O10">
        <f t="shared" si="7"/>
        <v>3.037471637660218</v>
      </c>
      <c r="P10">
        <f t="shared" si="8"/>
        <v>239.63022802880667</v>
      </c>
      <c r="Q10">
        <f t="shared" si="9"/>
        <v>57.837886878523328</v>
      </c>
      <c r="R10">
        <f t="shared" si="10"/>
        <v>267.82120097902219</v>
      </c>
      <c r="S10">
        <f t="shared" si="11"/>
        <v>142.06357872644674</v>
      </c>
      <c r="T10">
        <f t="shared" si="12"/>
        <v>47.756038382994525</v>
      </c>
      <c r="U10">
        <f t="shared" si="13"/>
        <v>5.0660824185028845</v>
      </c>
      <c r="V10">
        <f t="shared" si="14"/>
        <v>267.64994565867909</v>
      </c>
      <c r="W10">
        <f t="shared" si="15"/>
        <v>142.42851132951282</v>
      </c>
      <c r="X10">
        <f t="shared" si="16"/>
        <v>47.824010552182429</v>
      </c>
      <c r="Y10">
        <f t="shared" si="17"/>
        <v>-5.6189603562239121E-2</v>
      </c>
      <c r="Z10">
        <f t="shared" si="18"/>
        <v>-0.17125532034310709</v>
      </c>
      <c r="AA10">
        <f t="shared" si="19"/>
        <v>0.36493260306608022</v>
      </c>
      <c r="AB10">
        <f t="shared" si="20"/>
        <v>6.797216918790383E-2</v>
      </c>
      <c r="AC10">
        <f t="shared" si="21"/>
        <v>0.17028167685899612</v>
      </c>
      <c r="AD10">
        <f t="shared" si="22"/>
        <v>184.16898943923491</v>
      </c>
      <c r="AE10">
        <f t="shared" si="23"/>
        <v>53.738693197142723</v>
      </c>
      <c r="AF10">
        <f t="shared" si="24"/>
        <v>52.813139820605791</v>
      </c>
      <c r="AG10">
        <f t="shared" si="25"/>
        <v>53.275916508874261</v>
      </c>
      <c r="AL10" t="s">
        <v>74</v>
      </c>
      <c r="AM10">
        <f>$AI$11</f>
        <v>166.10537900365219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v>0.69612230939729047</v>
      </c>
      <c r="H11">
        <f t="shared" si="0"/>
        <v>0.6002077298354479</v>
      </c>
      <c r="I11">
        <f t="shared" si="1"/>
        <v>1.034335237865341</v>
      </c>
      <c r="J11">
        <f t="shared" si="2"/>
        <v>6.2991015985999264</v>
      </c>
      <c r="K11">
        <f t="shared" si="3"/>
        <v>-1.1380564256972203E-2</v>
      </c>
      <c r="L11">
        <f t="shared" si="4"/>
        <v>6.5750779681811657</v>
      </c>
      <c r="M11">
        <f t="shared" si="5"/>
        <v>2.761110108718654</v>
      </c>
      <c r="N11">
        <f t="shared" si="6"/>
        <v>6.204573947165013</v>
      </c>
      <c r="O11">
        <f t="shared" si="7"/>
        <v>3.0474878563955694</v>
      </c>
      <c r="P11">
        <f t="shared" si="8"/>
        <v>242.4948630315877</v>
      </c>
      <c r="Q11">
        <f t="shared" si="9"/>
        <v>58.500904462211764</v>
      </c>
      <c r="R11">
        <f t="shared" si="10"/>
        <v>272.32055743712067</v>
      </c>
      <c r="S11">
        <f t="shared" si="11"/>
        <v>144.84048778619936</v>
      </c>
      <c r="T11">
        <f t="shared" si="12"/>
        <v>48.02264373571397</v>
      </c>
      <c r="U11">
        <f t="shared" si="13"/>
        <v>5.9601929557646081</v>
      </c>
      <c r="V11">
        <f t="shared" si="14"/>
        <v>272.29793497415375</v>
      </c>
      <c r="W11">
        <f t="shared" si="15"/>
        <v>144.81056453052702</v>
      </c>
      <c r="X11">
        <f t="shared" si="16"/>
        <v>47.964368077033484</v>
      </c>
      <c r="Y11">
        <f t="shared" si="17"/>
        <v>0.19225639310302434</v>
      </c>
      <c r="Z11">
        <f t="shared" si="18"/>
        <v>-2.262246296692183E-2</v>
      </c>
      <c r="AA11">
        <f t="shared" si="19"/>
        <v>-2.9923255672343885E-2</v>
      </c>
      <c r="AB11">
        <f t="shared" si="20"/>
        <v>-5.8275658680486231E-2</v>
      </c>
      <c r="AC11">
        <f t="shared" si="21"/>
        <v>4.1765750144351368E-2</v>
      </c>
      <c r="AD11">
        <f t="shared" si="22"/>
        <v>187.30635467840261</v>
      </c>
      <c r="AE11">
        <f t="shared" si="23"/>
        <v>54.276094934945434</v>
      </c>
      <c r="AF11">
        <f t="shared" si="24"/>
        <v>53.235614240996298</v>
      </c>
      <c r="AG11">
        <f t="shared" si="25"/>
        <v>53.755854587970866</v>
      </c>
      <c r="AH11" t="s">
        <v>74</v>
      </c>
      <c r="AI11">
        <f>($AI$4+2*$AI$5)/3</f>
        <v>166.10537900365219</v>
      </c>
      <c r="AL11" t="s">
        <v>75</v>
      </c>
      <c r="AM11">
        <f>$AI$12</f>
        <v>3.6176482897986779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v>0.69550164481941001</v>
      </c>
      <c r="H12">
        <f t="shared" si="0"/>
        <v>0.59967258296219017</v>
      </c>
      <c r="I12">
        <f t="shared" si="1"/>
        <v>1.0371068271924193</v>
      </c>
      <c r="J12">
        <f t="shared" si="2"/>
        <v>6.3159805776018336</v>
      </c>
      <c r="K12">
        <f t="shared" si="3"/>
        <v>-1.2293681935914291E-2</v>
      </c>
      <c r="L12">
        <f t="shared" si="4"/>
        <v>6.6003868988252226</v>
      </c>
      <c r="M12">
        <f t="shared" si="5"/>
        <v>2.758648295303145</v>
      </c>
      <c r="N12">
        <f t="shared" si="6"/>
        <v>6.2382455354147908</v>
      </c>
      <c r="O12">
        <f t="shared" si="7"/>
        <v>3.0617170837831194</v>
      </c>
      <c r="P12">
        <f t="shared" si="8"/>
        <v>245.79085185017087</v>
      </c>
      <c r="Q12">
        <f t="shared" si="9"/>
        <v>59.206706173407319</v>
      </c>
      <c r="R12">
        <f t="shared" si="10"/>
        <v>275.15637102592541</v>
      </c>
      <c r="S12">
        <f t="shared" si="11"/>
        <v>145.6017515734284</v>
      </c>
      <c r="T12">
        <f t="shared" si="12"/>
        <v>48.06549906772495</v>
      </c>
      <c r="U12">
        <f t="shared" si="13"/>
        <v>6.463778385787033</v>
      </c>
      <c r="V12">
        <f t="shared" si="14"/>
        <v>274.90541119259478</v>
      </c>
      <c r="W12">
        <f t="shared" si="15"/>
        <v>146.14813719703443</v>
      </c>
      <c r="X12">
        <f t="shared" si="16"/>
        <v>48.037524808847053</v>
      </c>
      <c r="Y12">
        <f t="shared" si="17"/>
        <v>-0.1219999282967299</v>
      </c>
      <c r="Z12">
        <f t="shared" si="18"/>
        <v>-0.25095983333062577</v>
      </c>
      <c r="AA12">
        <f t="shared" si="19"/>
        <v>0.54638562360602805</v>
      </c>
      <c r="AB12">
        <f t="shared" si="20"/>
        <v>-2.7974258877897284E-2</v>
      </c>
      <c r="AC12">
        <f t="shared" si="21"/>
        <v>0.37718462929285845</v>
      </c>
      <c r="AD12">
        <f t="shared" si="22"/>
        <v>189.06722852888788</v>
      </c>
      <c r="AE12">
        <f t="shared" si="23"/>
        <v>54.573969684420305</v>
      </c>
      <c r="AF12">
        <f t="shared" si="24"/>
        <v>53.465995296421497</v>
      </c>
      <c r="AG12">
        <f t="shared" si="25"/>
        <v>54.019982490420901</v>
      </c>
      <c r="AH12" t="s">
        <v>75</v>
      </c>
      <c r="AI12">
        <f>($AI$7+2*$AI$8)/3</f>
        <v>3.6176482897986779</v>
      </c>
      <c r="AL12" t="s">
        <v>81</v>
      </c>
      <c r="AM12">
        <f>AE4</f>
        <v>50.47533220826228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v>0.69436299938991897</v>
      </c>
      <c r="H13">
        <f t="shared" si="0"/>
        <v>0.59869082475806934</v>
      </c>
      <c r="I13">
        <f t="shared" si="1"/>
        <v>1.0422172715522113</v>
      </c>
      <c r="J13">
        <f t="shared" si="2"/>
        <v>6.3471031837529672</v>
      </c>
      <c r="K13">
        <f t="shared" si="3"/>
        <v>-1.397522066120116E-2</v>
      </c>
      <c r="L13">
        <f t="shared" si="4"/>
        <v>6.6399924340326093</v>
      </c>
      <c r="M13">
        <f t="shared" si="5"/>
        <v>2.7519488803912502</v>
      </c>
      <c r="N13">
        <f t="shared" si="6"/>
        <v>6.2602816379405866</v>
      </c>
      <c r="O13">
        <f t="shared" si="7"/>
        <v>3.0696697449682606</v>
      </c>
      <c r="P13">
        <f t="shared" si="8"/>
        <v>248.75012179215796</v>
      </c>
      <c r="Q13">
        <f t="shared" si="9"/>
        <v>59.807943049454337</v>
      </c>
      <c r="R13">
        <f t="shared" si="10"/>
        <v>279.84060279892066</v>
      </c>
      <c r="S13">
        <f t="shared" si="11"/>
        <v>148.48479918199112</v>
      </c>
      <c r="T13">
        <f t="shared" si="12"/>
        <v>48.068025531433484</v>
      </c>
      <c r="U13">
        <f t="shared" si="13"/>
        <v>7.4011481432569521</v>
      </c>
      <c r="V13">
        <f t="shared" si="14"/>
        <v>279.73951800940807</v>
      </c>
      <c r="W13">
        <f t="shared" si="15"/>
        <v>148.6303234924801</v>
      </c>
      <c r="X13">
        <f t="shared" si="16"/>
        <v>48.162588572460201</v>
      </c>
      <c r="Y13">
        <f t="shared" si="17"/>
        <v>0.12666098587034114</v>
      </c>
      <c r="Z13">
        <f t="shared" si="18"/>
        <v>-0.10108478951258348</v>
      </c>
      <c r="AA13">
        <f t="shared" si="19"/>
        <v>0.14552431048898029</v>
      </c>
      <c r="AB13">
        <f t="shared" si="20"/>
        <v>9.4563041026717087E-2</v>
      </c>
      <c r="AC13">
        <f t="shared" si="21"/>
        <v>5.6380633683963788E-2</v>
      </c>
      <c r="AD13">
        <f t="shared" si="22"/>
        <v>192.33338833145612</v>
      </c>
      <c r="AE13">
        <f t="shared" si="23"/>
        <v>55.119392046861705</v>
      </c>
      <c r="AF13">
        <f t="shared" si="24"/>
        <v>53.880511413579036</v>
      </c>
      <c r="AG13">
        <f t="shared" si="25"/>
        <v>54.499951730220374</v>
      </c>
      <c r="AL13" t="s">
        <v>82</v>
      </c>
      <c r="AM13">
        <f>AF4</f>
        <v>50.080023128562523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v>0.69363908942273522</v>
      </c>
      <c r="H14">
        <f t="shared" si="0"/>
        <v>0.59806665806761405</v>
      </c>
      <c r="I14">
        <f t="shared" si="1"/>
        <v>1.0454837792508083</v>
      </c>
      <c r="J14">
        <f t="shared" si="2"/>
        <v>6.366996215637422</v>
      </c>
      <c r="K14">
        <f t="shared" si="3"/>
        <v>-1.5048591367734843E-2</v>
      </c>
      <c r="L14">
        <f t="shared" si="4"/>
        <v>6.6649373259971272</v>
      </c>
      <c r="M14">
        <f t="shared" si="5"/>
        <v>2.7534448883991027</v>
      </c>
      <c r="N14">
        <f t="shared" si="6"/>
        <v>6.2794915348966835</v>
      </c>
      <c r="O14">
        <f t="shared" si="7"/>
        <v>3.0763550839641858</v>
      </c>
      <c r="P14">
        <f t="shared" si="8"/>
        <v>251.06348351081667</v>
      </c>
      <c r="Q14">
        <f t="shared" si="9"/>
        <v>60.257001341901464</v>
      </c>
      <c r="R14">
        <f t="shared" si="10"/>
        <v>282.83081921849953</v>
      </c>
      <c r="S14">
        <f t="shared" si="11"/>
        <v>150.33093438502979</v>
      </c>
      <c r="T14">
        <f t="shared" si="12"/>
        <v>48.271119192234664</v>
      </c>
      <c r="U14">
        <f t="shared" si="13"/>
        <v>8.0062975994375272</v>
      </c>
      <c r="V14">
        <f t="shared" si="14"/>
        <v>282.84719923677562</v>
      </c>
      <c r="W14">
        <f t="shared" si="15"/>
        <v>150.22768715303957</v>
      </c>
      <c r="X14">
        <f t="shared" si="16"/>
        <v>48.235769112472909</v>
      </c>
      <c r="Y14">
        <f t="shared" si="17"/>
        <v>0.17223450686728814</v>
      </c>
      <c r="Z14">
        <f t="shared" si="18"/>
        <v>1.6380018276095143E-2</v>
      </c>
      <c r="AA14">
        <f t="shared" si="19"/>
        <v>-0.10324723199022401</v>
      </c>
      <c r="AB14">
        <f t="shared" si="20"/>
        <v>-3.5350079761755637E-2</v>
      </c>
      <c r="AC14">
        <f t="shared" si="21"/>
        <v>4.1842649407348755E-2</v>
      </c>
      <c r="AD14">
        <f t="shared" si="22"/>
        <v>194.43419118095161</v>
      </c>
      <c r="AE14">
        <f t="shared" si="23"/>
        <v>55.465363884230968</v>
      </c>
      <c r="AF14">
        <f t="shared" si="24"/>
        <v>54.138343795587218</v>
      </c>
      <c r="AG14">
        <f t="shared" si="25"/>
        <v>54.801853839909093</v>
      </c>
      <c r="AH14" t="s">
        <v>76</v>
      </c>
      <c r="AI14">
        <f>3*$AI$11*($AI$7-3)-7*$AI$4</f>
        <v>-499.76060981806427</v>
      </c>
      <c r="AL14" t="s">
        <v>83</v>
      </c>
      <c r="AM14">
        <f>AG4</f>
        <v>50.277677668412402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v>0.6931053591458971</v>
      </c>
      <c r="H15">
        <f t="shared" si="0"/>
        <v>0.5976064673317607</v>
      </c>
      <c r="I15">
        <f t="shared" si="1"/>
        <v>1.0479008842966582</v>
      </c>
      <c r="J15">
        <f t="shared" si="2"/>
        <v>6.3817163853666479</v>
      </c>
      <c r="K15">
        <f t="shared" si="3"/>
        <v>-1.5842129800950677E-2</v>
      </c>
      <c r="L15">
        <f t="shared" si="4"/>
        <v>6.6855043736602129</v>
      </c>
      <c r="M15">
        <f t="shared" si="5"/>
        <v>2.7502344885731027</v>
      </c>
      <c r="N15">
        <f t="shared" si="6"/>
        <v>6.3057113692801448</v>
      </c>
      <c r="O15">
        <f t="shared" si="7"/>
        <v>3.0855862267923388</v>
      </c>
      <c r="P15">
        <f t="shared" si="8"/>
        <v>253.749780575492</v>
      </c>
      <c r="Q15">
        <f t="shared" si="9"/>
        <v>60.759315710262285</v>
      </c>
      <c r="R15">
        <f t="shared" si="10"/>
        <v>285.23699600554306</v>
      </c>
      <c r="S15">
        <f t="shared" si="11"/>
        <v>151.22900980761978</v>
      </c>
      <c r="T15">
        <f t="shared" si="12"/>
        <v>48.269960932863583</v>
      </c>
      <c r="U15">
        <f t="shared" si="13"/>
        <v>8.4571014217099858</v>
      </c>
      <c r="V15">
        <f t="shared" si="14"/>
        <v>285.15569751215372</v>
      </c>
      <c r="W15">
        <f t="shared" si="15"/>
        <v>151.41510380272547</v>
      </c>
      <c r="X15">
        <f t="shared" si="16"/>
        <v>48.286487406448856</v>
      </c>
      <c r="Y15">
        <f t="shared" si="17"/>
        <v>-6.5670514163100435E-2</v>
      </c>
      <c r="Z15">
        <f t="shared" si="18"/>
        <v>-8.1298493389340365E-2</v>
      </c>
      <c r="AA15">
        <f t="shared" si="19"/>
        <v>0.18609399510569347</v>
      </c>
      <c r="AB15">
        <f t="shared" si="20"/>
        <v>1.6526473585273038E-2</v>
      </c>
      <c r="AC15">
        <f t="shared" si="21"/>
        <v>4.5826160801385192E-2</v>
      </c>
      <c r="AD15">
        <f t="shared" si="22"/>
        <v>195.99530170586823</v>
      </c>
      <c r="AE15">
        <f t="shared" si="23"/>
        <v>55.72001118575497</v>
      </c>
      <c r="AF15">
        <f t="shared" si="24"/>
        <v>54.32548874825477</v>
      </c>
      <c r="AG15">
        <f t="shared" si="25"/>
        <v>55.02274996700487</v>
      </c>
      <c r="AH15" t="s">
        <v>77</v>
      </c>
      <c r="AI15">
        <f>3*$AI$11*($AI$8-1)-7*$AI$5</f>
        <v>-35.917735901550941</v>
      </c>
      <c r="AL15" t="s">
        <v>84</v>
      </c>
      <c r="AM15">
        <f>$AI$18</f>
        <v>1.7693237905429817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v>0.6923908567547391</v>
      </c>
      <c r="H16">
        <f t="shared" si="0"/>
        <v>0.59699041200302083</v>
      </c>
      <c r="I16">
        <f t="shared" si="1"/>
        <v>1.0511483300897109</v>
      </c>
      <c r="J16">
        <f t="shared" si="2"/>
        <v>6.401493330246339</v>
      </c>
      <c r="K16">
        <f t="shared" si="3"/>
        <v>-1.6907310260744435E-2</v>
      </c>
      <c r="L16">
        <f t="shared" si="4"/>
        <v>6.7109786097622584</v>
      </c>
      <c r="M16">
        <f t="shared" si="5"/>
        <v>2.745220749710179</v>
      </c>
      <c r="N16">
        <f t="shared" si="6"/>
        <v>6.3256968447965027</v>
      </c>
      <c r="O16">
        <f t="shared" si="7"/>
        <v>3.0921900928718755</v>
      </c>
      <c r="P16">
        <f t="shared" si="8"/>
        <v>256.15217443691483</v>
      </c>
      <c r="Q16">
        <f t="shared" si="9"/>
        <v>61.208771936487018</v>
      </c>
      <c r="R16">
        <f t="shared" si="10"/>
        <v>288.30555242798943</v>
      </c>
      <c r="S16">
        <f t="shared" si="11"/>
        <v>152.92240728282286</v>
      </c>
      <c r="T16">
        <f t="shared" si="12"/>
        <v>48.243170664294503</v>
      </c>
      <c r="U16">
        <f t="shared" si="13"/>
        <v>9.0668060700689939</v>
      </c>
      <c r="V16">
        <f t="shared" si="14"/>
        <v>288.26914932063715</v>
      </c>
      <c r="W16">
        <f t="shared" si="15"/>
        <v>153.01769299845503</v>
      </c>
      <c r="X16">
        <f t="shared" si="16"/>
        <v>48.349987885809902</v>
      </c>
      <c r="Y16">
        <f t="shared" si="17"/>
        <v>-5.8586103694135971E-2</v>
      </c>
      <c r="Z16">
        <f t="shared" si="18"/>
        <v>-3.6403107352271036E-2</v>
      </c>
      <c r="AA16">
        <f t="shared" si="19"/>
        <v>9.5285715632172696E-2</v>
      </c>
      <c r="AB16">
        <f t="shared" si="20"/>
        <v>0.1068172215153993</v>
      </c>
      <c r="AC16">
        <f t="shared" si="21"/>
        <v>2.5246804186766184E-2</v>
      </c>
      <c r="AD16">
        <f t="shared" si="22"/>
        <v>198.10151177251575</v>
      </c>
      <c r="AE16">
        <f t="shared" si="23"/>
        <v>56.060283995922376</v>
      </c>
      <c r="AF16">
        <f t="shared" si="24"/>
        <v>54.571969615037133</v>
      </c>
      <c r="AG16">
        <f t="shared" si="25"/>
        <v>55.316126805479755</v>
      </c>
      <c r="AH16" t="s">
        <v>78</v>
      </c>
      <c r="AI16">
        <f>3*$AI$11*($AI$9-1)-7*$AI$6</f>
        <v>-697.6103362390279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v>0.69178820127528384</v>
      </c>
      <c r="H17">
        <f t="shared" si="0"/>
        <v>0.59647079286093363</v>
      </c>
      <c r="I17">
        <f t="shared" si="1"/>
        <v>1.0538978666680934</v>
      </c>
      <c r="J17">
        <f t="shared" si="2"/>
        <v>6.4182380080086885</v>
      </c>
      <c r="K17">
        <f t="shared" si="3"/>
        <v>-1.7808316413479575E-2</v>
      </c>
      <c r="L17">
        <f t="shared" si="4"/>
        <v>6.7312343072672798</v>
      </c>
      <c r="M17">
        <f t="shared" si="5"/>
        <v>2.7460976690939742</v>
      </c>
      <c r="N17">
        <f t="shared" si="6"/>
        <v>6.3386480645709584</v>
      </c>
      <c r="O17">
        <f t="shared" si="7"/>
        <v>3.0963377594964911</v>
      </c>
      <c r="P17">
        <f t="shared" si="8"/>
        <v>257.87491449577436</v>
      </c>
      <c r="Q17">
        <f t="shared" si="9"/>
        <v>61.533621525003646</v>
      </c>
      <c r="R17">
        <f t="shared" si="10"/>
        <v>290.80725321862388</v>
      </c>
      <c r="S17">
        <f t="shared" si="11"/>
        <v>154.60665783032917</v>
      </c>
      <c r="T17">
        <f t="shared" si="12"/>
        <v>48.400269186716251</v>
      </c>
      <c r="U17">
        <f t="shared" si="13"/>
        <v>9.5866496603889235</v>
      </c>
      <c r="V17">
        <f t="shared" si="14"/>
        <v>290.91590492454708</v>
      </c>
      <c r="W17">
        <f t="shared" si="15"/>
        <v>154.38108077726903</v>
      </c>
      <c r="X17">
        <f t="shared" si="16"/>
        <v>48.39955486075884</v>
      </c>
      <c r="Y17">
        <f t="shared" si="17"/>
        <v>3.0814459561467444E-2</v>
      </c>
      <c r="Z17">
        <f t="shared" si="18"/>
        <v>0.10865170592319373</v>
      </c>
      <c r="AA17">
        <f t="shared" si="19"/>
        <v>-0.22557705306013531</v>
      </c>
      <c r="AB17">
        <f t="shared" si="20"/>
        <v>-7.1432595741072191E-4</v>
      </c>
      <c r="AC17">
        <f t="shared" si="21"/>
        <v>6.3640241246954013E-2</v>
      </c>
      <c r="AD17">
        <f t="shared" si="22"/>
        <v>199.89268882636171</v>
      </c>
      <c r="AE17">
        <f t="shared" si="23"/>
        <v>56.346697745910909</v>
      </c>
      <c r="AF17">
        <f t="shared" si="24"/>
        <v>54.776154024371692</v>
      </c>
      <c r="AG17">
        <f t="shared" si="25"/>
        <v>55.561425885141304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v>0.6911987633249238</v>
      </c>
      <c r="H18">
        <f t="shared" si="0"/>
        <v>0.59596257008271136</v>
      </c>
      <c r="I18">
        <f t="shared" si="1"/>
        <v>1.0565963840828971</v>
      </c>
      <c r="J18">
        <f t="shared" si="2"/>
        <v>6.4346719790648432</v>
      </c>
      <c r="K18">
        <f t="shared" si="3"/>
        <v>-1.8691842337844378E-2</v>
      </c>
      <c r="L18">
        <f t="shared" si="4"/>
        <v>6.7517774060141083</v>
      </c>
      <c r="M18">
        <f t="shared" si="5"/>
        <v>2.7470292099476112</v>
      </c>
      <c r="N18">
        <f t="shared" si="6"/>
        <v>6.3566085466554449</v>
      </c>
      <c r="O18">
        <f t="shared" si="7"/>
        <v>3.1024434798071998</v>
      </c>
      <c r="P18">
        <f t="shared" si="8"/>
        <v>260.0023945373805</v>
      </c>
      <c r="Q18">
        <f t="shared" si="9"/>
        <v>61.934718682114436</v>
      </c>
      <c r="R18">
        <f t="shared" si="10"/>
        <v>293.33416220748279</v>
      </c>
      <c r="S18">
        <f t="shared" si="11"/>
        <v>156.08713146533492</v>
      </c>
      <c r="T18">
        <f t="shared" si="12"/>
        <v>48.557125304195452</v>
      </c>
      <c r="U18">
        <f t="shared" si="13"/>
        <v>10.100077287737511</v>
      </c>
      <c r="V18">
        <f t="shared" si="14"/>
        <v>293.52304408763337</v>
      </c>
      <c r="W18">
        <f t="shared" si="15"/>
        <v>155.72497954525645</v>
      </c>
      <c r="X18">
        <f t="shared" si="16"/>
        <v>48.444425114439426</v>
      </c>
      <c r="Y18">
        <f t="shared" si="17"/>
        <v>-1.5333848273517248E-2</v>
      </c>
      <c r="Z18">
        <f t="shared" si="18"/>
        <v>0.18888188015057494</v>
      </c>
      <c r="AA18">
        <f t="shared" si="19"/>
        <v>-0.36215192007847463</v>
      </c>
      <c r="AB18">
        <f t="shared" si="20"/>
        <v>-0.11270018975602625</v>
      </c>
      <c r="AC18">
        <f t="shared" si="21"/>
        <v>0.17976683753966158</v>
      </c>
      <c r="AD18">
        <f t="shared" si="22"/>
        <v>201.65766772604874</v>
      </c>
      <c r="AE18">
        <f t="shared" si="23"/>
        <v>56.626267977139037</v>
      </c>
      <c r="AF18">
        <f t="shared" si="24"/>
        <v>54.972472241152218</v>
      </c>
      <c r="AG18">
        <f t="shared" si="25"/>
        <v>55.799370109145627</v>
      </c>
      <c r="AH18" t="s">
        <v>79</v>
      </c>
      <c r="AI18">
        <f>SUM(AC4:AC25)</f>
        <v>1.7693237905429817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6.3968163722130891</v>
      </c>
      <c r="O19">
        <f t="shared" si="7"/>
        <v>3.1197831836198127</v>
      </c>
      <c r="P19">
        <f t="shared" si="8"/>
        <v>260.93136376633134</v>
      </c>
      <c r="Q19">
        <f t="shared" si="9"/>
        <v>62.065083175384238</v>
      </c>
      <c r="R19">
        <f t="shared" si="10"/>
        <v>294.75000323850139</v>
      </c>
      <c r="S19">
        <f t="shared" si="11"/>
        <v>156.73565457402432</v>
      </c>
      <c r="T19">
        <f t="shared" si="12"/>
        <v>48.18090086167561</v>
      </c>
      <c r="U19">
        <f t="shared" si="13"/>
        <v>8.3043260493303368</v>
      </c>
      <c r="V19">
        <f t="shared" si="14"/>
        <v>284.37397918336404</v>
      </c>
      <c r="W19">
        <f t="shared" si="15"/>
        <v>151.01293332836715</v>
      </c>
      <c r="X19">
        <f t="shared" si="16"/>
        <v>48.269659990828345</v>
      </c>
      <c r="Y19">
        <f t="shared" si="17"/>
        <v>-2.3276167191578203</v>
      </c>
      <c r="Z19">
        <f t="shared" si="18"/>
        <v>-10.37602405513735</v>
      </c>
      <c r="AA19">
        <f t="shared" si="19"/>
        <v>-5.7227212456571692</v>
      </c>
      <c r="AB19">
        <f t="shared" si="20"/>
        <v>8.8759129152734317E-2</v>
      </c>
      <c r="AC19">
        <f t="shared" si="21"/>
        <v>0</v>
      </c>
      <c r="AD19">
        <f t="shared" si="22"/>
        <v>195.46661528003278</v>
      </c>
      <c r="AE19">
        <f t="shared" si="23"/>
        <v>55.63400516549639</v>
      </c>
      <c r="AF19">
        <f t="shared" si="24"/>
        <v>54.262534972044762</v>
      </c>
      <c r="AG19">
        <f t="shared" si="25"/>
        <v>54.948270068770576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6.4022352114169472</v>
      </c>
      <c r="O20">
        <f t="shared" si="7"/>
        <v>3.1211612083256832</v>
      </c>
      <c r="P20">
        <f t="shared" si="8"/>
        <v>262.18316864676535</v>
      </c>
      <c r="Q20">
        <f t="shared" si="9"/>
        <v>62.312325267351319</v>
      </c>
      <c r="R20">
        <f t="shared" si="10"/>
        <v>296.79775959233848</v>
      </c>
      <c r="S20">
        <f t="shared" si="11"/>
        <v>157.93875797029773</v>
      </c>
      <c r="T20">
        <f t="shared" si="12"/>
        <v>48.077974180013186</v>
      </c>
      <c r="U20">
        <f t="shared" si="13"/>
        <v>8.9120438105176305</v>
      </c>
      <c r="V20">
        <f t="shared" si="14"/>
        <v>287.47980141102113</v>
      </c>
      <c r="W20">
        <f t="shared" si="15"/>
        <v>152.61126851530395</v>
      </c>
      <c r="X20">
        <f t="shared" si="16"/>
        <v>48.334420634004431</v>
      </c>
      <c r="Y20">
        <f t="shared" si="17"/>
        <v>-2.0212090769155484</v>
      </c>
      <c r="Z20">
        <f t="shared" si="18"/>
        <v>-9.3179581813173513</v>
      </c>
      <c r="AA20">
        <f t="shared" si="19"/>
        <v>-5.3274894549937812</v>
      </c>
      <c r="AB20">
        <f t="shared" si="20"/>
        <v>0.25644645399124499</v>
      </c>
      <c r="AC20">
        <f t="shared" si="21"/>
        <v>0</v>
      </c>
      <c r="AD20">
        <f t="shared" si="22"/>
        <v>197.56744614720969</v>
      </c>
      <c r="AE20">
        <f t="shared" si="23"/>
        <v>55.974358959546088</v>
      </c>
      <c r="AF20">
        <f t="shared" si="24"/>
        <v>54.51012331752969</v>
      </c>
      <c r="AG20">
        <f t="shared" si="25"/>
        <v>55.242241138537892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6.4041211209263107</v>
      </c>
      <c r="O21">
        <f t="shared" si="7"/>
        <v>3.1211941465115332</v>
      </c>
      <c r="P21">
        <f t="shared" si="8"/>
        <v>263.15101968492144</v>
      </c>
      <c r="Q21">
        <f t="shared" si="9"/>
        <v>62.506840945215096</v>
      </c>
      <c r="R21">
        <f t="shared" si="10"/>
        <v>300.04803489689095</v>
      </c>
      <c r="S21">
        <f t="shared" si="11"/>
        <v>160.57900670716674</v>
      </c>
      <c r="T21">
        <f t="shared" si="12"/>
        <v>48.051494645921096</v>
      </c>
      <c r="U21">
        <f t="shared" si="13"/>
        <v>9.526921216640698</v>
      </c>
      <c r="V21">
        <f t="shared" si="14"/>
        <v>290.61216287475446</v>
      </c>
      <c r="W21">
        <f t="shared" si="15"/>
        <v>154.2245705088246</v>
      </c>
      <c r="X21">
        <f t="shared" si="16"/>
        <v>48.39407223469712</v>
      </c>
      <c r="Y21">
        <f t="shared" si="17"/>
        <v>-1.6215531843246165</v>
      </c>
      <c r="Z21">
        <f t="shared" si="18"/>
        <v>-9.4358720221364933</v>
      </c>
      <c r="AA21">
        <f t="shared" si="19"/>
        <v>-6.3544361983421425</v>
      </c>
      <c r="AB21">
        <f t="shared" si="20"/>
        <v>0.34257758877602384</v>
      </c>
      <c r="AC21">
        <f t="shared" si="21"/>
        <v>0</v>
      </c>
      <c r="AD21">
        <f t="shared" si="22"/>
        <v>199.68710129746788</v>
      </c>
      <c r="AE21">
        <f t="shared" si="23"/>
        <v>56.313961814004244</v>
      </c>
      <c r="AF21">
        <f t="shared" si="24"/>
        <v>54.752971632277472</v>
      </c>
      <c r="AG21">
        <f t="shared" si="25"/>
        <v>55.533466723140862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6.4126842031252895</v>
      </c>
      <c r="O22">
        <f t="shared" si="7"/>
        <v>3.1237648939620182</v>
      </c>
      <c r="P22">
        <f t="shared" si="8"/>
        <v>264.67413638231147</v>
      </c>
      <c r="Q22">
        <f t="shared" si="9"/>
        <v>62.8041695961549</v>
      </c>
      <c r="R22">
        <f t="shared" si="10"/>
        <v>302.14734131537085</v>
      </c>
      <c r="S22">
        <f t="shared" si="11"/>
        <v>161.9121824286639</v>
      </c>
      <c r="T22">
        <f t="shared" si="12"/>
        <v>48.177349901757744</v>
      </c>
      <c r="U22">
        <f t="shared" si="13"/>
        <v>10.14903164719821</v>
      </c>
      <c r="V22">
        <f t="shared" si="14"/>
        <v>293.77127312903809</v>
      </c>
      <c r="W22">
        <f t="shared" si="15"/>
        <v>155.85298137721409</v>
      </c>
      <c r="X22">
        <f t="shared" si="16"/>
        <v>48.44849302317914</v>
      </c>
      <c r="Y22">
        <f t="shared" si="17"/>
        <v>-1.3868414781249854</v>
      </c>
      <c r="Z22">
        <f t="shared" si="18"/>
        <v>-8.3760681863327591</v>
      </c>
      <c r="AA22">
        <f t="shared" si="19"/>
        <v>-6.0592010514498043</v>
      </c>
      <c r="AB22">
        <f t="shared" si="20"/>
        <v>0.27114312142139596</v>
      </c>
      <c r="AC22">
        <f t="shared" si="21"/>
        <v>0</v>
      </c>
      <c r="AD22">
        <f t="shared" si="22"/>
        <v>201.82574529448877</v>
      </c>
      <c r="AE22">
        <f t="shared" si="23"/>
        <v>56.652754164272281</v>
      </c>
      <c r="AF22">
        <f t="shared" si="24"/>
        <v>54.990914927023042</v>
      </c>
      <c r="AG22">
        <f t="shared" si="25"/>
        <v>55.821834545647661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6.4263842022349333</v>
      </c>
      <c r="O23">
        <f t="shared" si="7"/>
        <v>3.1281403488540591</v>
      </c>
      <c r="P23">
        <f t="shared" si="8"/>
        <v>266.63206572625973</v>
      </c>
      <c r="Q23">
        <f t="shared" si="9"/>
        <v>63.175903979079443</v>
      </c>
      <c r="R23">
        <f t="shared" si="10"/>
        <v>304.87301458741479</v>
      </c>
      <c r="S23">
        <f t="shared" si="11"/>
        <v>163.45815208066</v>
      </c>
      <c r="T23">
        <f t="shared" si="12"/>
        <v>48.11284943048355</v>
      </c>
      <c r="U23">
        <f t="shared" si="13"/>
        <v>10.778449222002438</v>
      </c>
      <c r="V23">
        <f t="shared" si="14"/>
        <v>296.95734317863236</v>
      </c>
      <c r="W23">
        <f t="shared" si="15"/>
        <v>157.49664459440763</v>
      </c>
      <c r="X23">
        <f t="shared" si="16"/>
        <v>48.497559022415402</v>
      </c>
      <c r="Y23">
        <f t="shared" si="17"/>
        <v>-1.2739555357979135</v>
      </c>
      <c r="Z23">
        <f t="shared" si="18"/>
        <v>-7.9156714087824298</v>
      </c>
      <c r="AA23">
        <f t="shared" si="19"/>
        <v>-5.9615074862523727</v>
      </c>
      <c r="AB23">
        <f t="shared" si="20"/>
        <v>0.38470959193185195</v>
      </c>
      <c r="AC23">
        <f t="shared" si="21"/>
        <v>0</v>
      </c>
      <c r="AD23">
        <f t="shared" si="22"/>
        <v>203.98354412248253</v>
      </c>
      <c r="AE23">
        <f t="shared" si="23"/>
        <v>56.990675130294186</v>
      </c>
      <c r="AF23">
        <f t="shared" si="24"/>
        <v>55.223783874653279</v>
      </c>
      <c r="AG23">
        <f t="shared" si="25"/>
        <v>56.107229502473729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6.4301195190031191</v>
      </c>
      <c r="O24">
        <f t="shared" si="7"/>
        <v>3.1286544950355637</v>
      </c>
      <c r="P24">
        <f t="shared" si="8"/>
        <v>267.77232939714412</v>
      </c>
      <c r="Q24">
        <f t="shared" si="9"/>
        <v>63.393220743385484</v>
      </c>
      <c r="R24">
        <f t="shared" si="10"/>
        <v>307.01945874754944</v>
      </c>
      <c r="S24">
        <f t="shared" si="11"/>
        <v>164.77476874506931</v>
      </c>
      <c r="T24">
        <f t="shared" si="12"/>
        <v>47.934972227676305</v>
      </c>
      <c r="U24">
        <f t="shared" si="13"/>
        <v>11.415248808675017</v>
      </c>
      <c r="V24">
        <f t="shared" si="14"/>
        <v>300.17058548401786</v>
      </c>
      <c r="W24">
        <f t="shared" si="15"/>
        <v>159.15570505449929</v>
      </c>
      <c r="X24">
        <f t="shared" si="16"/>
        <v>48.541144010356923</v>
      </c>
      <c r="Y24">
        <f t="shared" si="17"/>
        <v>-0.89542176536391338</v>
      </c>
      <c r="Z24">
        <f t="shared" si="18"/>
        <v>-6.8488732635315728</v>
      </c>
      <c r="AA24">
        <f t="shared" si="19"/>
        <v>-5.619063690570016</v>
      </c>
      <c r="AB24">
        <f t="shared" si="20"/>
        <v>0.60617178268061878</v>
      </c>
      <c r="AC24">
        <f t="shared" si="21"/>
        <v>0</v>
      </c>
      <c r="AD24">
        <f t="shared" si="22"/>
        <v>206.16066519767216</v>
      </c>
      <c r="AE24">
        <f t="shared" si="23"/>
        <v>57.327662492117859</v>
      </c>
      <c r="AF24">
        <f t="shared" si="24"/>
        <v>55.451404696642072</v>
      </c>
      <c r="AG24">
        <f t="shared" si="25"/>
        <v>56.389533594379969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6.4305328911749555</v>
      </c>
      <c r="O25">
        <f t="shared" si="7"/>
        <v>3.1278956740945363</v>
      </c>
      <c r="P25">
        <f t="shared" si="8"/>
        <v>268.64052787506603</v>
      </c>
      <c r="Q25">
        <f t="shared" si="9"/>
        <v>63.559741641648742</v>
      </c>
      <c r="R25">
        <f t="shared" si="10"/>
        <v>309.18689259875458</v>
      </c>
      <c r="S25">
        <f t="shared" si="11"/>
        <v>166.53021166899865</v>
      </c>
      <c r="T25">
        <f t="shared" si="12"/>
        <v>48.022543995190276</v>
      </c>
      <c r="U25">
        <f t="shared" si="13"/>
        <v>12.05950603021442</v>
      </c>
      <c r="V25">
        <f t="shared" si="14"/>
        <v>303.41121396671332</v>
      </c>
      <c r="W25">
        <f t="shared" si="15"/>
        <v>160.83030908639716</v>
      </c>
      <c r="X25">
        <f t="shared" si="16"/>
        <v>48.579119481589039</v>
      </c>
      <c r="Y25">
        <f t="shared" si="17"/>
        <v>-0.42334175465022916</v>
      </c>
      <c r="Z25">
        <f t="shared" si="18"/>
        <v>-5.775678632041263</v>
      </c>
      <c r="AA25">
        <f t="shared" si="19"/>
        <v>-5.6999025826014815</v>
      </c>
      <c r="AB25">
        <f t="shared" si="20"/>
        <v>0.55657548639876353</v>
      </c>
      <c r="AC25">
        <f t="shared" si="21"/>
        <v>0</v>
      </c>
      <c r="AD25">
        <f t="shared" si="22"/>
        <v>208.35727737983589</v>
      </c>
      <c r="AE25">
        <f t="shared" si="23"/>
        <v>57.663652665016663</v>
      </c>
      <c r="AF25">
        <f t="shared" si="24"/>
        <v>55.673599045998685</v>
      </c>
      <c r="AG25">
        <f t="shared" si="25"/>
        <v>56.668625855507671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414C-B75C-473D-BA70-9AA8EACEF3E7}">
  <dimension ref="A3:AM25"/>
  <sheetViews>
    <sheetView workbookViewId="0"/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5.9552663945054363</v>
      </c>
      <c r="O4">
        <f t="shared" ref="O4:O25" si="7">2*H4/F4</f>
        <v>2.8978863432718183</v>
      </c>
      <c r="P4">
        <f t="shared" ref="P4:P25" si="8">J4*N4^2</f>
        <v>215.98305478181197</v>
      </c>
      <c r="Q4">
        <f t="shared" ref="Q4:Q25" si="9">J4*O4^2</f>
        <v>51.142268624394774</v>
      </c>
      <c r="R4">
        <f t="shared" ref="R4:R25" si="10">J4*L4^2</f>
        <v>229.82307082439178</v>
      </c>
      <c r="S4">
        <f t="shared" ref="S4:S25" si="11">R4+T4-3*Q4</f>
        <v>120.61852555431233</v>
      </c>
      <c r="T4">
        <f t="shared" ref="T4:T25" si="12">Q4+0.5*P4-0.5*R4</f>
        <v>44.222260603104871</v>
      </c>
      <c r="U4">
        <f t="shared" ref="U4:U25" si="13">-3*$AI$11*((1-2*K4)^2.5)*(1+1.5*(4-$AI$12)*K4)*K4</f>
        <v>0</v>
      </c>
      <c r="V4">
        <f t="shared" ref="V4:V25" si="14">((1-2*K4)^3.5)*($AI$4-$AI$14*K4)+3*U4</f>
        <v>240.84873143067483</v>
      </c>
      <c r="W4">
        <f t="shared" ref="W4:W25" si="15">((1-2*K4)^3.5)*($AI$5-$AI$15*K4)+1*U4</f>
        <v>123.20384406346359</v>
      </c>
      <c r="X4">
        <f t="shared" ref="X4:X25" si="16">((1-2*K4)^3.5)*($AI$6-$AI$16*K4)+1*U4</f>
        <v>41.226118759046464</v>
      </c>
      <c r="Y4">
        <f t="shared" ref="Y4:Y25" si="17">U4-B4</f>
        <v>0</v>
      </c>
      <c r="Z4">
        <f t="shared" ref="Z4:Z25" si="18">V4-R4</f>
        <v>11.025660606283054</v>
      </c>
      <c r="AA4">
        <f t="shared" ref="AA4:AA25" si="19">W4-S4</f>
        <v>2.5853185091512643</v>
      </c>
      <c r="AB4">
        <f t="shared" ref="AB4:AB25" si="20">X4-T4</f>
        <v>-2.9961418440584069</v>
      </c>
      <c r="AC4">
        <f t="shared" ref="AC4:AC25" si="21">IF(AND(A4&gt;=CutoffLowBar,A4&lt;=CutoffOilBar),Y4^2+Z4^2+AA4^2+AB4^2,0)</f>
        <v>0</v>
      </c>
      <c r="AD4">
        <f t="shared" ref="AD4:AD25" si="22">(V4+2*W4)/3</f>
        <v>162.41880651920067</v>
      </c>
      <c r="AE4">
        <f t="shared" ref="AE4:AE25" si="23">(V4-W4+3*X4)/5</f>
        <v>48.264648728870121</v>
      </c>
      <c r="AF4">
        <f t="shared" ref="AF4:AF25" si="24">5*(V4-W4)*X4/(3*(V4-W4)+4*X4)</f>
        <v>46.829620920526217</v>
      </c>
      <c r="AG4">
        <f t="shared" ref="AG4:AG25" si="25">(AE4+AF4)/2</f>
        <v>47.547134824698169</v>
      </c>
      <c r="AH4" t="s">
        <v>68</v>
      </c>
      <c r="AI4">
        <v>240.84873143067483</v>
      </c>
      <c r="AL4" t="s">
        <v>68</v>
      </c>
      <c r="AM4">
        <f>$AI$4</f>
        <v>240.84873143067483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5.955953210668044</v>
      </c>
      <c r="O5">
        <f t="shared" si="7"/>
        <v>2.8992901876863018</v>
      </c>
      <c r="P5">
        <f t="shared" si="8"/>
        <v>216.69178017533224</v>
      </c>
      <c r="Q5">
        <f t="shared" si="9"/>
        <v>51.347967096069596</v>
      </c>
      <c r="R5">
        <f t="shared" si="10"/>
        <v>239.26578867794052</v>
      </c>
      <c r="S5">
        <f t="shared" si="11"/>
        <v>125.2828502344972</v>
      </c>
      <c r="T5">
        <f t="shared" si="12"/>
        <v>40.060962844765442</v>
      </c>
      <c r="U5">
        <f t="shared" si="13"/>
        <v>0.4974843717907112</v>
      </c>
      <c r="V5">
        <f t="shared" si="14"/>
        <v>243.52969921071559</v>
      </c>
      <c r="W5">
        <f t="shared" si="15"/>
        <v>124.68275902305837</v>
      </c>
      <c r="X5">
        <f t="shared" si="16"/>
        <v>41.46516543629523</v>
      </c>
      <c r="Y5">
        <f t="shared" si="17"/>
        <v>0.3683514636714359</v>
      </c>
      <c r="Z5">
        <f t="shared" si="18"/>
        <v>4.2639105327750713</v>
      </c>
      <c r="AA5">
        <f t="shared" si="19"/>
        <v>-0.60009121143883704</v>
      </c>
      <c r="AB5">
        <f t="shared" si="20"/>
        <v>1.4042025915297884</v>
      </c>
      <c r="AC5">
        <f t="shared" si="21"/>
        <v>0</v>
      </c>
      <c r="AD5">
        <f t="shared" si="22"/>
        <v>164.29840575227743</v>
      </c>
      <c r="AE5">
        <f t="shared" si="23"/>
        <v>48.648487299308584</v>
      </c>
      <c r="AF5">
        <f t="shared" si="24"/>
        <v>47.166864981939042</v>
      </c>
      <c r="AG5">
        <f t="shared" si="25"/>
        <v>47.907676140623813</v>
      </c>
      <c r="AH5" t="s">
        <v>69</v>
      </c>
      <c r="AI5">
        <v>123.20384406346359</v>
      </c>
      <c r="AL5" t="s">
        <v>69</v>
      </c>
      <c r="AM5">
        <f>$AI$5</f>
        <v>123.20384406346359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6.0366079447998739</v>
      </c>
      <c r="O6">
        <f t="shared" si="7"/>
        <v>2.9511670389439613</v>
      </c>
      <c r="P6">
        <f t="shared" si="8"/>
        <v>223.27996675397867</v>
      </c>
      <c r="Q6">
        <f t="shared" si="9"/>
        <v>53.364371670910479</v>
      </c>
      <c r="R6">
        <f t="shared" si="10"/>
        <v>247.81842385033514</v>
      </c>
      <c r="S6">
        <f t="shared" si="11"/>
        <v>128.82045196033599</v>
      </c>
      <c r="T6">
        <f t="shared" si="12"/>
        <v>41.095143122732253</v>
      </c>
      <c r="U6">
        <f t="shared" si="13"/>
        <v>1.0012315934897593</v>
      </c>
      <c r="V6">
        <f t="shared" si="14"/>
        <v>246.23428892878678</v>
      </c>
      <c r="W6">
        <f t="shared" si="15"/>
        <v>126.17688889140507</v>
      </c>
      <c r="X6">
        <f t="shared" si="16"/>
        <v>41.703288623720852</v>
      </c>
      <c r="Y6">
        <f t="shared" si="17"/>
        <v>-0.63445190935454265</v>
      </c>
      <c r="Z6">
        <f t="shared" si="18"/>
        <v>-1.5841349215483547</v>
      </c>
      <c r="AA6">
        <f t="shared" si="19"/>
        <v>-2.6435630689309164</v>
      </c>
      <c r="AB6">
        <f t="shared" si="20"/>
        <v>0.60814550098859854</v>
      </c>
      <c r="AC6">
        <f t="shared" si="21"/>
        <v>0</v>
      </c>
      <c r="AD6">
        <f t="shared" si="22"/>
        <v>166.19602223719897</v>
      </c>
      <c r="AE6">
        <f t="shared" si="23"/>
        <v>49.03345318170885</v>
      </c>
      <c r="AF6">
        <f t="shared" si="24"/>
        <v>47.504056435363296</v>
      </c>
      <c r="AG6">
        <f t="shared" si="25"/>
        <v>48.268754808536073</v>
      </c>
      <c r="AH6" t="s">
        <v>70</v>
      </c>
      <c r="AI6">
        <v>41.226118759046464</v>
      </c>
      <c r="AL6" t="s">
        <v>70</v>
      </c>
      <c r="AM6">
        <f>$AI$6</f>
        <v>41.226118759046464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v>0.70222279336230264</v>
      </c>
      <c r="H7">
        <f t="shared" si="0"/>
        <v>0.60546766416323539</v>
      </c>
      <c r="I7">
        <f t="shared" si="1"/>
        <v>1.0076117220508687</v>
      </c>
      <c r="J7">
        <f t="shared" si="2"/>
        <v>6.1363553872897905</v>
      </c>
      <c r="K7">
        <f t="shared" si="3"/>
        <v>-2.5340327295179099E-3</v>
      </c>
      <c r="L7">
        <f t="shared" si="4"/>
        <v>6.4204483011932219</v>
      </c>
      <c r="M7">
        <f t="shared" si="5"/>
        <v>2.7764969692178063</v>
      </c>
      <c r="N7">
        <f t="shared" si="6"/>
        <v>6.0844953462795788</v>
      </c>
      <c r="O7">
        <f t="shared" si="7"/>
        <v>2.9808280164025458</v>
      </c>
      <c r="P7">
        <f t="shared" si="8"/>
        <v>227.17452590812965</v>
      </c>
      <c r="Q7">
        <f t="shared" si="9"/>
        <v>54.523577365800662</v>
      </c>
      <c r="R7">
        <f t="shared" si="10"/>
        <v>252.95380142901584</v>
      </c>
      <c r="S7">
        <f t="shared" si="11"/>
        <v>131.01700893697139</v>
      </c>
      <c r="T7">
        <f t="shared" si="12"/>
        <v>41.633939605357554</v>
      </c>
      <c r="U7">
        <f t="shared" si="13"/>
        <v>1.2494000848868778</v>
      </c>
      <c r="V7">
        <f t="shared" si="14"/>
        <v>247.56300852872769</v>
      </c>
      <c r="W7">
        <f t="shared" si="15"/>
        <v>126.91173122258294</v>
      </c>
      <c r="X7">
        <f t="shared" si="16"/>
        <v>41.819163621586334</v>
      </c>
      <c r="Y7">
        <f t="shared" si="17"/>
        <v>-1.2471694720860189</v>
      </c>
      <c r="Z7">
        <f t="shared" si="18"/>
        <v>-5.3907929002881474</v>
      </c>
      <c r="AA7">
        <f t="shared" si="19"/>
        <v>-4.1052777143884498</v>
      </c>
      <c r="AB7">
        <f t="shared" si="20"/>
        <v>0.18522401622877993</v>
      </c>
      <c r="AC7">
        <f t="shared" si="21"/>
        <v>0</v>
      </c>
      <c r="AD7">
        <f t="shared" si="22"/>
        <v>167.12882365796452</v>
      </c>
      <c r="AE7">
        <f t="shared" si="23"/>
        <v>49.22175363418075</v>
      </c>
      <c r="AF7">
        <f t="shared" si="24"/>
        <v>47.668602210493191</v>
      </c>
      <c r="AG7">
        <f t="shared" si="25"/>
        <v>48.445177922336967</v>
      </c>
      <c r="AH7" t="s">
        <v>71</v>
      </c>
      <c r="AI7">
        <v>5.3991814512445879</v>
      </c>
      <c r="AL7" t="s">
        <v>71</v>
      </c>
      <c r="AM7">
        <f>$AI$7</f>
        <v>5.3991814512445879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v>0.6991742343244014</v>
      </c>
      <c r="H8">
        <f t="shared" si="0"/>
        <v>0.60283914806095407</v>
      </c>
      <c r="I8">
        <f t="shared" si="1"/>
        <v>1.0208495248502261</v>
      </c>
      <c r="J8">
        <f t="shared" si="2"/>
        <v>6.2169736063378762</v>
      </c>
      <c r="K8">
        <f t="shared" si="3"/>
        <v>-6.9259125693080792E-3</v>
      </c>
      <c r="L8">
        <f t="shared" si="4"/>
        <v>6.4575206948880002</v>
      </c>
      <c r="M8">
        <f t="shared" si="5"/>
        <v>2.7677263342372265</v>
      </c>
      <c r="N8">
        <f t="shared" si="6"/>
        <v>6.1117111114957856</v>
      </c>
      <c r="O8">
        <f t="shared" si="7"/>
        <v>2.999300276875855</v>
      </c>
      <c r="P8">
        <f t="shared" si="8"/>
        <v>232.22269413764221</v>
      </c>
      <c r="Q8">
        <f t="shared" si="9"/>
        <v>55.92666453978125</v>
      </c>
      <c r="R8">
        <f t="shared" si="10"/>
        <v>259.24514799989129</v>
      </c>
      <c r="S8">
        <f t="shared" si="11"/>
        <v>133.88059198920425</v>
      </c>
      <c r="T8">
        <f t="shared" si="12"/>
        <v>42.415437608656703</v>
      </c>
      <c r="U8">
        <f t="shared" si="13"/>
        <v>3.4849336439082577</v>
      </c>
      <c r="V8">
        <f t="shared" si="14"/>
        <v>259.42702272024439</v>
      </c>
      <c r="W8">
        <f t="shared" si="15"/>
        <v>133.49632294132442</v>
      </c>
      <c r="X8">
        <f t="shared" si="16"/>
        <v>42.821608138785265</v>
      </c>
      <c r="Y8">
        <f t="shared" si="17"/>
        <v>4.1389427393907052E-2</v>
      </c>
      <c r="Z8">
        <f t="shared" si="18"/>
        <v>0.18187472035310748</v>
      </c>
      <c r="AA8">
        <f t="shared" si="19"/>
        <v>-0.38426904787982608</v>
      </c>
      <c r="AB8">
        <f t="shared" si="20"/>
        <v>0.40617053012856275</v>
      </c>
      <c r="AC8">
        <f t="shared" si="21"/>
        <v>0.34742869930690229</v>
      </c>
      <c r="AD8">
        <f t="shared" si="22"/>
        <v>175.47322286763108</v>
      </c>
      <c r="AE8">
        <f t="shared" si="23"/>
        <v>50.879104839055152</v>
      </c>
      <c r="AF8">
        <f t="shared" si="24"/>
        <v>49.105499171451619</v>
      </c>
      <c r="AG8">
        <f t="shared" si="25"/>
        <v>49.992302005253386</v>
      </c>
      <c r="AH8" t="s">
        <v>72</v>
      </c>
      <c r="AI8">
        <v>2.9762004442661447</v>
      </c>
      <c r="AL8" t="s">
        <v>72</v>
      </c>
      <c r="AM8">
        <f>$AI$8</f>
        <v>2.9762004442661447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v>0.69800235586621695</v>
      </c>
      <c r="H9">
        <f t="shared" si="0"/>
        <v>0.60182873581078655</v>
      </c>
      <c r="I9">
        <f t="shared" si="1"/>
        <v>1.0259998850428824</v>
      </c>
      <c r="J9">
        <f t="shared" si="2"/>
        <v>6.2483392999111542</v>
      </c>
      <c r="K9">
        <f t="shared" si="3"/>
        <v>-8.6295006238634731E-3</v>
      </c>
      <c r="L9">
        <f t="shared" si="4"/>
        <v>6.5007335716430044</v>
      </c>
      <c r="M9">
        <f t="shared" si="5"/>
        <v>2.763087377722508</v>
      </c>
      <c r="N9">
        <f t="shared" si="6"/>
        <v>6.1543510393562073</v>
      </c>
      <c r="O9">
        <f t="shared" si="7"/>
        <v>3.023132190504294</v>
      </c>
      <c r="P9">
        <f t="shared" si="8"/>
        <v>236.6623287351164</v>
      </c>
      <c r="Q9">
        <f t="shared" si="9"/>
        <v>57.105623824673309</v>
      </c>
      <c r="R9">
        <f t="shared" si="10"/>
        <v>264.05192564249029</v>
      </c>
      <c r="S9">
        <f t="shared" si="11"/>
        <v>136.14587953945676</v>
      </c>
      <c r="T9">
        <f t="shared" si="12"/>
        <v>43.410825370986373</v>
      </c>
      <c r="U9">
        <f t="shared" si="13"/>
        <v>4.376282337199906</v>
      </c>
      <c r="V9">
        <f t="shared" si="14"/>
        <v>264.1068699023387</v>
      </c>
      <c r="W9">
        <f t="shared" si="15"/>
        <v>136.1050836188933</v>
      </c>
      <c r="X9">
        <f t="shared" si="16"/>
        <v>43.201241288738643</v>
      </c>
      <c r="Y9">
        <f t="shared" si="17"/>
        <v>-5.7280841562370455E-2</v>
      </c>
      <c r="Z9">
        <f t="shared" si="18"/>
        <v>5.4944259848412003E-2</v>
      </c>
      <c r="AA9">
        <f t="shared" si="19"/>
        <v>-4.0795920563454047E-2</v>
      </c>
      <c r="AB9">
        <f t="shared" si="20"/>
        <v>-0.20958408224772995</v>
      </c>
      <c r="AC9">
        <f t="shared" si="21"/>
        <v>5.1889761166626087E-2</v>
      </c>
      <c r="AD9">
        <f t="shared" si="22"/>
        <v>178.7723457133751</v>
      </c>
      <c r="AE9">
        <f t="shared" si="23"/>
        <v>51.521102029932266</v>
      </c>
      <c r="AF9">
        <f t="shared" si="24"/>
        <v>49.656371444795063</v>
      </c>
      <c r="AG9">
        <f t="shared" si="25"/>
        <v>50.588736737363661</v>
      </c>
      <c r="AH9" t="s">
        <v>73</v>
      </c>
      <c r="AI9">
        <v>0.48443352440609155</v>
      </c>
      <c r="AL9" t="s">
        <v>73</v>
      </c>
      <c r="AM9">
        <f>$AI$9</f>
        <v>0.48443352440609155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v>0.69707730400039447</v>
      </c>
      <c r="H10">
        <f t="shared" si="0"/>
        <v>0.60103114137534008</v>
      </c>
      <c r="I10">
        <f t="shared" si="1"/>
        <v>1.0300899471955276</v>
      </c>
      <c r="J10">
        <f t="shared" si="2"/>
        <v>6.273247778420763</v>
      </c>
      <c r="K10">
        <f t="shared" si="3"/>
        <v>-9.980343230800548E-3</v>
      </c>
      <c r="L10">
        <f t="shared" si="4"/>
        <v>6.5347203011014807</v>
      </c>
      <c r="M10">
        <f t="shared" si="5"/>
        <v>2.7594255002048875</v>
      </c>
      <c r="N10">
        <f t="shared" si="6"/>
        <v>6.1812360322593394</v>
      </c>
      <c r="O10">
        <f t="shared" si="7"/>
        <v>3.0367618566882961</v>
      </c>
      <c r="P10">
        <f t="shared" si="8"/>
        <v>239.68623669335742</v>
      </c>
      <c r="Q10">
        <f t="shared" si="9"/>
        <v>57.851405301600209</v>
      </c>
      <c r="R10">
        <f t="shared" si="10"/>
        <v>267.8837987068992</v>
      </c>
      <c r="S10">
        <f t="shared" si="11"/>
        <v>138.0822070969279</v>
      </c>
      <c r="T10">
        <f t="shared" si="12"/>
        <v>43.752624294829303</v>
      </c>
      <c r="U10">
        <f t="shared" si="13"/>
        <v>5.0927703929417705</v>
      </c>
      <c r="V10">
        <f t="shared" si="14"/>
        <v>267.84875058662448</v>
      </c>
      <c r="W10">
        <f t="shared" si="15"/>
        <v>138.1955908566328</v>
      </c>
      <c r="X10">
        <f t="shared" si="16"/>
        <v>43.498419899921387</v>
      </c>
      <c r="Y10">
        <f t="shared" si="17"/>
        <v>-2.950162912335319E-2</v>
      </c>
      <c r="Z10">
        <f t="shared" si="18"/>
        <v>-3.504812027472326E-2</v>
      </c>
      <c r="AA10">
        <f t="shared" si="19"/>
        <v>0.11338375970490233</v>
      </c>
      <c r="AB10">
        <f t="shared" si="20"/>
        <v>-0.2542043949079158</v>
      </c>
      <c r="AC10">
        <f t="shared" si="21"/>
        <v>7.9574468211041999E-2</v>
      </c>
      <c r="AD10">
        <f t="shared" si="22"/>
        <v>181.41331076663005</v>
      </c>
      <c r="AE10">
        <f t="shared" si="23"/>
        <v>52.029683885951172</v>
      </c>
      <c r="AF10">
        <f t="shared" si="24"/>
        <v>50.090380480429559</v>
      </c>
      <c r="AG10">
        <f t="shared" si="25"/>
        <v>51.060032183190366</v>
      </c>
      <c r="AL10" t="s">
        <v>74</v>
      </c>
      <c r="AM10">
        <f>$AI$11</f>
        <v>162.41880651920067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v>0.69601429928156222</v>
      </c>
      <c r="H11">
        <f t="shared" si="0"/>
        <v>0.60011460179532428</v>
      </c>
      <c r="I11">
        <f t="shared" si="1"/>
        <v>1.0348168486886189</v>
      </c>
      <c r="J11">
        <f t="shared" si="2"/>
        <v>6.3020346085136891</v>
      </c>
      <c r="K11">
        <f t="shared" si="3"/>
        <v>-1.1539292489178621E-2</v>
      </c>
      <c r="L11">
        <f t="shared" si="4"/>
        <v>6.5740577811785679</v>
      </c>
      <c r="M11">
        <f t="shared" si="5"/>
        <v>2.7606816957539277</v>
      </c>
      <c r="N11">
        <f t="shared" si="6"/>
        <v>6.2036112474482668</v>
      </c>
      <c r="O11">
        <f t="shared" si="7"/>
        <v>3.0470150091507588</v>
      </c>
      <c r="P11">
        <f t="shared" si="8"/>
        <v>242.53249429612717</v>
      </c>
      <c r="Q11">
        <f t="shared" si="9"/>
        <v>58.509982852508742</v>
      </c>
      <c r="R11">
        <f t="shared" si="10"/>
        <v>272.36281716505198</v>
      </c>
      <c r="S11">
        <f t="shared" si="11"/>
        <v>140.42769002557208</v>
      </c>
      <c r="T11">
        <f t="shared" si="12"/>
        <v>43.594821418046337</v>
      </c>
      <c r="U11">
        <f t="shared" si="13"/>
        <v>5.9303651244326341</v>
      </c>
      <c r="V11">
        <f t="shared" si="14"/>
        <v>272.20129648719245</v>
      </c>
      <c r="W11">
        <f t="shared" si="15"/>
        <v>140.63239494864371</v>
      </c>
      <c r="X11">
        <f t="shared" si="16"/>
        <v>43.837021003804828</v>
      </c>
      <c r="Y11">
        <f t="shared" si="17"/>
        <v>0.16242856177105036</v>
      </c>
      <c r="Z11">
        <f t="shared" si="18"/>
        <v>-0.16152067785952795</v>
      </c>
      <c r="AA11">
        <f t="shared" si="19"/>
        <v>0.20470492307163113</v>
      </c>
      <c r="AB11">
        <f t="shared" si="20"/>
        <v>0.24219958575849176</v>
      </c>
      <c r="AC11">
        <f t="shared" si="21"/>
        <v>0.15303671192656074</v>
      </c>
      <c r="AD11">
        <f t="shared" si="22"/>
        <v>184.48869546149331</v>
      </c>
      <c r="AE11">
        <f t="shared" si="23"/>
        <v>52.615992909992642</v>
      </c>
      <c r="AF11">
        <f t="shared" si="24"/>
        <v>50.588020793977108</v>
      </c>
      <c r="AG11">
        <f t="shared" si="25"/>
        <v>51.602006851984875</v>
      </c>
      <c r="AH11" t="s">
        <v>74</v>
      </c>
      <c r="AI11">
        <f>($AI$4+2*$AI$5)/3</f>
        <v>162.41880651920067</v>
      </c>
      <c r="AL11" t="s">
        <v>75</v>
      </c>
      <c r="AM11">
        <f>$AI$12</f>
        <v>3.7838607799256256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v>0.69529505054955654</v>
      </c>
      <c r="H12">
        <f t="shared" si="0"/>
        <v>0.59949445409599555</v>
      </c>
      <c r="I12">
        <f t="shared" si="1"/>
        <v>1.0380315741645869</v>
      </c>
      <c r="J12">
        <f t="shared" si="2"/>
        <v>6.3216122866623339</v>
      </c>
      <c r="K12">
        <f t="shared" si="3"/>
        <v>-1.2598164652558363E-2</v>
      </c>
      <c r="L12">
        <f t="shared" si="4"/>
        <v>6.5984262965430132</v>
      </c>
      <c r="M12">
        <f t="shared" si="5"/>
        <v>2.7578288566510647</v>
      </c>
      <c r="N12">
        <f t="shared" si="6"/>
        <v>6.2363925048847344</v>
      </c>
      <c r="O12">
        <f t="shared" si="7"/>
        <v>3.0608076205055936</v>
      </c>
      <c r="P12">
        <f t="shared" si="8"/>
        <v>245.86388412838809</v>
      </c>
      <c r="Q12">
        <f t="shared" si="9"/>
        <v>59.224298368580676</v>
      </c>
      <c r="R12">
        <f t="shared" si="10"/>
        <v>275.23812873371111</v>
      </c>
      <c r="S12">
        <f t="shared" si="11"/>
        <v>142.10240969388821</v>
      </c>
      <c r="T12">
        <f t="shared" si="12"/>
        <v>44.537176065919169</v>
      </c>
      <c r="U12">
        <f t="shared" si="13"/>
        <v>6.5058639249795798</v>
      </c>
      <c r="V12">
        <f t="shared" si="14"/>
        <v>275.17857784878566</v>
      </c>
      <c r="W12">
        <f t="shared" si="15"/>
        <v>142.30241296979509</v>
      </c>
      <c r="X12">
        <f t="shared" si="16"/>
        <v>44.064273156748023</v>
      </c>
      <c r="Y12">
        <f t="shared" si="17"/>
        <v>-7.9914389104183137E-2</v>
      </c>
      <c r="Z12">
        <f t="shared" si="18"/>
        <v>-5.9550884925442915E-2</v>
      </c>
      <c r="AA12">
        <f t="shared" si="19"/>
        <v>0.20000327590688016</v>
      </c>
      <c r="AB12">
        <f t="shared" si="20"/>
        <v>-0.47290290917114675</v>
      </c>
      <c r="AC12">
        <f t="shared" si="21"/>
        <v>0.27357108935731567</v>
      </c>
      <c r="AD12">
        <f t="shared" si="22"/>
        <v>186.5944679294586</v>
      </c>
      <c r="AE12">
        <f t="shared" si="23"/>
        <v>53.013796869846928</v>
      </c>
      <c r="AF12">
        <f t="shared" si="24"/>
        <v>50.923973004044996</v>
      </c>
      <c r="AG12">
        <f t="shared" si="25"/>
        <v>51.968884936945962</v>
      </c>
      <c r="AH12" t="s">
        <v>75</v>
      </c>
      <c r="AI12">
        <f>($AI$7+2*$AI$8)/3</f>
        <v>3.7838607799256256</v>
      </c>
      <c r="AL12" t="s">
        <v>81</v>
      </c>
      <c r="AM12">
        <f>AE4</f>
        <v>48.264648728870121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v>0.69419589499738266</v>
      </c>
      <c r="H13">
        <f t="shared" si="0"/>
        <v>0.59854674469234559</v>
      </c>
      <c r="I13">
        <f t="shared" si="1"/>
        <v>1.0429700893589766</v>
      </c>
      <c r="J13">
        <f t="shared" si="2"/>
        <v>6.3516878441961673</v>
      </c>
      <c r="K13">
        <f t="shared" si="3"/>
        <v>-1.4222695055436829E-2</v>
      </c>
      <c r="L13">
        <f t="shared" si="4"/>
        <v>6.6383944630820979</v>
      </c>
      <c r="M13">
        <f t="shared" si="5"/>
        <v>2.7512866003643008</v>
      </c>
      <c r="N13">
        <f t="shared" si="6"/>
        <v>6.2587750476396442</v>
      </c>
      <c r="O13">
        <f t="shared" si="7"/>
        <v>3.0689310026987693</v>
      </c>
      <c r="P13">
        <f t="shared" si="8"/>
        <v>248.81000004596922</v>
      </c>
      <c r="Q13">
        <f t="shared" si="9"/>
        <v>59.822339807003807</v>
      </c>
      <c r="R13">
        <f t="shared" si="10"/>
        <v>279.90796504389306</v>
      </c>
      <c r="S13">
        <f t="shared" si="11"/>
        <v>144.71430293092348</v>
      </c>
      <c r="T13">
        <f t="shared" si="12"/>
        <v>44.273357308041881</v>
      </c>
      <c r="U13">
        <f t="shared" si="13"/>
        <v>7.3992097896906177</v>
      </c>
      <c r="V13">
        <f t="shared" si="14"/>
        <v>279.77933745150119</v>
      </c>
      <c r="W13">
        <f t="shared" si="15"/>
        <v>144.88810903517023</v>
      </c>
      <c r="X13">
        <f t="shared" si="16"/>
        <v>44.408510432390621</v>
      </c>
      <c r="Y13">
        <f t="shared" si="17"/>
        <v>0.12472263230400671</v>
      </c>
      <c r="Z13">
        <f t="shared" si="18"/>
        <v>-0.12862759239186516</v>
      </c>
      <c r="AA13">
        <f t="shared" si="19"/>
        <v>0.17380610424675069</v>
      </c>
      <c r="AB13">
        <f t="shared" si="20"/>
        <v>0.13515312434874005</v>
      </c>
      <c r="AC13">
        <f t="shared" si="21"/>
        <v>8.0575721428026631E-2</v>
      </c>
      <c r="AD13">
        <f t="shared" si="22"/>
        <v>189.85185184061388</v>
      </c>
      <c r="AE13">
        <f t="shared" si="23"/>
        <v>53.623351942700559</v>
      </c>
      <c r="AF13">
        <f t="shared" si="24"/>
        <v>51.436021255005812</v>
      </c>
      <c r="AG13">
        <f t="shared" si="25"/>
        <v>52.529686598853189</v>
      </c>
      <c r="AL13" t="s">
        <v>82</v>
      </c>
      <c r="AM13">
        <f>AF4</f>
        <v>46.829620920526217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v>0.6934857402727691</v>
      </c>
      <c r="H14">
        <f t="shared" si="0"/>
        <v>0.59793443799086765</v>
      </c>
      <c r="I14">
        <f t="shared" si="1"/>
        <v>1.0461774899976768</v>
      </c>
      <c r="J14">
        <f t="shared" si="2"/>
        <v>6.3712209140858516</v>
      </c>
      <c r="K14">
        <f t="shared" si="3"/>
        <v>-1.5276399934478935E-2</v>
      </c>
      <c r="L14">
        <f t="shared" si="4"/>
        <v>6.6634638472253789</v>
      </c>
      <c r="M14">
        <f t="shared" si="5"/>
        <v>2.7528361591052191</v>
      </c>
      <c r="N14">
        <f t="shared" si="6"/>
        <v>6.2781032701581756</v>
      </c>
      <c r="O14">
        <f t="shared" si="7"/>
        <v>3.0756749659542382</v>
      </c>
      <c r="P14">
        <f t="shared" si="8"/>
        <v>251.11900068953872</v>
      </c>
      <c r="Q14">
        <f t="shared" si="9"/>
        <v>60.270325855151953</v>
      </c>
      <c r="R14">
        <f t="shared" si="10"/>
        <v>282.89336104624402</v>
      </c>
      <c r="S14">
        <f t="shared" si="11"/>
        <v>146.46552915758747</v>
      </c>
      <c r="T14">
        <f t="shared" si="12"/>
        <v>44.383145676799302</v>
      </c>
      <c r="U14">
        <f t="shared" si="13"/>
        <v>7.9854227851978905</v>
      </c>
      <c r="V14">
        <f t="shared" si="14"/>
        <v>282.78487965357459</v>
      </c>
      <c r="W14">
        <f t="shared" si="15"/>
        <v>146.58055872048124</v>
      </c>
      <c r="X14">
        <f t="shared" si="16"/>
        <v>44.628864892321168</v>
      </c>
      <c r="Y14">
        <f t="shared" si="17"/>
        <v>0.15135969262765148</v>
      </c>
      <c r="Z14">
        <f t="shared" si="18"/>
        <v>-0.10848139266943235</v>
      </c>
      <c r="AA14">
        <f t="shared" si="19"/>
        <v>0.11502956289376698</v>
      </c>
      <c r="AB14">
        <f t="shared" si="20"/>
        <v>0.24571921552186637</v>
      </c>
      <c r="AC14">
        <f t="shared" si="21"/>
        <v>0.10828770232404922</v>
      </c>
      <c r="AD14">
        <f t="shared" si="22"/>
        <v>191.98199903151234</v>
      </c>
      <c r="AE14">
        <f t="shared" si="23"/>
        <v>54.018183122011372</v>
      </c>
      <c r="AF14">
        <f t="shared" si="24"/>
        <v>51.765882940492013</v>
      </c>
      <c r="AG14">
        <f t="shared" si="25"/>
        <v>52.892033031251692</v>
      </c>
      <c r="AH14" t="s">
        <v>76</v>
      </c>
      <c r="AI14">
        <f>3*$AI$11*($AI$7-3)-7*$AI$4</f>
        <v>-516.92455621227418</v>
      </c>
      <c r="AL14" t="s">
        <v>83</v>
      </c>
      <c r="AM14">
        <f>AG4</f>
        <v>47.547134824698169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v>0.69288414467147419</v>
      </c>
      <c r="H15">
        <f t="shared" si="0"/>
        <v>0.59741573269259218</v>
      </c>
      <c r="I15">
        <f t="shared" si="1"/>
        <v>1.0489048827099101</v>
      </c>
      <c r="J15">
        <f t="shared" si="2"/>
        <v>6.3878307357033526</v>
      </c>
      <c r="K15">
        <f t="shared" si="3"/>
        <v>-1.6171564274282013E-2</v>
      </c>
      <c r="L15">
        <f t="shared" si="4"/>
        <v>6.683370599455821</v>
      </c>
      <c r="M15">
        <f t="shared" si="5"/>
        <v>2.7493567119567466</v>
      </c>
      <c r="N15">
        <f t="shared" si="6"/>
        <v>6.3036988114373713</v>
      </c>
      <c r="O15">
        <f t="shared" si="7"/>
        <v>3.0846014178791785</v>
      </c>
      <c r="P15">
        <f t="shared" si="8"/>
        <v>253.83079429874823</v>
      </c>
      <c r="Q15">
        <f t="shared" si="9"/>
        <v>60.7787141049211</v>
      </c>
      <c r="R15">
        <f t="shared" si="10"/>
        <v>285.3280625318053</v>
      </c>
      <c r="S15">
        <f t="shared" si="11"/>
        <v>148.02200020543458</v>
      </c>
      <c r="T15">
        <f t="shared" si="12"/>
        <v>45.030079988392572</v>
      </c>
      <c r="U15">
        <f t="shared" si="13"/>
        <v>8.4876370314818299</v>
      </c>
      <c r="V15">
        <f t="shared" si="14"/>
        <v>285.35145235904548</v>
      </c>
      <c r="W15">
        <f t="shared" si="15"/>
        <v>148.02787122536643</v>
      </c>
      <c r="X15">
        <f t="shared" si="16"/>
        <v>44.814216596173502</v>
      </c>
      <c r="Y15">
        <f t="shared" si="17"/>
        <v>-3.5134904391256327E-2</v>
      </c>
      <c r="Z15">
        <f t="shared" si="18"/>
        <v>2.3389827240180239E-2</v>
      </c>
      <c r="AA15">
        <f t="shared" si="19"/>
        <v>5.871019931845467E-3</v>
      </c>
      <c r="AB15">
        <f t="shared" si="20"/>
        <v>-0.21586339221907025</v>
      </c>
      <c r="AC15">
        <f t="shared" si="21"/>
        <v>4.8413018500272485E-2</v>
      </c>
      <c r="AD15">
        <f t="shared" si="22"/>
        <v>193.8023982699261</v>
      </c>
      <c r="AE15">
        <f t="shared" si="23"/>
        <v>54.353246184439911</v>
      </c>
      <c r="AF15">
        <f t="shared" si="24"/>
        <v>52.044666105133416</v>
      </c>
      <c r="AG15">
        <f t="shared" si="25"/>
        <v>53.198956144786663</v>
      </c>
      <c r="AH15" t="s">
        <v>77</v>
      </c>
      <c r="AI15">
        <f>3*$AI$11*($AI$8-1)-7*$AI$5</f>
        <v>100.48944435701901</v>
      </c>
      <c r="AL15" t="s">
        <v>84</v>
      </c>
      <c r="AM15">
        <f>$AI$18</f>
        <v>1.2627223222133397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v>0.69216069706728223</v>
      </c>
      <c r="H16">
        <f t="shared" si="0"/>
        <v>0.59679196465886408</v>
      </c>
      <c r="I16">
        <f t="shared" si="1"/>
        <v>1.0521972733298954</v>
      </c>
      <c r="J16">
        <f t="shared" si="2"/>
        <v>6.4078813945790634</v>
      </c>
      <c r="K16">
        <f t="shared" si="3"/>
        <v>-1.7251135057041345E-2</v>
      </c>
      <c r="L16">
        <f t="shared" si="4"/>
        <v>6.7087477935631643</v>
      </c>
      <c r="M16">
        <f t="shared" si="5"/>
        <v>2.744308202781534</v>
      </c>
      <c r="N16">
        <f t="shared" si="6"/>
        <v>6.3235941012455994</v>
      </c>
      <c r="O16">
        <f t="shared" si="7"/>
        <v>3.0911622088402049</v>
      </c>
      <c r="P16">
        <f t="shared" si="8"/>
        <v>256.23735105075542</v>
      </c>
      <c r="Q16">
        <f t="shared" si="9"/>
        <v>61.22912529066933</v>
      </c>
      <c r="R16">
        <f t="shared" si="10"/>
        <v>288.40142079514743</v>
      </c>
      <c r="S16">
        <f t="shared" si="11"/>
        <v>149.86113534161274</v>
      </c>
      <c r="T16">
        <f t="shared" si="12"/>
        <v>45.147090418473312</v>
      </c>
      <c r="U16">
        <f t="shared" si="13"/>
        <v>9.0984633634233933</v>
      </c>
      <c r="V16">
        <f t="shared" si="14"/>
        <v>288.46295259533952</v>
      </c>
      <c r="W16">
        <f t="shared" si="15"/>
        <v>149.78499904460702</v>
      </c>
      <c r="X16">
        <f t="shared" si="16"/>
        <v>45.035451130530866</v>
      </c>
      <c r="Y16">
        <f t="shared" si="17"/>
        <v>-2.6928810339736486E-2</v>
      </c>
      <c r="Z16">
        <f t="shared" si="18"/>
        <v>6.1531800192085484E-2</v>
      </c>
      <c r="AA16">
        <f t="shared" si="19"/>
        <v>-7.6136297005717779E-2</v>
      </c>
      <c r="AB16">
        <f t="shared" si="20"/>
        <v>-0.11163928794244526</v>
      </c>
      <c r="AC16">
        <f t="shared" si="21"/>
        <v>2.2771389595231305E-2</v>
      </c>
      <c r="AD16">
        <f t="shared" si="22"/>
        <v>196.01098356151783</v>
      </c>
      <c r="AE16">
        <f t="shared" si="23"/>
        <v>54.756861388465019</v>
      </c>
      <c r="AF16">
        <f t="shared" si="24"/>
        <v>52.379060106301793</v>
      </c>
      <c r="AG16">
        <f t="shared" si="25"/>
        <v>53.56796074738341</v>
      </c>
      <c r="AH16" t="s">
        <v>78</v>
      </c>
      <c r="AI16">
        <f>3*$AI$11*($AI$9-1)-7*$AI$6</f>
        <v>-539.79590625514493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v>0.69158616638125858</v>
      </c>
      <c r="H17">
        <f t="shared" si="0"/>
        <v>0.59629659516111366</v>
      </c>
      <c r="I17">
        <f t="shared" si="1"/>
        <v>1.0548217704228633</v>
      </c>
      <c r="J17">
        <f t="shared" si="2"/>
        <v>6.4238645818752369</v>
      </c>
      <c r="K17">
        <f t="shared" si="3"/>
        <v>-1.811089802715915E-2</v>
      </c>
      <c r="L17">
        <f t="shared" si="4"/>
        <v>6.7292684682902335</v>
      </c>
      <c r="M17">
        <f t="shared" si="5"/>
        <v>2.745295678614033</v>
      </c>
      <c r="N17">
        <f t="shared" si="6"/>
        <v>6.3367968793561378</v>
      </c>
      <c r="O17">
        <f t="shared" si="7"/>
        <v>3.0954334823348502</v>
      </c>
      <c r="P17">
        <f t="shared" si="8"/>
        <v>257.95024817587756</v>
      </c>
      <c r="Q17">
        <f t="shared" si="9"/>
        <v>61.551597504437787</v>
      </c>
      <c r="R17">
        <f t="shared" si="10"/>
        <v>290.89220750984873</v>
      </c>
      <c r="S17">
        <f t="shared" si="11"/>
        <v>151.31803283398759</v>
      </c>
      <c r="T17">
        <f t="shared" si="12"/>
        <v>45.080617837452195</v>
      </c>
      <c r="U17">
        <f t="shared" si="13"/>
        <v>9.5889663365059157</v>
      </c>
      <c r="V17">
        <f t="shared" si="14"/>
        <v>290.95362093628728</v>
      </c>
      <c r="W17">
        <f t="shared" si="15"/>
        <v>151.193519882353</v>
      </c>
      <c r="X17">
        <f t="shared" si="16"/>
        <v>45.209811195101253</v>
      </c>
      <c r="Y17">
        <f t="shared" si="17"/>
        <v>3.31311356784596E-2</v>
      </c>
      <c r="Z17">
        <f t="shared" si="18"/>
        <v>6.1413426438548413E-2</v>
      </c>
      <c r="AA17">
        <f t="shared" si="19"/>
        <v>-0.12451295163458553</v>
      </c>
      <c r="AB17">
        <f t="shared" si="20"/>
        <v>0.12919335764905782</v>
      </c>
      <c r="AC17">
        <f t="shared" si="21"/>
        <v>3.7063679883661493E-2</v>
      </c>
      <c r="AD17">
        <f t="shared" si="22"/>
        <v>197.78022023366444</v>
      </c>
      <c r="AE17">
        <f t="shared" si="23"/>
        <v>55.077906927847607</v>
      </c>
      <c r="AF17">
        <f t="shared" si="24"/>
        <v>52.643909058809065</v>
      </c>
      <c r="AG17">
        <f t="shared" si="25"/>
        <v>53.86090799332834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v>0.69099551507292445</v>
      </c>
      <c r="H18">
        <f t="shared" si="0"/>
        <v>0.59578732620634256</v>
      </c>
      <c r="I18">
        <f t="shared" si="1"/>
        <v>1.0575290147711376</v>
      </c>
      <c r="J18">
        <f t="shared" si="2"/>
        <v>6.4403516999562278</v>
      </c>
      <c r="K18">
        <f t="shared" si="3"/>
        <v>-1.8997021495983368E-2</v>
      </c>
      <c r="L18">
        <f t="shared" si="4"/>
        <v>6.7497920336024739</v>
      </c>
      <c r="M18">
        <f t="shared" si="5"/>
        <v>2.7462214410181254</v>
      </c>
      <c r="N18">
        <f t="shared" si="6"/>
        <v>6.3547393743647751</v>
      </c>
      <c r="O18">
        <f t="shared" si="7"/>
        <v>3.1015312006660096</v>
      </c>
      <c r="P18">
        <f t="shared" si="8"/>
        <v>260.07887120192123</v>
      </c>
      <c r="Q18">
        <f t="shared" si="9"/>
        <v>61.952936055506342</v>
      </c>
      <c r="R18">
        <f t="shared" si="10"/>
        <v>293.42044302178613</v>
      </c>
      <c r="S18">
        <f t="shared" si="11"/>
        <v>152.843785000841</v>
      </c>
      <c r="T18">
        <f t="shared" si="12"/>
        <v>45.282150145573894</v>
      </c>
      <c r="U18">
        <f t="shared" si="13"/>
        <v>10.098273871162789</v>
      </c>
      <c r="V18">
        <f t="shared" si="14"/>
        <v>293.5324423346496</v>
      </c>
      <c r="W18">
        <f t="shared" si="15"/>
        <v>152.65375197130425</v>
      </c>
      <c r="X18">
        <f t="shared" si="16"/>
        <v>45.387791029091439</v>
      </c>
      <c r="Y18">
        <f t="shared" si="17"/>
        <v>-1.7137264848239298E-2</v>
      </c>
      <c r="Z18">
        <f t="shared" si="18"/>
        <v>0.11199931286347464</v>
      </c>
      <c r="AA18">
        <f t="shared" si="19"/>
        <v>-0.19003302953674961</v>
      </c>
      <c r="AB18">
        <f t="shared" si="20"/>
        <v>0.10564088351754464</v>
      </c>
      <c r="AC18">
        <f t="shared" si="21"/>
        <v>6.0110080513651756E-2</v>
      </c>
      <c r="AD18">
        <f t="shared" si="22"/>
        <v>199.61331542575272</v>
      </c>
      <c r="AE18">
        <f t="shared" si="23"/>
        <v>55.408412690123939</v>
      </c>
      <c r="AF18">
        <f t="shared" si="24"/>
        <v>52.915488660392064</v>
      </c>
      <c r="AG18">
        <f t="shared" si="25"/>
        <v>54.161950675257998</v>
      </c>
      <c r="AH18" t="s">
        <v>79</v>
      </c>
      <c r="AI18">
        <f>SUM(AC4:AC25)</f>
        <v>1.2627223222133397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6.3968163722130891</v>
      </c>
      <c r="O19">
        <f t="shared" si="7"/>
        <v>3.1197831836198127</v>
      </c>
      <c r="P19">
        <f t="shared" si="8"/>
        <v>260.93136376633134</v>
      </c>
      <c r="Q19">
        <f t="shared" si="9"/>
        <v>62.065083175384238</v>
      </c>
      <c r="R19">
        <f t="shared" si="10"/>
        <v>294.75000323850139</v>
      </c>
      <c r="S19">
        <f t="shared" si="11"/>
        <v>153.71051715164791</v>
      </c>
      <c r="T19">
        <f t="shared" si="12"/>
        <v>45.155763439299221</v>
      </c>
      <c r="U19">
        <f t="shared" si="13"/>
        <v>8.1518311898656997</v>
      </c>
      <c r="V19">
        <f t="shared" si="14"/>
        <v>283.63615386252218</v>
      </c>
      <c r="W19">
        <f t="shared" si="15"/>
        <v>147.06039048470055</v>
      </c>
      <c r="X19">
        <f t="shared" si="16"/>
        <v>44.690629264008791</v>
      </c>
      <c r="Y19">
        <f t="shared" si="17"/>
        <v>-2.4801115786224575</v>
      </c>
      <c r="Z19">
        <f t="shared" si="18"/>
        <v>-11.113849375979214</v>
      </c>
      <c r="AA19">
        <f t="shared" si="19"/>
        <v>-6.650126666947358</v>
      </c>
      <c r="AB19">
        <f t="shared" si="20"/>
        <v>-0.46513417529043011</v>
      </c>
      <c r="AC19">
        <f t="shared" si="21"/>
        <v>0</v>
      </c>
      <c r="AD19">
        <f t="shared" si="22"/>
        <v>192.58564494397442</v>
      </c>
      <c r="AE19">
        <f t="shared" si="23"/>
        <v>54.129530233969604</v>
      </c>
      <c r="AF19">
        <f t="shared" si="24"/>
        <v>51.858645069121593</v>
      </c>
      <c r="AG19">
        <f t="shared" si="25"/>
        <v>52.994087651545598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6.4022352114169472</v>
      </c>
      <c r="O20">
        <f t="shared" si="7"/>
        <v>3.1211612083256832</v>
      </c>
      <c r="P20">
        <f t="shared" si="8"/>
        <v>262.18316864676535</v>
      </c>
      <c r="Q20">
        <f t="shared" si="9"/>
        <v>62.312325267351319</v>
      </c>
      <c r="R20">
        <f t="shared" si="10"/>
        <v>296.79775959233848</v>
      </c>
      <c r="S20">
        <f t="shared" si="11"/>
        <v>154.86581358484926</v>
      </c>
      <c r="T20">
        <f t="shared" si="12"/>
        <v>45.005029794564763</v>
      </c>
      <c r="U20">
        <f t="shared" si="13"/>
        <v>8.7507442812904266</v>
      </c>
      <c r="V20">
        <f t="shared" si="14"/>
        <v>286.6930520882953</v>
      </c>
      <c r="W20">
        <f t="shared" si="15"/>
        <v>148.78516098526725</v>
      </c>
      <c r="X20">
        <f t="shared" si="16"/>
        <v>44.910073003144731</v>
      </c>
      <c r="Y20">
        <f t="shared" si="17"/>
        <v>-2.1825086061427523</v>
      </c>
      <c r="Z20">
        <f t="shared" si="18"/>
        <v>-10.104707504043176</v>
      </c>
      <c r="AA20">
        <f t="shared" si="19"/>
        <v>-6.0806525995820095</v>
      </c>
      <c r="AB20">
        <f t="shared" si="20"/>
        <v>-9.495679142003155E-2</v>
      </c>
      <c r="AC20">
        <f t="shared" si="21"/>
        <v>0</v>
      </c>
      <c r="AD20">
        <f t="shared" si="22"/>
        <v>194.75445801960996</v>
      </c>
      <c r="AE20">
        <f t="shared" si="23"/>
        <v>54.527622022492451</v>
      </c>
      <c r="AF20">
        <f t="shared" si="24"/>
        <v>52.189329139571598</v>
      </c>
      <c r="AG20">
        <f t="shared" si="25"/>
        <v>53.358475581032025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6.4041211209263107</v>
      </c>
      <c r="O21">
        <f t="shared" si="7"/>
        <v>3.1211941465115332</v>
      </c>
      <c r="P21">
        <f t="shared" si="8"/>
        <v>263.15101968492144</v>
      </c>
      <c r="Q21">
        <f t="shared" si="9"/>
        <v>62.506840945215096</v>
      </c>
      <c r="R21">
        <f t="shared" si="10"/>
        <v>300.04803489689095</v>
      </c>
      <c r="S21">
        <f t="shared" si="11"/>
        <v>156.58584540047599</v>
      </c>
      <c r="T21">
        <f t="shared" si="12"/>
        <v>44.05833333923033</v>
      </c>
      <c r="U21">
        <f t="shared" si="13"/>
        <v>9.3570214295452061</v>
      </c>
      <c r="V21">
        <f t="shared" si="14"/>
        <v>289.77672511135643</v>
      </c>
      <c r="W21">
        <f t="shared" si="15"/>
        <v>150.52774252910896</v>
      </c>
      <c r="X21">
        <f t="shared" si="16"/>
        <v>45.127724412220665</v>
      </c>
      <c r="Y21">
        <f t="shared" si="17"/>
        <v>-1.7914529714201084</v>
      </c>
      <c r="Z21">
        <f t="shared" si="18"/>
        <v>-10.271309785534527</v>
      </c>
      <c r="AA21">
        <f t="shared" si="19"/>
        <v>-6.0581028713670264</v>
      </c>
      <c r="AB21">
        <f t="shared" si="20"/>
        <v>1.0693910729903351</v>
      </c>
      <c r="AC21">
        <f t="shared" si="21"/>
        <v>0</v>
      </c>
      <c r="AD21">
        <f t="shared" si="22"/>
        <v>196.94407005652479</v>
      </c>
      <c r="AE21">
        <f t="shared" si="23"/>
        <v>54.926431163781899</v>
      </c>
      <c r="AF21">
        <f t="shared" si="24"/>
        <v>52.519074835518509</v>
      </c>
      <c r="AG21">
        <f t="shared" si="25"/>
        <v>53.722752999650204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6.4126842031252895</v>
      </c>
      <c r="O22">
        <f t="shared" si="7"/>
        <v>3.1237648939620182</v>
      </c>
      <c r="P22">
        <f t="shared" si="8"/>
        <v>264.67413638231147</v>
      </c>
      <c r="Q22">
        <f t="shared" si="9"/>
        <v>62.8041695961549</v>
      </c>
      <c r="R22">
        <f t="shared" si="10"/>
        <v>302.14734131537085</v>
      </c>
      <c r="S22">
        <f t="shared" si="11"/>
        <v>157.80239965653138</v>
      </c>
      <c r="T22">
        <f t="shared" si="12"/>
        <v>44.067567129625218</v>
      </c>
      <c r="U22">
        <f t="shared" si="13"/>
        <v>9.9707426114497135</v>
      </c>
      <c r="V22">
        <f t="shared" si="14"/>
        <v>292.88739676931908</v>
      </c>
      <c r="W22">
        <f t="shared" si="15"/>
        <v>152.28832418767638</v>
      </c>
      <c r="X22">
        <f t="shared" si="16"/>
        <v>45.343515608760164</v>
      </c>
      <c r="Y22">
        <f t="shared" si="17"/>
        <v>-1.5651305138734823</v>
      </c>
      <c r="Z22">
        <f t="shared" si="18"/>
        <v>-9.25994454605177</v>
      </c>
      <c r="AA22">
        <f t="shared" si="19"/>
        <v>-5.5140754688549976</v>
      </c>
      <c r="AB22">
        <f t="shared" si="20"/>
        <v>1.2759484791349465</v>
      </c>
      <c r="AC22">
        <f t="shared" si="21"/>
        <v>0</v>
      </c>
      <c r="AD22">
        <f t="shared" si="22"/>
        <v>199.15468171489064</v>
      </c>
      <c r="AE22">
        <f t="shared" si="23"/>
        <v>55.325923881584643</v>
      </c>
      <c r="AF22">
        <f t="shared" si="24"/>
        <v>52.847809997524486</v>
      </c>
      <c r="AG22">
        <f t="shared" si="25"/>
        <v>54.086866939554568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6.4263842022349333</v>
      </c>
      <c r="O23">
        <f t="shared" si="7"/>
        <v>3.1281403488540591</v>
      </c>
      <c r="P23">
        <f t="shared" si="8"/>
        <v>266.63206572625973</v>
      </c>
      <c r="Q23">
        <f t="shared" si="9"/>
        <v>63.175903979079443</v>
      </c>
      <c r="R23">
        <f t="shared" si="10"/>
        <v>304.87301458741479</v>
      </c>
      <c r="S23">
        <f t="shared" si="11"/>
        <v>159.40073219867838</v>
      </c>
      <c r="T23">
        <f t="shared" si="12"/>
        <v>44.055429548501905</v>
      </c>
      <c r="U23">
        <f t="shared" si="13"/>
        <v>10.591988677497163</v>
      </c>
      <c r="V23">
        <f t="shared" si="14"/>
        <v>296.02529267029882</v>
      </c>
      <c r="W23">
        <f t="shared" si="15"/>
        <v>154.06709717111576</v>
      </c>
      <c r="X23">
        <f t="shared" si="16"/>
        <v>45.557377335771008</v>
      </c>
      <c r="Y23">
        <f t="shared" si="17"/>
        <v>-1.4604160803031885</v>
      </c>
      <c r="Z23">
        <f t="shared" si="18"/>
        <v>-8.8477219171159618</v>
      </c>
      <c r="AA23">
        <f t="shared" si="19"/>
        <v>-5.3336350275626216</v>
      </c>
      <c r="AB23">
        <f t="shared" si="20"/>
        <v>1.5019477872691027</v>
      </c>
      <c r="AC23">
        <f t="shared" si="21"/>
        <v>0</v>
      </c>
      <c r="AD23">
        <f t="shared" si="22"/>
        <v>201.38649567084346</v>
      </c>
      <c r="AE23">
        <f t="shared" si="23"/>
        <v>55.726065501299217</v>
      </c>
      <c r="AF23">
        <f t="shared" si="24"/>
        <v>53.175460603675262</v>
      </c>
      <c r="AG23">
        <f t="shared" si="25"/>
        <v>54.45076305248724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6.4301195190031191</v>
      </c>
      <c r="O24">
        <f t="shared" si="7"/>
        <v>3.1286544950355637</v>
      </c>
      <c r="P24">
        <f t="shared" si="8"/>
        <v>267.77232939714412</v>
      </c>
      <c r="Q24">
        <f t="shared" si="9"/>
        <v>63.393220743385484</v>
      </c>
      <c r="R24">
        <f t="shared" si="10"/>
        <v>307.01945874754944</v>
      </c>
      <c r="S24">
        <f t="shared" si="11"/>
        <v>160.60945258557581</v>
      </c>
      <c r="T24">
        <f t="shared" si="12"/>
        <v>43.769656068182826</v>
      </c>
      <c r="U24">
        <f t="shared" si="13"/>
        <v>11.220841361766206</v>
      </c>
      <c r="V24">
        <f t="shared" si="14"/>
        <v>299.19064020439953</v>
      </c>
      <c r="W24">
        <f t="shared" si="15"/>
        <v>155.86425485429876</v>
      </c>
      <c r="X24">
        <f t="shared" si="16"/>
        <v>45.76923893705375</v>
      </c>
      <c r="Y24">
        <f t="shared" si="17"/>
        <v>-1.0898292122727238</v>
      </c>
      <c r="Z24">
        <f t="shared" si="18"/>
        <v>-7.8288185431499073</v>
      </c>
      <c r="AA24">
        <f t="shared" si="19"/>
        <v>-4.7451977312770452</v>
      </c>
      <c r="AB24">
        <f t="shared" si="20"/>
        <v>1.9995828688709238</v>
      </c>
      <c r="AC24">
        <f t="shared" si="21"/>
        <v>0</v>
      </c>
      <c r="AD24">
        <f t="shared" si="22"/>
        <v>203.63971663766566</v>
      </c>
      <c r="AE24">
        <f t="shared" si="23"/>
        <v>56.126820432252408</v>
      </c>
      <c r="AF24">
        <f t="shared" si="24"/>
        <v>53.501950725425147</v>
      </c>
      <c r="AG24">
        <f t="shared" si="25"/>
        <v>54.814385578838781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v>1.1736625271145049</v>
      </c>
      <c r="H25">
        <f t="shared" si="0"/>
        <v>1.0119505027819666</v>
      </c>
      <c r="I25">
        <f t="shared" si="1"/>
        <v>0.2158182972203159</v>
      </c>
      <c r="J25">
        <f t="shared" si="2"/>
        <v>1.3143334300717238</v>
      </c>
      <c r="K25">
        <f t="shared" si="3"/>
        <v>0.3201009601469138</v>
      </c>
      <c r="L25">
        <f t="shared" si="4"/>
        <v>11.751566209153317</v>
      </c>
      <c r="M25">
        <f t="shared" si="5"/>
        <v>4.6313520618781601</v>
      </c>
      <c r="N25">
        <f t="shared" si="6"/>
        <v>10.953955709360439</v>
      </c>
      <c r="O25">
        <f t="shared" si="7"/>
        <v>5.3281479555998859</v>
      </c>
      <c r="P25">
        <f t="shared" si="8"/>
        <v>157.70574541642708</v>
      </c>
      <c r="Q25">
        <f t="shared" si="9"/>
        <v>37.312822876574195</v>
      </c>
      <c r="R25">
        <f t="shared" si="10"/>
        <v>181.50853765799607</v>
      </c>
      <c r="S25">
        <f t="shared" si="11"/>
        <v>94.981495784063156</v>
      </c>
      <c r="T25">
        <f t="shared" si="12"/>
        <v>25.411426755789691</v>
      </c>
      <c r="U25">
        <f t="shared" si="13"/>
        <v>-13.36823267379639</v>
      </c>
      <c r="V25">
        <f t="shared" si="14"/>
        <v>-28.75274199555728</v>
      </c>
      <c r="W25">
        <f t="shared" si="15"/>
        <v>-10.82477657273931</v>
      </c>
      <c r="X25">
        <f t="shared" si="16"/>
        <v>-7.3889266738123203</v>
      </c>
      <c r="Y25">
        <f t="shared" si="17"/>
        <v>-25.851080458661038</v>
      </c>
      <c r="Z25">
        <f t="shared" si="18"/>
        <v>-210.26127965355334</v>
      </c>
      <c r="AA25">
        <f t="shared" si="19"/>
        <v>-105.80627235680247</v>
      </c>
      <c r="AB25">
        <f t="shared" si="20"/>
        <v>-32.800353429602012</v>
      </c>
      <c r="AC25">
        <f t="shared" si="21"/>
        <v>0</v>
      </c>
      <c r="AD25">
        <f t="shared" si="22"/>
        <v>-16.800765047011968</v>
      </c>
      <c r="AE25">
        <f t="shared" si="23"/>
        <v>-8.0189490888509845</v>
      </c>
      <c r="AF25">
        <f t="shared" si="24"/>
        <v>-7.9475073799870701</v>
      </c>
      <c r="AG25">
        <f t="shared" si="25"/>
        <v>-7.9832282344190268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260C-3751-4860-911E-07FF206B1835}">
  <dimension ref="A3:AM25"/>
  <sheetViews>
    <sheetView workbookViewId="0"/>
  </sheetViews>
  <sheetFormatPr defaultRowHeight="15" x14ac:dyDescent="0.25"/>
  <sheetData>
    <row r="3" spans="1:39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I3" t="s">
        <v>67</v>
      </c>
      <c r="AL3" t="s">
        <v>80</v>
      </c>
    </row>
    <row r="4" spans="1:39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5.9552663945054363</v>
      </c>
      <c r="O4">
        <f t="shared" ref="O4:O25" si="7">2*H4/F4</f>
        <v>2.8978863432718183</v>
      </c>
      <c r="P4">
        <f t="shared" ref="P4:P25" si="8">J4*N4^2</f>
        <v>215.98305478181197</v>
      </c>
      <c r="Q4">
        <f t="shared" ref="Q4:Q25" si="9">J4*O4^2</f>
        <v>51.142268624394774</v>
      </c>
      <c r="R4">
        <f t="shared" ref="R4:R25" si="10">3*Q4+S4-T4</f>
        <v>225.76901936492774</v>
      </c>
      <c r="S4">
        <f t="shared" ref="S4:S25" si="11">P4-Q4-T4</f>
        <v>118.59149982458032</v>
      </c>
      <c r="T4">
        <f t="shared" ref="T4:T25" si="12">J4*M4^2</f>
        <v>46.249286332836874</v>
      </c>
      <c r="U4">
        <f t="shared" ref="U4:U25" si="13">-3*$AI$11*((1-2*K4)^2.5)*(1+1.5*(4-$AI$12)*K4)*K4</f>
        <v>0</v>
      </c>
      <c r="V4">
        <f t="shared" ref="V4:V25" si="14">((1-2*K4)^3.5)*($AI$4-$AI$14*K4)+3*U4</f>
        <v>229.36894694914798</v>
      </c>
      <c r="W4">
        <f t="shared" ref="W4:W25" si="15">((1-2*K4)^3.5)*($AI$5-$AI$15*K4)+1*U4</f>
        <v>117.43415201851467</v>
      </c>
      <c r="X4">
        <f t="shared" ref="X4:X25" si="16">((1-2*K4)^3.5)*($AI$6-$AI$16*K4)+1*U4</f>
        <v>46.816589236147337</v>
      </c>
      <c r="Y4">
        <f t="shared" ref="Y4:Y25" si="17">U4-B4</f>
        <v>0</v>
      </c>
      <c r="Z4">
        <f t="shared" ref="Z4:Z25" si="18">V4-R4</f>
        <v>3.5999275842202394</v>
      </c>
      <c r="AA4">
        <f t="shared" ref="AA4:AA25" si="19">W4-S4</f>
        <v>-1.1573478060656583</v>
      </c>
      <c r="AB4">
        <f t="shared" ref="AB4:AB25" si="20">X4-T4</f>
        <v>0.56730290331046263</v>
      </c>
      <c r="AC4">
        <f t="shared" ref="AC4:AC25" si="21">IF(AND(A4&gt;=CutoffLowBar,A4&lt;=CutoffOilBar),Y4^2+Z4^2+AA4^2+AB4^2,0)</f>
        <v>0</v>
      </c>
      <c r="AD4">
        <f t="shared" ref="AD4:AD25" si="22">(V4+2*W4)/3</f>
        <v>154.74575032872576</v>
      </c>
      <c r="AE4">
        <f t="shared" ref="AE4:AE25" si="23">(V4-W4+3*X4)/5</f>
        <v>50.476912527815067</v>
      </c>
      <c r="AF4">
        <f t="shared" ref="AF4:AF25" si="24">5*(V4-W4)*X4/(3*(V4-W4)+4*X4)</f>
        <v>50.092701592357848</v>
      </c>
      <c r="AG4">
        <f t="shared" ref="AG4:AG25" si="25">(AE4+AF4)/2</f>
        <v>50.284807060086457</v>
      </c>
      <c r="AH4" t="s">
        <v>68</v>
      </c>
      <c r="AI4">
        <v>229.36894694914798</v>
      </c>
      <c r="AL4" t="s">
        <v>68</v>
      </c>
      <c r="AM4">
        <f>$AI$4</f>
        <v>229.36894694914798</v>
      </c>
    </row>
    <row r="5" spans="1:39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5.955953210668044</v>
      </c>
      <c r="O5">
        <f t="shared" si="7"/>
        <v>2.8992901876863018</v>
      </c>
      <c r="P5">
        <f t="shared" si="8"/>
        <v>216.69178017533224</v>
      </c>
      <c r="Q5">
        <f t="shared" si="9"/>
        <v>51.347967096069596</v>
      </c>
      <c r="R5">
        <f t="shared" si="10"/>
        <v>225.44191782338692</v>
      </c>
      <c r="S5">
        <f t="shared" si="11"/>
        <v>118.3709148072204</v>
      </c>
      <c r="T5">
        <f t="shared" si="12"/>
        <v>46.972898272042251</v>
      </c>
      <c r="U5">
        <f t="shared" si="13"/>
        <v>0.47425848210916244</v>
      </c>
      <c r="V5">
        <f t="shared" si="14"/>
        <v>232.19167563276019</v>
      </c>
      <c r="W5">
        <f t="shared" si="15"/>
        <v>118.9823116372997</v>
      </c>
      <c r="X5">
        <f t="shared" si="16"/>
        <v>46.93365882452931</v>
      </c>
      <c r="Y5">
        <f t="shared" si="17"/>
        <v>0.34512557398988708</v>
      </c>
      <c r="Z5">
        <f t="shared" si="18"/>
        <v>6.7497578093732784</v>
      </c>
      <c r="AA5">
        <f t="shared" si="19"/>
        <v>0.61139683007930046</v>
      </c>
      <c r="AB5">
        <f t="shared" si="20"/>
        <v>-3.9239447512940728E-2</v>
      </c>
      <c r="AC5">
        <f t="shared" si="21"/>
        <v>0</v>
      </c>
      <c r="AD5">
        <f t="shared" si="22"/>
        <v>156.71876630245319</v>
      </c>
      <c r="AE5">
        <f t="shared" si="23"/>
        <v>50.80206809380968</v>
      </c>
      <c r="AF5">
        <f t="shared" si="24"/>
        <v>50.376423954574335</v>
      </c>
      <c r="AG5">
        <f t="shared" si="25"/>
        <v>50.589246024192008</v>
      </c>
      <c r="AH5" t="s">
        <v>69</v>
      </c>
      <c r="AI5">
        <v>117.43415201851467</v>
      </c>
      <c r="AL5" t="s">
        <v>69</v>
      </c>
      <c r="AM5">
        <f>$AI$5</f>
        <v>117.43415201851467</v>
      </c>
    </row>
    <row r="6" spans="1:39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6.0366079447998739</v>
      </c>
      <c r="O6">
        <f t="shared" si="7"/>
        <v>2.9511670389439613</v>
      </c>
      <c r="P6">
        <f t="shared" si="8"/>
        <v>223.27996675397867</v>
      </c>
      <c r="Q6">
        <f t="shared" si="9"/>
        <v>53.364371670910479</v>
      </c>
      <c r="R6">
        <f t="shared" si="10"/>
        <v>235.4461231508923</v>
      </c>
      <c r="S6">
        <f t="shared" si="11"/>
        <v>122.63430161061453</v>
      </c>
      <c r="T6">
        <f t="shared" si="12"/>
        <v>47.281293472453648</v>
      </c>
      <c r="U6">
        <f t="shared" si="13"/>
        <v>0.95504591358934954</v>
      </c>
      <c r="V6">
        <f t="shared" si="14"/>
        <v>235.04324556980163</v>
      </c>
      <c r="W6">
        <f t="shared" si="15"/>
        <v>120.54793485703821</v>
      </c>
      <c r="X6">
        <f t="shared" si="16"/>
        <v>47.047991206837757</v>
      </c>
      <c r="Y6">
        <f t="shared" si="17"/>
        <v>-0.68063758925495244</v>
      </c>
      <c r="Z6">
        <f t="shared" si="18"/>
        <v>-0.40287758109067795</v>
      </c>
      <c r="AA6">
        <f t="shared" si="19"/>
        <v>-2.0863667535763142</v>
      </c>
      <c r="AB6">
        <f t="shared" si="20"/>
        <v>-0.23330226561589029</v>
      </c>
      <c r="AC6">
        <f t="shared" si="21"/>
        <v>0</v>
      </c>
      <c r="AD6">
        <f t="shared" si="22"/>
        <v>158.71303842795933</v>
      </c>
      <c r="AE6">
        <f t="shared" si="23"/>
        <v>51.127856866655335</v>
      </c>
      <c r="AF6">
        <f t="shared" si="24"/>
        <v>50.658250064384006</v>
      </c>
      <c r="AG6">
        <f t="shared" si="25"/>
        <v>50.893053465519671</v>
      </c>
      <c r="AH6" t="s">
        <v>70</v>
      </c>
      <c r="AI6">
        <v>46.816589236147337</v>
      </c>
      <c r="AL6" t="s">
        <v>70</v>
      </c>
      <c r="AM6">
        <f>$AI$6</f>
        <v>46.816589236147337</v>
      </c>
    </row>
    <row r="7" spans="1:39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6.0813271227214161</v>
      </c>
      <c r="O7">
        <f t="shared" si="7"/>
        <v>2.9792758861095754</v>
      </c>
      <c r="P7">
        <f t="shared" si="8"/>
        <v>227.29287831218113</v>
      </c>
      <c r="Q7">
        <f t="shared" si="9"/>
        <v>54.551982823819927</v>
      </c>
      <c r="R7">
        <f t="shared" si="10"/>
        <v>241.73801990220772</v>
      </c>
      <c r="S7">
        <f t="shared" si="11"/>
        <v>125.41148345955457</v>
      </c>
      <c r="T7">
        <f t="shared" si="12"/>
        <v>47.329412028806644</v>
      </c>
      <c r="U7">
        <f t="shared" si="13"/>
        <v>1.4424407972685898</v>
      </c>
      <c r="V7">
        <f t="shared" si="14"/>
        <v>237.92395514013441</v>
      </c>
      <c r="W7">
        <f t="shared" si="15"/>
        <v>122.13122286292806</v>
      </c>
      <c r="X7">
        <f t="shared" si="16"/>
        <v>47.159514811333402</v>
      </c>
      <c r="Y7">
        <f t="shared" si="17"/>
        <v>-1.054128759704307</v>
      </c>
      <c r="Z7">
        <f t="shared" si="18"/>
        <v>-3.8140647620733148</v>
      </c>
      <c r="AA7">
        <f t="shared" si="19"/>
        <v>-3.280260596626519</v>
      </c>
      <c r="AB7">
        <f t="shared" si="20"/>
        <v>-0.16989721747324182</v>
      </c>
      <c r="AC7">
        <f t="shared" si="21"/>
        <v>0</v>
      </c>
      <c r="AD7">
        <f t="shared" si="22"/>
        <v>160.72880028866351</v>
      </c>
      <c r="AE7">
        <f t="shared" si="23"/>
        <v>51.454255342241311</v>
      </c>
      <c r="AF7">
        <f t="shared" si="24"/>
        <v>50.938091997789257</v>
      </c>
      <c r="AG7">
        <f t="shared" si="25"/>
        <v>51.196173670015284</v>
      </c>
      <c r="AH7" t="s">
        <v>71</v>
      </c>
      <c r="AI7">
        <v>5.9623945419465212</v>
      </c>
      <c r="AL7" t="s">
        <v>71</v>
      </c>
      <c r="AM7">
        <f>$AI$7</f>
        <v>5.9623945419465212</v>
      </c>
    </row>
    <row r="8" spans="1:39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v>0.69915811099245839</v>
      </c>
      <c r="H8">
        <f t="shared" si="0"/>
        <v>0.60282524626764522</v>
      </c>
      <c r="I8">
        <f t="shared" si="1"/>
        <v>1.0209201521163791</v>
      </c>
      <c r="J8">
        <f t="shared" si="2"/>
        <v>6.2174037263887483</v>
      </c>
      <c r="K8">
        <f t="shared" si="3"/>
        <v>-6.9492933436228199E-3</v>
      </c>
      <c r="L8">
        <f t="shared" si="4"/>
        <v>6.4573717810056213</v>
      </c>
      <c r="M8">
        <f t="shared" si="5"/>
        <v>2.7676625089870619</v>
      </c>
      <c r="N8">
        <f t="shared" si="6"/>
        <v>6.1115701721674283</v>
      </c>
      <c r="O8">
        <f t="shared" si="7"/>
        <v>2.999231111406667</v>
      </c>
      <c r="P8">
        <f t="shared" si="8"/>
        <v>232.22804944071794</v>
      </c>
      <c r="Q8">
        <f t="shared" si="9"/>
        <v>55.927954268331391</v>
      </c>
      <c r="R8">
        <f t="shared" si="10"/>
        <v>248.83388295956789</v>
      </c>
      <c r="S8">
        <f t="shared" si="11"/>
        <v>128.67505766348015</v>
      </c>
      <c r="T8">
        <f t="shared" si="12"/>
        <v>47.625037508906388</v>
      </c>
      <c r="U8">
        <f t="shared" si="13"/>
        <v>3.3451812029693762</v>
      </c>
      <c r="V8">
        <f t="shared" si="14"/>
        <v>249.07750297789693</v>
      </c>
      <c r="W8">
        <f t="shared" si="15"/>
        <v>128.27696211353086</v>
      </c>
      <c r="X8">
        <f t="shared" si="16"/>
        <v>47.554280541955229</v>
      </c>
      <c r="Y8">
        <f t="shared" si="17"/>
        <v>-9.8363013544974454E-2</v>
      </c>
      <c r="Z8">
        <f t="shared" si="18"/>
        <v>0.24362001832903957</v>
      </c>
      <c r="AA8">
        <f t="shared" si="19"/>
        <v>-0.39809554994928931</v>
      </c>
      <c r="AB8">
        <f t="shared" si="20"/>
        <v>-7.0756966951158518E-2</v>
      </c>
      <c r="AC8">
        <f t="shared" si="21"/>
        <v>0.23251261102584481</v>
      </c>
      <c r="AD8">
        <f t="shared" si="22"/>
        <v>168.54380906831955</v>
      </c>
      <c r="AE8">
        <f t="shared" si="23"/>
        <v>52.692676498046353</v>
      </c>
      <c r="AF8">
        <f t="shared" si="24"/>
        <v>51.976003929881941</v>
      </c>
      <c r="AG8">
        <f t="shared" si="25"/>
        <v>52.334340213964147</v>
      </c>
      <c r="AH8" t="s">
        <v>72</v>
      </c>
      <c r="AI8">
        <v>3.268426974302046</v>
      </c>
      <c r="AL8" t="s">
        <v>72</v>
      </c>
      <c r="AM8">
        <f>$AI$8</f>
        <v>3.268426974302046</v>
      </c>
    </row>
    <row r="9" spans="1:39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v>0.69762208129119063</v>
      </c>
      <c r="H9">
        <f t="shared" si="0"/>
        <v>0.60150085702237599</v>
      </c>
      <c r="I9">
        <f t="shared" si="1"/>
        <v>1.0276786208381055</v>
      </c>
      <c r="J9">
        <f t="shared" si="2"/>
        <v>6.2585628009040617</v>
      </c>
      <c r="K9">
        <f t="shared" si="3"/>
        <v>-9.1841607724002516E-3</v>
      </c>
      <c r="L9">
        <f t="shared" si="4"/>
        <v>6.4971919450631797</v>
      </c>
      <c r="M9">
        <f t="shared" si="5"/>
        <v>2.7615820362727361</v>
      </c>
      <c r="N9">
        <f t="shared" si="6"/>
        <v>6.1509981234148992</v>
      </c>
      <c r="O9">
        <f t="shared" si="7"/>
        <v>3.0214851755632544</v>
      </c>
      <c r="P9">
        <f t="shared" si="8"/>
        <v>236.79133363461423</v>
      </c>
      <c r="Q9">
        <f t="shared" si="9"/>
        <v>57.136752163947406</v>
      </c>
      <c r="R9">
        <f t="shared" si="10"/>
        <v>255.60504059186516</v>
      </c>
      <c r="S9">
        <f t="shared" si="11"/>
        <v>131.92468278534486</v>
      </c>
      <c r="T9">
        <f t="shared" si="12"/>
        <v>47.729898685321963</v>
      </c>
      <c r="U9">
        <f t="shared" si="13"/>
        <v>4.4723541429269122</v>
      </c>
      <c r="V9">
        <f t="shared" si="14"/>
        <v>255.61910443399174</v>
      </c>
      <c r="W9">
        <f t="shared" si="15"/>
        <v>131.89276137107993</v>
      </c>
      <c r="X9">
        <f t="shared" si="16"/>
        <v>47.759004284129837</v>
      </c>
      <c r="Y9">
        <f t="shared" si="17"/>
        <v>3.8790964164635788E-2</v>
      </c>
      <c r="Z9">
        <f t="shared" si="18"/>
        <v>1.4063842126574855E-2</v>
      </c>
      <c r="AA9">
        <f t="shared" si="19"/>
        <v>-3.1921414264928671E-2</v>
      </c>
      <c r="AB9">
        <f t="shared" si="20"/>
        <v>2.9105598807873889E-2</v>
      </c>
      <c r="AC9">
        <f t="shared" si="21"/>
        <v>3.5686431268213809E-3</v>
      </c>
      <c r="AD9">
        <f t="shared" si="22"/>
        <v>173.13487572538386</v>
      </c>
      <c r="AE9">
        <f t="shared" si="23"/>
        <v>53.400671183060261</v>
      </c>
      <c r="AF9">
        <f t="shared" si="24"/>
        <v>52.551483520620678</v>
      </c>
      <c r="AG9">
        <f t="shared" si="25"/>
        <v>52.976077351840473</v>
      </c>
      <c r="AH9" t="s">
        <v>73</v>
      </c>
      <c r="AI9">
        <v>0.2514005183599427</v>
      </c>
      <c r="AL9" t="s">
        <v>73</v>
      </c>
      <c r="AM9">
        <f>$AI$9</f>
        <v>0.2514005183599427</v>
      </c>
    </row>
    <row r="10" spans="1:39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v>0.69662664747497149</v>
      </c>
      <c r="H10">
        <f t="shared" si="0"/>
        <v>0.60064257814958488</v>
      </c>
      <c r="I10">
        <f t="shared" si="1"/>
        <v>1.0320903751029284</v>
      </c>
      <c r="J10">
        <f t="shared" si="2"/>
        <v>6.2854303843768342</v>
      </c>
      <c r="K10">
        <f t="shared" si="3"/>
        <v>-1.0640382030638329E-2</v>
      </c>
      <c r="L10">
        <f t="shared" si="4"/>
        <v>6.5304956414710418</v>
      </c>
      <c r="M10">
        <f t="shared" si="5"/>
        <v>2.7576415472617213</v>
      </c>
      <c r="N10">
        <f t="shared" si="6"/>
        <v>6.1772398982048662</v>
      </c>
      <c r="O10">
        <f t="shared" si="7"/>
        <v>3.0347986073628368</v>
      </c>
      <c r="P10">
        <f t="shared" si="8"/>
        <v>239.84129272948758</v>
      </c>
      <c r="Q10">
        <f t="shared" si="9"/>
        <v>57.888830102099284</v>
      </c>
      <c r="R10">
        <f t="shared" si="10"/>
        <v>260.02274976987223</v>
      </c>
      <c r="S10">
        <f t="shared" si="11"/>
        <v>134.15436104548132</v>
      </c>
      <c r="T10">
        <f t="shared" si="12"/>
        <v>47.798101581906977</v>
      </c>
      <c r="U10">
        <f t="shared" si="13"/>
        <v>5.2204998319485476</v>
      </c>
      <c r="V10">
        <f t="shared" si="14"/>
        <v>259.93552409028609</v>
      </c>
      <c r="W10">
        <f t="shared" si="15"/>
        <v>134.28310451502708</v>
      </c>
      <c r="X10">
        <f t="shared" si="16"/>
        <v>47.883474311814382</v>
      </c>
      <c r="Y10">
        <f t="shared" si="17"/>
        <v>9.8227809883423944E-2</v>
      </c>
      <c r="Z10">
        <f t="shared" si="18"/>
        <v>-8.7225679586140359E-2</v>
      </c>
      <c r="AA10">
        <f t="shared" si="19"/>
        <v>0.12874346954575344</v>
      </c>
      <c r="AB10">
        <f t="shared" si="20"/>
        <v>8.5372729907405187E-2</v>
      </c>
      <c r="AC10">
        <f t="shared" si="21"/>
        <v>4.1120405776279199E-2</v>
      </c>
      <c r="AD10">
        <f t="shared" si="22"/>
        <v>176.16724437344678</v>
      </c>
      <c r="AE10">
        <f t="shared" si="23"/>
        <v>53.860568502140424</v>
      </c>
      <c r="AF10">
        <f t="shared" si="24"/>
        <v>52.91792441916747</v>
      </c>
      <c r="AG10">
        <f t="shared" si="25"/>
        <v>53.389246460653951</v>
      </c>
      <c r="AL10" t="s">
        <v>74</v>
      </c>
      <c r="AM10">
        <f>$AI$11</f>
        <v>154.74575032872576</v>
      </c>
    </row>
    <row r="11" spans="1:39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v>0.69582770984701814</v>
      </c>
      <c r="H11">
        <f t="shared" si="0"/>
        <v>0.59995372141639203</v>
      </c>
      <c r="I11">
        <f t="shared" si="1"/>
        <v>1.035649544783187</v>
      </c>
      <c r="J11">
        <f t="shared" si="2"/>
        <v>6.307105727729609</v>
      </c>
      <c r="K11">
        <f t="shared" si="3"/>
        <v>-1.1813672550136323E-2</v>
      </c>
      <c r="L11">
        <f t="shared" si="4"/>
        <v>6.572295389622365</v>
      </c>
      <c r="M11">
        <f t="shared" si="5"/>
        <v>2.7599416045846823</v>
      </c>
      <c r="N11">
        <f t="shared" si="6"/>
        <v>6.2019481662213609</v>
      </c>
      <c r="O11">
        <f t="shared" si="7"/>
        <v>3.046198156956498</v>
      </c>
      <c r="P11">
        <f t="shared" si="8"/>
        <v>242.59753051174326</v>
      </c>
      <c r="Q11">
        <f t="shared" si="9"/>
        <v>58.525672576360108</v>
      </c>
      <c r="R11">
        <f t="shared" si="10"/>
        <v>263.5629245372275</v>
      </c>
      <c r="S11">
        <f t="shared" si="11"/>
        <v>136.02888237176518</v>
      </c>
      <c r="T11">
        <f t="shared" si="12"/>
        <v>48.042975563617958</v>
      </c>
      <c r="U11">
        <f t="shared" si="13"/>
        <v>5.8312069274528513</v>
      </c>
      <c r="V11">
        <f t="shared" si="14"/>
        <v>263.44446192986612</v>
      </c>
      <c r="W11">
        <f t="shared" si="15"/>
        <v>136.22887967672804</v>
      </c>
      <c r="X11">
        <f t="shared" si="16"/>
        <v>47.978527710369228</v>
      </c>
      <c r="Y11">
        <f t="shared" si="17"/>
        <v>6.3270364791267575E-2</v>
      </c>
      <c r="Z11">
        <f t="shared" si="18"/>
        <v>-0.11846260736137992</v>
      </c>
      <c r="AA11">
        <f t="shared" si="19"/>
        <v>0.19999730496286361</v>
      </c>
      <c r="AB11">
        <f t="shared" si="20"/>
        <v>-6.4447853248729814E-2</v>
      </c>
      <c r="AC11">
        <f t="shared" si="21"/>
        <v>6.2188976184455021E-2</v>
      </c>
      <c r="AD11">
        <f t="shared" si="22"/>
        <v>178.6340737611074</v>
      </c>
      <c r="AE11">
        <f t="shared" si="23"/>
        <v>54.230233076849153</v>
      </c>
      <c r="AF11">
        <f t="shared" si="24"/>
        <v>53.208096904078715</v>
      </c>
      <c r="AG11">
        <f t="shared" si="25"/>
        <v>53.719164990463938</v>
      </c>
      <c r="AH11" t="s">
        <v>74</v>
      </c>
      <c r="AI11">
        <f>($AI$4+2*$AI$5)/3</f>
        <v>154.74575032872576</v>
      </c>
      <c r="AL11" t="s">
        <v>75</v>
      </c>
      <c r="AM11">
        <f>$AI$12</f>
        <v>4.1664161635168711</v>
      </c>
    </row>
    <row r="12" spans="1:39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v>0.69475268729869799</v>
      </c>
      <c r="H12">
        <f t="shared" si="0"/>
        <v>0.59902681987259898</v>
      </c>
      <c r="I12">
        <f t="shared" si="1"/>
        <v>1.0404645109737904</v>
      </c>
      <c r="J12">
        <f t="shared" si="2"/>
        <v>6.3364288718303836</v>
      </c>
      <c r="K12">
        <f t="shared" si="3"/>
        <v>-1.3398803294010331E-2</v>
      </c>
      <c r="L12">
        <f t="shared" si="4"/>
        <v>6.5932792098006079</v>
      </c>
      <c r="M12">
        <f t="shared" si="5"/>
        <v>2.755677618809198</v>
      </c>
      <c r="N12">
        <f t="shared" si="6"/>
        <v>6.2315278217406416</v>
      </c>
      <c r="O12">
        <f t="shared" si="7"/>
        <v>3.0584200447994268</v>
      </c>
      <c r="P12">
        <f t="shared" si="8"/>
        <v>246.05581938521021</v>
      </c>
      <c r="Q12">
        <f t="shared" si="9"/>
        <v>59.270532206290447</v>
      </c>
      <c r="R12">
        <f t="shared" si="10"/>
        <v>268.36225449207961</v>
      </c>
      <c r="S12">
        <f t="shared" si="11"/>
        <v>138.66797252606403</v>
      </c>
      <c r="T12">
        <f t="shared" si="12"/>
        <v>48.117314652855733</v>
      </c>
      <c r="U12">
        <f t="shared" si="13"/>
        <v>6.6675804218884069</v>
      </c>
      <c r="V12">
        <f t="shared" si="14"/>
        <v>268.22947042046331</v>
      </c>
      <c r="W12">
        <f t="shared" si="15"/>
        <v>138.88597829224864</v>
      </c>
      <c r="X12">
        <f t="shared" si="16"/>
        <v>48.099393487010261</v>
      </c>
      <c r="Y12">
        <f t="shared" si="17"/>
        <v>8.1802107804644031E-2</v>
      </c>
      <c r="Z12">
        <f t="shared" si="18"/>
        <v>-0.13278407161629957</v>
      </c>
      <c r="AA12">
        <f t="shared" si="19"/>
        <v>0.21800576618460354</v>
      </c>
      <c r="AB12">
        <f t="shared" si="20"/>
        <v>-1.7921165845471876E-2</v>
      </c>
      <c r="AC12">
        <f t="shared" si="21"/>
        <v>7.2170876791282118E-2</v>
      </c>
      <c r="AD12">
        <f t="shared" si="22"/>
        <v>182.00047566832018</v>
      </c>
      <c r="AE12">
        <f t="shared" si="23"/>
        <v>54.728334517849092</v>
      </c>
      <c r="AF12">
        <f t="shared" si="24"/>
        <v>53.592719367138713</v>
      </c>
      <c r="AG12">
        <f t="shared" si="25"/>
        <v>54.160526942493902</v>
      </c>
      <c r="AH12" t="s">
        <v>75</v>
      </c>
      <c r="AI12">
        <f>($AI$7+2*$AI$8)/3</f>
        <v>4.1664161635168711</v>
      </c>
      <c r="AL12" t="s">
        <v>81</v>
      </c>
      <c r="AM12">
        <f>AE4</f>
        <v>50.476912527815067</v>
      </c>
    </row>
    <row r="13" spans="1:39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v>0.6938477825552154</v>
      </c>
      <c r="H13">
        <f t="shared" si="0"/>
        <v>0.59824659660655644</v>
      </c>
      <c r="I13">
        <f t="shared" si="1"/>
        <v>1.0445406919978184</v>
      </c>
      <c r="J13">
        <f t="shared" si="2"/>
        <v>6.361252814266714</v>
      </c>
      <c r="K13">
        <f t="shared" si="3"/>
        <v>-1.4738808900125355E-2</v>
      </c>
      <c r="L13">
        <f t="shared" si="4"/>
        <v>6.6350655645316081</v>
      </c>
      <c r="M13">
        <f t="shared" si="5"/>
        <v>2.7499069363466124</v>
      </c>
      <c r="N13">
        <f t="shared" si="6"/>
        <v>6.2556365135709315</v>
      </c>
      <c r="O13">
        <f t="shared" si="7"/>
        <v>3.0673920522758538</v>
      </c>
      <c r="P13">
        <f t="shared" si="8"/>
        <v>248.93483125380666</v>
      </c>
      <c r="Q13">
        <f t="shared" si="9"/>
        <v>59.852353451682028</v>
      </c>
      <c r="R13">
        <f t="shared" si="10"/>
        <v>272.4321012468962</v>
      </c>
      <c r="S13">
        <f t="shared" si="11"/>
        <v>140.97875934698737</v>
      </c>
      <c r="T13">
        <f t="shared" si="12"/>
        <v>48.103718455137248</v>
      </c>
      <c r="U13">
        <f t="shared" si="13"/>
        <v>7.3848138858066781</v>
      </c>
      <c r="V13">
        <f t="shared" si="14"/>
        <v>272.31451312503168</v>
      </c>
      <c r="W13">
        <f t="shared" si="15"/>
        <v>141.15774834688804</v>
      </c>
      <c r="X13">
        <f t="shared" si="16"/>
        <v>48.194678703414404</v>
      </c>
      <c r="Y13">
        <f t="shared" si="17"/>
        <v>0.11032672842006708</v>
      </c>
      <c r="Z13">
        <f t="shared" si="18"/>
        <v>-0.11758812186451451</v>
      </c>
      <c r="AA13">
        <f t="shared" si="19"/>
        <v>0.17898899990066752</v>
      </c>
      <c r="AB13">
        <f t="shared" si="20"/>
        <v>9.0960248277156097E-2</v>
      </c>
      <c r="AC13">
        <f t="shared" si="21"/>
        <v>6.6309782259582187E-2</v>
      </c>
      <c r="AD13">
        <f t="shared" si="22"/>
        <v>184.87666993960261</v>
      </c>
      <c r="AE13">
        <f t="shared" si="23"/>
        <v>55.148160177677369</v>
      </c>
      <c r="AF13">
        <f t="shared" si="24"/>
        <v>53.911034727780745</v>
      </c>
      <c r="AG13">
        <f t="shared" si="25"/>
        <v>54.529597452729057</v>
      </c>
      <c r="AL13" t="s">
        <v>82</v>
      </c>
      <c r="AM13">
        <f>AF4</f>
        <v>50.092701592357848</v>
      </c>
    </row>
    <row r="14" spans="1:39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v>0.6932301763625407</v>
      </c>
      <c r="H14">
        <f t="shared" si="0"/>
        <v>0.59771408672167925</v>
      </c>
      <c r="I14">
        <f t="shared" si="1"/>
        <v>1.0473349574478683</v>
      </c>
      <c r="J14">
        <f t="shared" si="2"/>
        <v>6.3782698908575179</v>
      </c>
      <c r="K14">
        <f t="shared" si="3"/>
        <v>-1.5656390101022599E-2</v>
      </c>
      <c r="L14">
        <f t="shared" si="4"/>
        <v>6.6610082222895404</v>
      </c>
      <c r="M14">
        <f t="shared" si="5"/>
        <v>2.7518216817595675</v>
      </c>
      <c r="N14">
        <f t="shared" si="6"/>
        <v>6.2757896586051709</v>
      </c>
      <c r="O14">
        <f t="shared" si="7"/>
        <v>3.074541515797669</v>
      </c>
      <c r="P14">
        <f t="shared" si="8"/>
        <v>251.21157737753808</v>
      </c>
      <c r="Q14">
        <f t="shared" si="9"/>
        <v>60.29254491120502</v>
      </c>
      <c r="R14">
        <f t="shared" si="10"/>
        <v>275.19748181074368</v>
      </c>
      <c r="S14">
        <f t="shared" si="11"/>
        <v>142.61943977173084</v>
      </c>
      <c r="T14">
        <f t="shared" si="12"/>
        <v>48.299592694602211</v>
      </c>
      <c r="U14">
        <f t="shared" si="13"/>
        <v>7.8813683711558351</v>
      </c>
      <c r="V14">
        <f t="shared" si="14"/>
        <v>275.13301601337128</v>
      </c>
      <c r="W14">
        <f t="shared" si="15"/>
        <v>142.72695903275064</v>
      </c>
      <c r="X14">
        <f t="shared" si="16"/>
        <v>48.256225426957158</v>
      </c>
      <c r="Y14">
        <f t="shared" si="17"/>
        <v>4.7305278585596078E-2</v>
      </c>
      <c r="Z14">
        <f t="shared" si="18"/>
        <v>-6.4465797372406541E-2</v>
      </c>
      <c r="AA14">
        <f t="shared" si="19"/>
        <v>0.10751926101980303</v>
      </c>
      <c r="AB14">
        <f t="shared" si="20"/>
        <v>-4.3367267645052721E-2</v>
      </c>
      <c r="AC14">
        <f t="shared" si="21"/>
        <v>1.9834739806163203E-2</v>
      </c>
      <c r="AD14">
        <f t="shared" si="22"/>
        <v>186.86231135962419</v>
      </c>
      <c r="AE14">
        <f t="shared" si="23"/>
        <v>55.434946652298422</v>
      </c>
      <c r="AF14">
        <f t="shared" si="24"/>
        <v>54.125298793159111</v>
      </c>
      <c r="AG14">
        <f t="shared" si="25"/>
        <v>54.780122722728763</v>
      </c>
      <c r="AH14" t="s">
        <v>76</v>
      </c>
      <c r="AI14">
        <f>3*$AI$11*($AI$7-3)-7*$AI$4</f>
        <v>-230.32873015432688</v>
      </c>
      <c r="AL14" t="s">
        <v>83</v>
      </c>
      <c r="AM14">
        <f>AG4</f>
        <v>50.284807060086457</v>
      </c>
    </row>
    <row r="15" spans="1:39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v>0.69239068541875393</v>
      </c>
      <c r="H15">
        <f t="shared" si="0"/>
        <v>0.5969902642744086</v>
      </c>
      <c r="I15">
        <f t="shared" si="1"/>
        <v>1.0511491104276749</v>
      </c>
      <c r="J15">
        <f t="shared" si="2"/>
        <v>6.4014980825045402</v>
      </c>
      <c r="K15">
        <f t="shared" si="3"/>
        <v>-1.6907566084042092E-2</v>
      </c>
      <c r="L15">
        <f t="shared" si="4"/>
        <v>6.6786108267188888</v>
      </c>
      <c r="M15">
        <f t="shared" si="5"/>
        <v>2.7473986710360858</v>
      </c>
      <c r="N15">
        <f t="shared" si="6"/>
        <v>6.2992094339147542</v>
      </c>
      <c r="O15">
        <f t="shared" si="7"/>
        <v>3.0824046218890948</v>
      </c>
      <c r="P15">
        <f t="shared" si="8"/>
        <v>254.01169672379498</v>
      </c>
      <c r="Q15">
        <f t="shared" si="9"/>
        <v>60.822030428313525</v>
      </c>
      <c r="R15">
        <f t="shared" si="10"/>
        <v>279.01618887190671</v>
      </c>
      <c r="S15">
        <f t="shared" si="11"/>
        <v>144.86988194122378</v>
      </c>
      <c r="T15">
        <f t="shared" si="12"/>
        <v>48.319784354257671</v>
      </c>
      <c r="U15">
        <f t="shared" si="13"/>
        <v>8.5655921297547586</v>
      </c>
      <c r="V15">
        <f t="shared" si="14"/>
        <v>279.00414041778441</v>
      </c>
      <c r="W15">
        <f t="shared" si="15"/>
        <v>144.88457915650423</v>
      </c>
      <c r="X15">
        <f t="shared" si="16"/>
        <v>48.335228782487548</v>
      </c>
      <c r="Y15">
        <f t="shared" si="17"/>
        <v>4.2820193881672353E-2</v>
      </c>
      <c r="Z15">
        <f t="shared" si="18"/>
        <v>-1.2048454122293606E-2</v>
      </c>
      <c r="AA15">
        <f t="shared" si="19"/>
        <v>1.4697215280449427E-2</v>
      </c>
      <c r="AB15">
        <f t="shared" si="20"/>
        <v>1.5444428229876905E-2</v>
      </c>
      <c r="AC15">
        <f t="shared" si="21"/>
        <v>2.433272751148719E-3</v>
      </c>
      <c r="AD15">
        <f t="shared" si="22"/>
        <v>189.59109957693099</v>
      </c>
      <c r="AE15">
        <f t="shared" si="23"/>
        <v>55.825049521748568</v>
      </c>
      <c r="AF15">
        <f t="shared" si="24"/>
        <v>54.412489865626078</v>
      </c>
      <c r="AG15">
        <f t="shared" si="25"/>
        <v>55.118769693687327</v>
      </c>
      <c r="AH15" t="s">
        <v>77</v>
      </c>
      <c r="AI15">
        <f>3*$AI$11*($AI$8-1)-7*$AI$5</f>
        <v>231.04923848327087</v>
      </c>
      <c r="AL15" t="s">
        <v>84</v>
      </c>
      <c r="AM15">
        <f>$AI$18</f>
        <v>0.63238467078568372</v>
      </c>
    </row>
    <row r="16" spans="1:39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v>0.69165924626733954</v>
      </c>
      <c r="H16">
        <f t="shared" si="0"/>
        <v>0.59635960580152714</v>
      </c>
      <c r="I16">
        <f t="shared" si="1"/>
        <v>1.0544874521410799</v>
      </c>
      <c r="J16">
        <f t="shared" si="2"/>
        <v>6.4218285835391766</v>
      </c>
      <c r="K16">
        <f t="shared" si="3"/>
        <v>-1.8001417859564328E-2</v>
      </c>
      <c r="L16">
        <f t="shared" si="4"/>
        <v>6.7038874960022801</v>
      </c>
      <c r="M16">
        <f t="shared" si="5"/>
        <v>2.7423200292989818</v>
      </c>
      <c r="N16">
        <f t="shared" si="6"/>
        <v>6.3190128366143972</v>
      </c>
      <c r="O16">
        <f t="shared" si="7"/>
        <v>3.0889227494647402</v>
      </c>
      <c r="P16">
        <f t="shared" si="8"/>
        <v>256.42312233242779</v>
      </c>
      <c r="Q16">
        <f t="shared" si="9"/>
        <v>61.27351621585759</v>
      </c>
      <c r="R16">
        <f t="shared" si="10"/>
        <v>282.38175390322249</v>
      </c>
      <c r="S16">
        <f t="shared" si="11"/>
        <v>146.85540568610995</v>
      </c>
      <c r="T16">
        <f t="shared" si="12"/>
        <v>48.294200430460258</v>
      </c>
      <c r="U16">
        <f t="shared" si="13"/>
        <v>9.1705678670575832</v>
      </c>
      <c r="V16">
        <f t="shared" si="14"/>
        <v>282.41501145878408</v>
      </c>
      <c r="W16">
        <f t="shared" si="15"/>
        <v>146.78791611068942</v>
      </c>
      <c r="X16">
        <f t="shared" si="16"/>
        <v>48.399584595234771</v>
      </c>
      <c r="Y16">
        <f t="shared" si="17"/>
        <v>4.5175693294453367E-2</v>
      </c>
      <c r="Z16">
        <f t="shared" si="18"/>
        <v>3.325755556159038E-2</v>
      </c>
      <c r="AA16">
        <f t="shared" si="19"/>
        <v>-6.7489575420523806E-2</v>
      </c>
      <c r="AB16">
        <f t="shared" si="20"/>
        <v>0.10538416477451307</v>
      </c>
      <c r="AC16">
        <f t="shared" si="21"/>
        <v>1.8807573242231083E-2</v>
      </c>
      <c r="AD16">
        <f t="shared" si="22"/>
        <v>191.99694789338764</v>
      </c>
      <c r="AE16">
        <f t="shared" si="23"/>
        <v>56.165169826759794</v>
      </c>
      <c r="AF16">
        <f t="shared" si="24"/>
        <v>54.658766157048206</v>
      </c>
      <c r="AG16">
        <f t="shared" si="25"/>
        <v>55.411967991904</v>
      </c>
      <c r="AH16" t="s">
        <v>78</v>
      </c>
      <c r="AI16">
        <f>3*$AI$11*($AI$9-1)-7*$AI$6</f>
        <v>-675.24389009928882</v>
      </c>
    </row>
    <row r="17" spans="1:35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v>0.69122496204417117</v>
      </c>
      <c r="H17">
        <f t="shared" si="0"/>
        <v>0.59598515903524418</v>
      </c>
      <c r="I17">
        <f t="shared" si="1"/>
        <v>1.0564762476973009</v>
      </c>
      <c r="J17">
        <f t="shared" si="2"/>
        <v>6.433940348476562</v>
      </c>
      <c r="K17">
        <f t="shared" si="3"/>
        <v>-1.8652524300522222E-2</v>
      </c>
      <c r="L17">
        <f t="shared" si="4"/>
        <v>6.7257538795457963</v>
      </c>
      <c r="M17">
        <f t="shared" si="5"/>
        <v>2.7438618548131735</v>
      </c>
      <c r="N17">
        <f t="shared" si="6"/>
        <v>6.3334872722134117</v>
      </c>
      <c r="O17">
        <f t="shared" si="7"/>
        <v>3.0938167871877571</v>
      </c>
      <c r="P17">
        <f t="shared" si="8"/>
        <v>258.08504184437919</v>
      </c>
      <c r="Q17">
        <f t="shared" si="9"/>
        <v>61.583761713189006</v>
      </c>
      <c r="R17">
        <f t="shared" si="10"/>
        <v>284.37314973894854</v>
      </c>
      <c r="S17">
        <f t="shared" si="11"/>
        <v>148.06157236528585</v>
      </c>
      <c r="T17">
        <f t="shared" si="12"/>
        <v>48.439707765904338</v>
      </c>
      <c r="U17">
        <f t="shared" si="13"/>
        <v>9.5336952322748836</v>
      </c>
      <c r="V17">
        <f t="shared" si="14"/>
        <v>284.45708720663885</v>
      </c>
      <c r="W17">
        <f t="shared" si="15"/>
        <v>147.92843605083584</v>
      </c>
      <c r="X17">
        <f t="shared" si="16"/>
        <v>48.435778211174892</v>
      </c>
      <c r="Y17">
        <f t="shared" si="17"/>
        <v>-2.2139968552572498E-2</v>
      </c>
      <c r="Z17">
        <f t="shared" si="18"/>
        <v>8.3937467690304857E-2</v>
      </c>
      <c r="AA17">
        <f t="shared" si="19"/>
        <v>-0.13313631445001306</v>
      </c>
      <c r="AB17">
        <f t="shared" si="20"/>
        <v>-3.9295547294457833E-3</v>
      </c>
      <c r="AC17">
        <f t="shared" si="21"/>
        <v>2.5276396315474337E-2</v>
      </c>
      <c r="AD17">
        <f t="shared" si="22"/>
        <v>193.43798643610353</v>
      </c>
      <c r="AE17">
        <f t="shared" si="23"/>
        <v>56.367197157865533</v>
      </c>
      <c r="AF17">
        <f t="shared" si="24"/>
        <v>54.803189802167033</v>
      </c>
      <c r="AG17">
        <f t="shared" si="25"/>
        <v>55.585193480016287</v>
      </c>
    </row>
    <row r="18" spans="1:35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v>0.69066193785708974</v>
      </c>
      <c r="H18">
        <f t="shared" si="0"/>
        <v>0.59549971062393958</v>
      </c>
      <c r="I18">
        <f t="shared" si="1"/>
        <v>1.0590620570868718</v>
      </c>
      <c r="J18">
        <f t="shared" si="2"/>
        <v>6.4496879276590491</v>
      </c>
      <c r="K18">
        <f t="shared" si="3"/>
        <v>-1.9498474899527496E-2</v>
      </c>
      <c r="L18">
        <f t="shared" si="4"/>
        <v>6.7465335799874824</v>
      </c>
      <c r="M18">
        <f t="shared" si="5"/>
        <v>2.7448957060714032</v>
      </c>
      <c r="N18">
        <f t="shared" si="6"/>
        <v>6.3516716319241713</v>
      </c>
      <c r="O18">
        <f t="shared" si="7"/>
        <v>3.1000339403796913</v>
      </c>
      <c r="P18">
        <f t="shared" si="8"/>
        <v>260.20448458959709</v>
      </c>
      <c r="Q18">
        <f t="shared" si="9"/>
        <v>61.982858202347536</v>
      </c>
      <c r="R18">
        <f t="shared" si="10"/>
        <v>286.98046714271288</v>
      </c>
      <c r="S18">
        <f t="shared" si="11"/>
        <v>149.6267594614599</v>
      </c>
      <c r="T18">
        <f t="shared" si="12"/>
        <v>48.594866925789653</v>
      </c>
      <c r="U18">
        <f t="shared" si="13"/>
        <v>10.008869378024828</v>
      </c>
      <c r="V18">
        <f t="shared" si="14"/>
        <v>287.12342987280351</v>
      </c>
      <c r="W18">
        <f t="shared" si="15"/>
        <v>149.41873496978758</v>
      </c>
      <c r="X18">
        <f t="shared" si="16"/>
        <v>48.480421672584818</v>
      </c>
      <c r="Y18">
        <f t="shared" si="17"/>
        <v>-0.10654175798620003</v>
      </c>
      <c r="Z18">
        <f t="shared" si="18"/>
        <v>0.14296273009063043</v>
      </c>
      <c r="AA18">
        <f t="shared" si="19"/>
        <v>-0.20802449167231885</v>
      </c>
      <c r="AB18">
        <f t="shared" si="20"/>
        <v>-0.11444525320483478</v>
      </c>
      <c r="AC18">
        <f t="shared" si="21"/>
        <v>8.8161393506401869E-2</v>
      </c>
      <c r="AD18">
        <f t="shared" si="22"/>
        <v>195.32029993745957</v>
      </c>
      <c r="AE18">
        <f t="shared" si="23"/>
        <v>56.629191984154076</v>
      </c>
      <c r="AF18">
        <f t="shared" si="24"/>
        <v>54.988371276727648</v>
      </c>
      <c r="AG18">
        <f t="shared" si="25"/>
        <v>55.808781630440862</v>
      </c>
      <c r="AH18" t="s">
        <v>79</v>
      </c>
      <c r="AI18">
        <f>SUM(AC4:AC25)</f>
        <v>0.63238467078568372</v>
      </c>
    </row>
    <row r="19" spans="1:35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6.3968163722130891</v>
      </c>
      <c r="O19">
        <f t="shared" si="7"/>
        <v>3.1197831836198127</v>
      </c>
      <c r="P19">
        <f t="shared" si="8"/>
        <v>260.93136376633134</v>
      </c>
      <c r="Q19">
        <f t="shared" si="9"/>
        <v>62.065083175384238</v>
      </c>
      <c r="R19">
        <f t="shared" si="10"/>
        <v>288.69972839374861</v>
      </c>
      <c r="S19">
        <f t="shared" si="11"/>
        <v>150.68537972927149</v>
      </c>
      <c r="T19">
        <f t="shared" si="12"/>
        <v>48.18090086167561</v>
      </c>
      <c r="U19">
        <f t="shared" si="13"/>
        <v>7.8364804700199757</v>
      </c>
      <c r="V19">
        <f t="shared" si="14"/>
        <v>274.87854644901876</v>
      </c>
      <c r="W19">
        <f t="shared" si="15"/>
        <v>142.58522264485285</v>
      </c>
      <c r="X19">
        <f t="shared" si="16"/>
        <v>48.250808494547201</v>
      </c>
      <c r="Y19">
        <f t="shared" si="17"/>
        <v>-2.7954622984681814</v>
      </c>
      <c r="Z19">
        <f t="shared" si="18"/>
        <v>-13.821181944729858</v>
      </c>
      <c r="AA19">
        <f t="shared" si="19"/>
        <v>-8.1001570844186404</v>
      </c>
      <c r="AB19">
        <f t="shared" si="20"/>
        <v>6.9907632871590408E-2</v>
      </c>
      <c r="AC19">
        <f t="shared" si="21"/>
        <v>0</v>
      </c>
      <c r="AD19">
        <f t="shared" si="22"/>
        <v>186.68299724624148</v>
      </c>
      <c r="AE19">
        <f t="shared" si="23"/>
        <v>55.409149857561509</v>
      </c>
      <c r="AF19">
        <f t="shared" si="24"/>
        <v>54.106132990803019</v>
      </c>
      <c r="AG19">
        <f t="shared" si="25"/>
        <v>54.757641424182268</v>
      </c>
    </row>
    <row r="20" spans="1:35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6.4022352114169472</v>
      </c>
      <c r="O20">
        <f t="shared" si="7"/>
        <v>3.1211612083256832</v>
      </c>
      <c r="P20">
        <f t="shared" si="8"/>
        <v>262.18316864676535</v>
      </c>
      <c r="Q20">
        <f t="shared" si="9"/>
        <v>62.312325267351319</v>
      </c>
      <c r="R20">
        <f t="shared" si="10"/>
        <v>290.65187082144161</v>
      </c>
      <c r="S20">
        <f t="shared" si="11"/>
        <v>151.79286919940085</v>
      </c>
      <c r="T20">
        <f t="shared" si="12"/>
        <v>48.077974180013186</v>
      </c>
      <c r="U20">
        <f t="shared" si="13"/>
        <v>8.4173689553985263</v>
      </c>
      <c r="V20">
        <f t="shared" si="14"/>
        <v>278.16676334092506</v>
      </c>
      <c r="W20">
        <f t="shared" si="15"/>
        <v>144.41762610093576</v>
      </c>
      <c r="X20">
        <f t="shared" si="16"/>
        <v>48.31867877440412</v>
      </c>
      <c r="Y20">
        <f t="shared" si="17"/>
        <v>-2.5158839320346527</v>
      </c>
      <c r="Z20">
        <f t="shared" si="18"/>
        <v>-12.485107480516547</v>
      </c>
      <c r="AA20">
        <f t="shared" si="19"/>
        <v>-7.3752430984650914</v>
      </c>
      <c r="AB20">
        <f t="shared" si="20"/>
        <v>0.24070459439093383</v>
      </c>
      <c r="AC20">
        <f t="shared" si="21"/>
        <v>0</v>
      </c>
      <c r="AD20">
        <f t="shared" si="22"/>
        <v>189.00067184759885</v>
      </c>
      <c r="AE20">
        <f t="shared" si="23"/>
        <v>55.741034712640328</v>
      </c>
      <c r="AF20">
        <f t="shared" si="24"/>
        <v>54.351060348638882</v>
      </c>
      <c r="AG20">
        <f t="shared" si="25"/>
        <v>55.046047530639605</v>
      </c>
    </row>
    <row r="21" spans="1:35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6.4041211209263107</v>
      </c>
      <c r="O21">
        <f t="shared" si="7"/>
        <v>3.1211941465115332</v>
      </c>
      <c r="P21">
        <f t="shared" si="8"/>
        <v>263.15101968492144</v>
      </c>
      <c r="Q21">
        <f t="shared" si="9"/>
        <v>62.506840945215096</v>
      </c>
      <c r="R21">
        <f t="shared" si="10"/>
        <v>292.06171228350945</v>
      </c>
      <c r="S21">
        <f t="shared" si="11"/>
        <v>152.59268409378524</v>
      </c>
      <c r="T21">
        <f t="shared" si="12"/>
        <v>48.051494645921096</v>
      </c>
      <c r="U21">
        <f t="shared" si="13"/>
        <v>9.0060703032563492</v>
      </c>
      <c r="V21">
        <f t="shared" si="14"/>
        <v>281.48865815068291</v>
      </c>
      <c r="W21">
        <f t="shared" si="15"/>
        <v>146.27078470982133</v>
      </c>
      <c r="X21">
        <f t="shared" si="16"/>
        <v>48.382590399980508</v>
      </c>
      <c r="Y21">
        <f t="shared" si="17"/>
        <v>-2.1424040977089653</v>
      </c>
      <c r="Z21">
        <f t="shared" si="18"/>
        <v>-10.573054132826542</v>
      </c>
      <c r="AA21">
        <f t="shared" si="19"/>
        <v>-6.3218993839639097</v>
      </c>
      <c r="AB21">
        <f t="shared" si="20"/>
        <v>0.33109575405941172</v>
      </c>
      <c r="AC21">
        <f t="shared" si="21"/>
        <v>0</v>
      </c>
      <c r="AD21">
        <f t="shared" si="22"/>
        <v>191.34340919010853</v>
      </c>
      <c r="AE21">
        <f t="shared" si="23"/>
        <v>56.073128928160621</v>
      </c>
      <c r="AF21">
        <f t="shared" si="24"/>
        <v>54.592505664576656</v>
      </c>
      <c r="AG21">
        <f t="shared" si="25"/>
        <v>55.332817296368638</v>
      </c>
    </row>
    <row r="22" spans="1:35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6.4126842031252895</v>
      </c>
      <c r="O22">
        <f t="shared" si="7"/>
        <v>3.1237648939620182</v>
      </c>
      <c r="P22">
        <f t="shared" si="8"/>
        <v>264.67413638231147</v>
      </c>
      <c r="Q22">
        <f t="shared" si="9"/>
        <v>62.8041695961549</v>
      </c>
      <c r="R22">
        <f t="shared" si="10"/>
        <v>293.92777577110581</v>
      </c>
      <c r="S22">
        <f t="shared" si="11"/>
        <v>153.69261688439883</v>
      </c>
      <c r="T22">
        <f t="shared" si="12"/>
        <v>48.177349901757744</v>
      </c>
      <c r="U22">
        <f t="shared" si="13"/>
        <v>9.6026787504936184</v>
      </c>
      <c r="V22">
        <f t="shared" si="14"/>
        <v>284.84458248665982</v>
      </c>
      <c r="W22">
        <f t="shared" si="15"/>
        <v>148.14494018421385</v>
      </c>
      <c r="X22">
        <f t="shared" si="16"/>
        <v>48.442449684377316</v>
      </c>
      <c r="Y22">
        <f t="shared" si="17"/>
        <v>-1.9331943748295775</v>
      </c>
      <c r="Z22">
        <f t="shared" si="18"/>
        <v>-9.0831932844459971</v>
      </c>
      <c r="AA22">
        <f t="shared" si="19"/>
        <v>-5.5476767001849794</v>
      </c>
      <c r="AB22">
        <f t="shared" si="20"/>
        <v>0.26509978261957201</v>
      </c>
      <c r="AC22">
        <f t="shared" si="21"/>
        <v>0</v>
      </c>
      <c r="AD22">
        <f t="shared" si="22"/>
        <v>193.71148761836253</v>
      </c>
      <c r="AE22">
        <f t="shared" si="23"/>
        <v>56.405398271115587</v>
      </c>
      <c r="AF22">
        <f t="shared" si="24"/>
        <v>54.830340294880948</v>
      </c>
      <c r="AG22">
        <f t="shared" si="25"/>
        <v>55.617869282998271</v>
      </c>
    </row>
    <row r="23" spans="1:35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6.4263842022349333</v>
      </c>
      <c r="O23">
        <f t="shared" si="7"/>
        <v>3.1281403488540591</v>
      </c>
      <c r="P23">
        <f t="shared" si="8"/>
        <v>266.63206572625973</v>
      </c>
      <c r="Q23">
        <f t="shared" si="9"/>
        <v>63.175903979079443</v>
      </c>
      <c r="R23">
        <f t="shared" si="10"/>
        <v>296.7581748234515</v>
      </c>
      <c r="S23">
        <f t="shared" si="11"/>
        <v>155.34331231669674</v>
      </c>
      <c r="T23">
        <f t="shared" si="12"/>
        <v>48.11284943048355</v>
      </c>
      <c r="U23">
        <f t="shared" si="13"/>
        <v>10.207289694881027</v>
      </c>
      <c r="V23">
        <f t="shared" si="14"/>
        <v>288.2348918502758</v>
      </c>
      <c r="W23">
        <f t="shared" si="15"/>
        <v>150.04033723365217</v>
      </c>
      <c r="X23">
        <f t="shared" si="16"/>
        <v>48.498161258502158</v>
      </c>
      <c r="Y23">
        <f t="shared" si="17"/>
        <v>-1.8451150629193247</v>
      </c>
      <c r="Z23">
        <f t="shared" si="18"/>
        <v>-8.5232829731756965</v>
      </c>
      <c r="AA23">
        <f t="shared" si="19"/>
        <v>-5.3029750830445721</v>
      </c>
      <c r="AB23">
        <f t="shared" si="20"/>
        <v>0.38531182801860808</v>
      </c>
      <c r="AC23">
        <f t="shared" si="21"/>
        <v>0</v>
      </c>
      <c r="AD23">
        <f t="shared" si="22"/>
        <v>196.1051887725267</v>
      </c>
      <c r="AE23">
        <f t="shared" si="23"/>
        <v>56.737807678426023</v>
      </c>
      <c r="AF23">
        <f t="shared" si="24"/>
        <v>55.06443232349617</v>
      </c>
      <c r="AG23">
        <f t="shared" si="25"/>
        <v>55.9011200009611</v>
      </c>
    </row>
    <row r="24" spans="1:35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6.4301195190031191</v>
      </c>
      <c r="O24">
        <f t="shared" si="7"/>
        <v>3.1286544950355637</v>
      </c>
      <c r="P24">
        <f t="shared" si="8"/>
        <v>267.77232939714412</v>
      </c>
      <c r="Q24">
        <f t="shared" si="9"/>
        <v>63.393220743385484</v>
      </c>
      <c r="R24">
        <f t="shared" si="10"/>
        <v>298.68882642856249</v>
      </c>
      <c r="S24">
        <f t="shared" si="11"/>
        <v>156.44413642608234</v>
      </c>
      <c r="T24">
        <f t="shared" si="12"/>
        <v>47.934972227676305</v>
      </c>
      <c r="U24">
        <f t="shared" si="13"/>
        <v>10.819999710166547</v>
      </c>
      <c r="V24">
        <f t="shared" si="14"/>
        <v>291.65994568221635</v>
      </c>
      <c r="W24">
        <f t="shared" si="15"/>
        <v>151.95722360441451</v>
      </c>
      <c r="X24">
        <f t="shared" si="16"/>
        <v>48.549628042538259</v>
      </c>
      <c r="Y24">
        <f t="shared" si="17"/>
        <v>-1.4906708638723831</v>
      </c>
      <c r="Z24">
        <f t="shared" si="18"/>
        <v>-7.0288807463461467</v>
      </c>
      <c r="AA24">
        <f t="shared" si="19"/>
        <v>-4.4869128216678291</v>
      </c>
      <c r="AB24">
        <f t="shared" si="20"/>
        <v>0.61465581486195475</v>
      </c>
      <c r="AC24">
        <f t="shared" si="21"/>
        <v>0</v>
      </c>
      <c r="AD24">
        <f t="shared" si="22"/>
        <v>198.52479763034844</v>
      </c>
      <c r="AE24">
        <f t="shared" si="23"/>
        <v>57.07032124108332</v>
      </c>
      <c r="AF24">
        <f t="shared" si="24"/>
        <v>55.294646481449618</v>
      </c>
      <c r="AG24">
        <f t="shared" si="25"/>
        <v>56.182483861266469</v>
      </c>
    </row>
    <row r="25" spans="1:35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6.4305328911749555</v>
      </c>
      <c r="O25">
        <f t="shared" si="7"/>
        <v>3.1278956740945363</v>
      </c>
      <c r="P25">
        <f t="shared" si="8"/>
        <v>268.64052787506603</v>
      </c>
      <c r="Q25">
        <f t="shared" si="9"/>
        <v>63.559741641648742</v>
      </c>
      <c r="R25">
        <f t="shared" si="10"/>
        <v>299.71492316798299</v>
      </c>
      <c r="S25">
        <f t="shared" si="11"/>
        <v>157.05824223822702</v>
      </c>
      <c r="T25">
        <f t="shared" si="12"/>
        <v>48.022543995190276</v>
      </c>
      <c r="U25">
        <f t="shared" si="13"/>
        <v>11.440906561389085</v>
      </c>
      <c r="V25">
        <f t="shared" si="14"/>
        <v>295.12010740921687</v>
      </c>
      <c r="W25">
        <f t="shared" si="15"/>
        <v>153.89585011998537</v>
      </c>
      <c r="X25">
        <f t="shared" si="16"/>
        <v>48.596751216927473</v>
      </c>
      <c r="Y25">
        <f t="shared" si="17"/>
        <v>-1.0419412234755647</v>
      </c>
      <c r="Z25">
        <f t="shared" si="18"/>
        <v>-4.5948157587661171</v>
      </c>
      <c r="AA25">
        <f t="shared" si="19"/>
        <v>-3.1623921182416552</v>
      </c>
      <c r="AB25">
        <f t="shared" si="20"/>
        <v>0.57420722173719696</v>
      </c>
      <c r="AC25">
        <f t="shared" si="21"/>
        <v>0</v>
      </c>
      <c r="AD25">
        <f t="shared" si="22"/>
        <v>200.97060254972919</v>
      </c>
      <c r="AE25">
        <f t="shared" si="23"/>
        <v>57.402902188002784</v>
      </c>
      <c r="AF25">
        <f t="shared" si="24"/>
        <v>55.52084406407063</v>
      </c>
      <c r="AG25">
        <f t="shared" si="25"/>
        <v>56.461873126036707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6A35-3299-4490-BCF7-79E19B7C2984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5.9552663945054363</v>
      </c>
      <c r="J4">
        <f t="shared" ref="J4:J25" si="3">2*Lfin_111/F4</f>
        <v>2.8978863432718183</v>
      </c>
      <c r="K4">
        <f t="shared" ref="K4:K25" si="4">I4^2-(4/3)*H4^2</f>
        <v>25.339464642259905</v>
      </c>
      <c r="L4">
        <f t="shared" ref="L4:L25" si="5">4*Lfin_100^2/K4</f>
        <v>7.8236222745359213E-2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5.9552663945054363</v>
      </c>
      <c r="V4">
        <f t="shared" ref="V4:V25" si="13">2*P4/F4</f>
        <v>2.8978863432718183</v>
      </c>
      <c r="W4">
        <f t="shared" ref="W4:W25" si="14">Q4*U4^2</f>
        <v>215.98305478181197</v>
      </c>
      <c r="X4">
        <f t="shared" ref="X4:X25" si="15">Q4*V4^2</f>
        <v>51.142268624394774</v>
      </c>
      <c r="Y4">
        <f t="shared" ref="Y4:Y25" si="16">Q4*S4^2</f>
        <v>229.82307082439178</v>
      </c>
      <c r="Z4">
        <f t="shared" ref="Z4:Z25" si="17">1.5*W4-0.5*Y4-2*AA4</f>
        <v>116.56447409484835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240.71785449356787</v>
      </c>
      <c r="AD4">
        <f t="shared" ref="AD4:AD25" si="21">((1-2*R4)^3.5)*($AP$5-$AP$15*R4)+1*AB4</f>
        <v>111.92080624424638</v>
      </c>
      <c r="AE4">
        <f t="shared" ref="AE4:AE25" si="22">((1-2*R4)^3.5)*($AP$6-$AP$16*R4)+1*AB4</f>
        <v>46.789339240824013</v>
      </c>
      <c r="AF4">
        <f t="shared" ref="AF4:AF25" si="23">AB4-B4</f>
        <v>0</v>
      </c>
      <c r="AG4">
        <f t="shared" ref="AG4:AG25" si="24">AC4-Y4</f>
        <v>10.894783669176093</v>
      </c>
      <c r="AH4">
        <f t="shared" ref="AH4:AH25" si="25">AD4-Z4</f>
        <v>-4.6436678506019717</v>
      </c>
      <c r="AI4">
        <f t="shared" ref="AI4:AI25" si="26">AE4-AA4</f>
        <v>0.54005290798713901</v>
      </c>
      <c r="AJ4">
        <f t="shared" ref="AJ4:AJ25" si="27">IF(AND(A4&gt;=CutoffLowBar,A4&lt;=CutoffOilBar),AF4^2+AG4^2+AH4^2+AI4^2,0)</f>
        <v>0</v>
      </c>
      <c r="AK4">
        <f t="shared" ref="AK4:AK25" si="28">(AC4+2*AD4)/3</f>
        <v>154.85315566068687</v>
      </c>
      <c r="AL4">
        <f t="shared" ref="AL4:AL25" si="29">(AC4-AD4+3*AE4)/5</f>
        <v>53.833013194358706</v>
      </c>
      <c r="AM4">
        <f t="shared" ref="AM4:AM25" si="30">5*(AC4-AD4)*AE4/(3*(AC4-AD4)+4*AE4)</f>
        <v>52.535476649088132</v>
      </c>
      <c r="AN4">
        <f t="shared" ref="AN4:AN25" si="31">(AL4+AM4)/2</f>
        <v>53.184244921723419</v>
      </c>
      <c r="AO4" t="s">
        <v>68</v>
      </c>
      <c r="AP4">
        <v>240.71785449356787</v>
      </c>
      <c r="AS4" t="s">
        <v>68</v>
      </c>
      <c r="AT4">
        <f>$AP$4</f>
        <v>240.71785449356787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f t="shared" si="0"/>
        <v>6.2648579009706697</v>
      </c>
      <c r="H5">
        <f t="shared" si="1"/>
        <v>2.7758410930082182</v>
      </c>
      <c r="I5">
        <f t="shared" si="2"/>
        <v>5.962002320164963</v>
      </c>
      <c r="J5">
        <f t="shared" si="3"/>
        <v>2.9022348252931329</v>
      </c>
      <c r="K5">
        <f t="shared" si="4"/>
        <v>25.271746634141653</v>
      </c>
      <c r="L5">
        <f t="shared" si="5"/>
        <v>7.844586401961344E-2</v>
      </c>
      <c r="M5">
        <f t="shared" ref="M5:M25" si="32">0.5*(B5-B4)*(L5+L4)</f>
        <v>1.0116406757078769E-2</v>
      </c>
      <c r="N5">
        <f t="shared" ref="N5:N25" si="33">N4+M5</f>
        <v>1.0116406757078769E-2</v>
      </c>
      <c r="O5">
        <f t="shared" si="6"/>
        <v>0.70380008674431116</v>
      </c>
      <c r="P5">
        <f t="shared" si="7"/>
        <v>0.6068276316105069</v>
      </c>
      <c r="Q5">
        <f t="shared" si="8"/>
        <v>6.0951910376412179</v>
      </c>
      <c r="R5">
        <f t="shared" si="9"/>
        <v>-2.8408869502882794E-4</v>
      </c>
      <c r="S5">
        <f t="shared" si="10"/>
        <v>6.2630788837271885</v>
      </c>
      <c r="T5">
        <f t="shared" si="11"/>
        <v>2.7750528438176247</v>
      </c>
      <c r="U5">
        <f t="shared" si="12"/>
        <v>5.9603093041219966</v>
      </c>
      <c r="V5">
        <f t="shared" si="13"/>
        <v>2.901410684366005</v>
      </c>
      <c r="W5">
        <f t="shared" si="14"/>
        <v>216.53341093692796</v>
      </c>
      <c r="X5">
        <f t="shared" si="15"/>
        <v>51.310439422264743</v>
      </c>
      <c r="Y5">
        <f t="shared" si="16"/>
        <v>239.09092122012356</v>
      </c>
      <c r="Z5">
        <f t="shared" si="17"/>
        <v>111.37751955870132</v>
      </c>
      <c r="AA5">
        <f t="shared" si="18"/>
        <v>46.938568118314407</v>
      </c>
      <c r="AB5">
        <f t="shared" si="19"/>
        <v>0.13216877264009483</v>
      </c>
      <c r="AC5">
        <f t="shared" si="20"/>
        <v>241.43037211134404</v>
      </c>
      <c r="AD5">
        <f t="shared" si="21"/>
        <v>112.37530097187997</v>
      </c>
      <c r="AE5">
        <f t="shared" si="22"/>
        <v>46.82298799651867</v>
      </c>
      <c r="AF5">
        <f t="shared" si="23"/>
        <v>3.0358645208194979E-3</v>
      </c>
      <c r="AG5">
        <f t="shared" si="24"/>
        <v>2.3394508912204799</v>
      </c>
      <c r="AH5">
        <f t="shared" si="25"/>
        <v>0.99778141317864311</v>
      </c>
      <c r="AI5">
        <f t="shared" si="26"/>
        <v>-0.11558012179573751</v>
      </c>
      <c r="AJ5">
        <f t="shared" si="27"/>
        <v>0</v>
      </c>
      <c r="AK5">
        <f t="shared" si="28"/>
        <v>155.393658018368</v>
      </c>
      <c r="AL5">
        <f t="shared" si="29"/>
        <v>53.904807025804018</v>
      </c>
      <c r="AM5">
        <f t="shared" si="30"/>
        <v>52.595253491166588</v>
      </c>
      <c r="AN5">
        <f t="shared" si="31"/>
        <v>53.250030258485303</v>
      </c>
      <c r="AO5" t="s">
        <v>69</v>
      </c>
      <c r="AP5">
        <v>111.92080624424638</v>
      </c>
      <c r="AS5" t="s">
        <v>69</v>
      </c>
      <c r="AT5">
        <f>$AP$5</f>
        <v>111.92080624424638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f t="shared" si="0"/>
        <v>6.3726059035918201</v>
      </c>
      <c r="H6">
        <f t="shared" si="1"/>
        <v>2.7835238115389078</v>
      </c>
      <c r="I6">
        <f t="shared" si="2"/>
        <v>6.0488824627844204</v>
      </c>
      <c r="J6">
        <f t="shared" si="3"/>
        <v>2.9571677852614564</v>
      </c>
      <c r="K6">
        <f t="shared" si="4"/>
        <v>26.258305969375463</v>
      </c>
      <c r="L6">
        <f t="shared" si="5"/>
        <v>7.5498549004345814E-2</v>
      </c>
      <c r="M6">
        <f t="shared" si="32"/>
        <v>0.11596252349792047</v>
      </c>
      <c r="N6">
        <f t="shared" si="33"/>
        <v>0.12607893025499922</v>
      </c>
      <c r="O6">
        <f t="shared" si="6"/>
        <v>0.70151660123294335</v>
      </c>
      <c r="P6">
        <f t="shared" si="7"/>
        <v>0.60485877407442701</v>
      </c>
      <c r="Q6">
        <f t="shared" si="8"/>
        <v>6.1549058093101676</v>
      </c>
      <c r="R6">
        <f t="shared" si="9"/>
        <v>-3.5463087140066296E-3</v>
      </c>
      <c r="S6">
        <f t="shared" si="10"/>
        <v>6.3501261853476194</v>
      </c>
      <c r="T6">
        <f t="shared" si="11"/>
        <v>2.7737047780138391</v>
      </c>
      <c r="U6">
        <f t="shared" si="12"/>
        <v>6.0275446968040951</v>
      </c>
      <c r="V6">
        <f t="shared" si="13"/>
        <v>2.946736213057056</v>
      </c>
      <c r="W6">
        <f t="shared" si="14"/>
        <v>223.6156990982372</v>
      </c>
      <c r="X6">
        <f t="shared" si="15"/>
        <v>53.444612392285634</v>
      </c>
      <c r="Y6">
        <f t="shared" si="16"/>
        <v>248.19105316231193</v>
      </c>
      <c r="Z6">
        <f t="shared" si="17"/>
        <v>116.62324717915105</v>
      </c>
      <c r="AA6">
        <f t="shared" si="18"/>
        <v>47.352387443524385</v>
      </c>
      <c r="AB6">
        <f t="shared" si="19"/>
        <v>1.6776524240554691</v>
      </c>
      <c r="AC6">
        <f t="shared" si="20"/>
        <v>249.69770981083263</v>
      </c>
      <c r="AD6">
        <f t="shared" si="21"/>
        <v>117.67344051318953</v>
      </c>
      <c r="AE6">
        <f t="shared" si="22"/>
        <v>47.191623231512253</v>
      </c>
      <c r="AF6">
        <f t="shared" si="23"/>
        <v>4.1968921211167132E-2</v>
      </c>
      <c r="AG6">
        <f t="shared" si="24"/>
        <v>1.5066566485207034</v>
      </c>
      <c r="AH6">
        <f t="shared" si="25"/>
        <v>1.0501933340384824</v>
      </c>
      <c r="AI6">
        <f t="shared" si="26"/>
        <v>-0.16076421201213265</v>
      </c>
      <c r="AJ6">
        <f t="shared" si="27"/>
        <v>0</v>
      </c>
      <c r="AK6">
        <f t="shared" si="28"/>
        <v>161.68153027907056</v>
      </c>
      <c r="AL6">
        <f t="shared" si="29"/>
        <v>54.719827798435972</v>
      </c>
      <c r="AM6">
        <f t="shared" si="30"/>
        <v>53.266252502057426</v>
      </c>
      <c r="AN6">
        <f t="shared" si="31"/>
        <v>53.993040150246699</v>
      </c>
      <c r="AO6" t="s">
        <v>70</v>
      </c>
      <c r="AP6">
        <v>46.789339240824013</v>
      </c>
      <c r="AS6" t="s">
        <v>70</v>
      </c>
      <c r="AT6">
        <f>$AP$6</f>
        <v>46.789339240824013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f t="shared" si="0"/>
        <v>6.4366973655154416</v>
      </c>
      <c r="H7">
        <f t="shared" si="1"/>
        <v>2.7835238115389078</v>
      </c>
      <c r="I7">
        <f t="shared" si="2"/>
        <v>6.0998941707248395</v>
      </c>
      <c r="J7">
        <f t="shared" si="3"/>
        <v>2.9883719859043327</v>
      </c>
      <c r="K7">
        <f t="shared" si="4"/>
        <v>26.878035814837425</v>
      </c>
      <c r="L7">
        <f t="shared" si="5"/>
        <v>7.3757770607092668E-2</v>
      </c>
      <c r="M7">
        <f t="shared" si="32"/>
        <v>6.4246342022023839E-2</v>
      </c>
      <c r="N7">
        <f t="shared" si="33"/>
        <v>0.19032527227702306</v>
      </c>
      <c r="O7">
        <f t="shared" si="6"/>
        <v>0.70025785645407856</v>
      </c>
      <c r="P7">
        <f t="shared" si="7"/>
        <v>0.60377346430060475</v>
      </c>
      <c r="Q7">
        <f t="shared" si="8"/>
        <v>6.1881566620734496</v>
      </c>
      <c r="R7">
        <f t="shared" si="9"/>
        <v>-5.3582297247700694E-3</v>
      </c>
      <c r="S7">
        <f t="shared" si="10"/>
        <v>6.4024828122435489</v>
      </c>
      <c r="T7">
        <f t="shared" si="11"/>
        <v>2.7687278659902308</v>
      </c>
      <c r="U7">
        <f t="shared" si="12"/>
        <v>6.0674699099268548</v>
      </c>
      <c r="V7">
        <f t="shared" si="13"/>
        <v>2.9724871607056622</v>
      </c>
      <c r="W7">
        <f t="shared" si="14"/>
        <v>227.81198196299724</v>
      </c>
      <c r="X7">
        <f t="shared" si="15"/>
        <v>54.676571564362028</v>
      </c>
      <c r="Y7">
        <f t="shared" si="16"/>
        <v>253.66359462294068</v>
      </c>
      <c r="Z7">
        <f t="shared" si="17"/>
        <v>120.01116468246973</v>
      </c>
      <c r="AA7">
        <f t="shared" si="18"/>
        <v>47.437505475277895</v>
      </c>
      <c r="AB7">
        <f t="shared" si="19"/>
        <v>2.5583158306459461</v>
      </c>
      <c r="AC7">
        <f t="shared" si="20"/>
        <v>254.35776358412679</v>
      </c>
      <c r="AD7">
        <f t="shared" si="21"/>
        <v>120.67963818307985</v>
      </c>
      <c r="AE7">
        <f t="shared" si="22"/>
        <v>47.381903763227015</v>
      </c>
      <c r="AF7">
        <f t="shared" si="23"/>
        <v>6.1746273673049412E-2</v>
      </c>
      <c r="AG7">
        <f t="shared" si="24"/>
        <v>0.69416896118610794</v>
      </c>
      <c r="AH7">
        <f t="shared" si="25"/>
        <v>0.66847350061011923</v>
      </c>
      <c r="AI7">
        <f t="shared" si="26"/>
        <v>-5.5601712050879826E-2</v>
      </c>
      <c r="AJ7">
        <f t="shared" si="27"/>
        <v>0</v>
      </c>
      <c r="AK7">
        <f t="shared" si="28"/>
        <v>165.23901331676214</v>
      </c>
      <c r="AL7">
        <f t="shared" si="29"/>
        <v>55.164767338145602</v>
      </c>
      <c r="AM7">
        <f t="shared" si="30"/>
        <v>53.626242179331264</v>
      </c>
      <c r="AN7">
        <f t="shared" si="31"/>
        <v>54.395504758738433</v>
      </c>
      <c r="AO7" t="s">
        <v>71</v>
      </c>
      <c r="AP7">
        <v>5.3943351978214196</v>
      </c>
      <c r="AS7" t="s">
        <v>71</v>
      </c>
      <c r="AT7">
        <f>$AP$7</f>
        <v>5.3943351978214196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f t="shared" si="0"/>
        <v>6.5020911040778779</v>
      </c>
      <c r="H8">
        <f t="shared" si="1"/>
        <v>2.7868294391394235</v>
      </c>
      <c r="I8">
        <f t="shared" si="2"/>
        <v>6.1538947107377258</v>
      </c>
      <c r="J8">
        <f t="shared" si="3"/>
        <v>3.0200017266953645</v>
      </c>
      <c r="K8">
        <f t="shared" si="4"/>
        <v>27.515195680373552</v>
      </c>
      <c r="L8">
        <f t="shared" si="5"/>
        <v>7.2049787434878443E-2</v>
      </c>
      <c r="M8">
        <f t="shared" si="32"/>
        <v>6.9038031317683171E-2</v>
      </c>
      <c r="N8">
        <f t="shared" si="33"/>
        <v>0.25936330359470622</v>
      </c>
      <c r="O8">
        <f t="shared" si="6"/>
        <v>0.698910256039601</v>
      </c>
      <c r="P8">
        <f t="shared" si="7"/>
        <v>0.60261154178414467</v>
      </c>
      <c r="Q8">
        <f t="shared" si="8"/>
        <v>6.2240207169805357</v>
      </c>
      <c r="R8">
        <f t="shared" si="9"/>
        <v>-7.3089165477878693E-3</v>
      </c>
      <c r="S8">
        <f t="shared" si="10"/>
        <v>6.455082611283923</v>
      </c>
      <c r="T8">
        <f t="shared" si="11"/>
        <v>2.7666813591585684</v>
      </c>
      <c r="U8">
        <f t="shared" si="12"/>
        <v>6.1094035907989355</v>
      </c>
      <c r="V8">
        <f t="shared" si="13"/>
        <v>2.9981678693816685</v>
      </c>
      <c r="W8">
        <f t="shared" si="14"/>
        <v>232.31040460970993</v>
      </c>
      <c r="X8">
        <f t="shared" si="15"/>
        <v>55.947788031463105</v>
      </c>
      <c r="Y8">
        <f t="shared" si="16"/>
        <v>259.34306484818541</v>
      </c>
      <c r="Z8">
        <f t="shared" si="17"/>
        <v>123.51022088284874</v>
      </c>
      <c r="AA8">
        <f t="shared" si="18"/>
        <v>47.641926803811721</v>
      </c>
      <c r="AB8">
        <f t="shared" si="19"/>
        <v>3.5243942792116503</v>
      </c>
      <c r="AC8">
        <f t="shared" si="20"/>
        <v>259.42940661182092</v>
      </c>
      <c r="AD8">
        <f t="shared" si="21"/>
        <v>123.96735770783923</v>
      </c>
      <c r="AE8">
        <f t="shared" si="22"/>
        <v>47.574828427370001</v>
      </c>
      <c r="AF8">
        <f t="shared" si="23"/>
        <v>8.0850062697299663E-2</v>
      </c>
      <c r="AG8">
        <f t="shared" si="24"/>
        <v>8.63417636355166E-2</v>
      </c>
      <c r="AH8">
        <f t="shared" si="25"/>
        <v>0.45713682499048502</v>
      </c>
      <c r="AI8">
        <f t="shared" si="26"/>
        <v>-6.709837644172012E-2</v>
      </c>
      <c r="AJ8">
        <f t="shared" si="27"/>
        <v>0.2274679016693448</v>
      </c>
      <c r="AK8">
        <f t="shared" si="28"/>
        <v>169.12137400916646</v>
      </c>
      <c r="AL8">
        <f t="shared" si="29"/>
        <v>55.63730683721834</v>
      </c>
      <c r="AM8">
        <f t="shared" si="30"/>
        <v>54.00319064650305</v>
      </c>
      <c r="AN8">
        <f t="shared" si="31"/>
        <v>54.820248741860695</v>
      </c>
      <c r="AO8" t="s">
        <v>72</v>
      </c>
      <c r="AP8">
        <v>3.4396087008312484</v>
      </c>
      <c r="AS8" t="s">
        <v>72</v>
      </c>
      <c r="AT8">
        <f>$AP$8</f>
        <v>3.4396087008312484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f t="shared" si="0"/>
        <v>6.5565916733293026</v>
      </c>
      <c r="H9">
        <f t="shared" si="1"/>
        <v>2.7868294391394235</v>
      </c>
      <c r="I9">
        <f t="shared" si="2"/>
        <v>6.207232819909267</v>
      </c>
      <c r="J9">
        <f t="shared" si="3"/>
        <v>3.0491087089152202</v>
      </c>
      <c r="K9">
        <f t="shared" si="4"/>
        <v>28.174514850086545</v>
      </c>
      <c r="L9">
        <f t="shared" si="5"/>
        <v>7.0363731569060547E-2</v>
      </c>
      <c r="M9">
        <f t="shared" si="32"/>
        <v>7.0496042147177473E-2</v>
      </c>
      <c r="N9">
        <f t="shared" si="33"/>
        <v>0.32985934574188369</v>
      </c>
      <c r="O9">
        <f t="shared" si="6"/>
        <v>0.69753953742253594</v>
      </c>
      <c r="P9">
        <f t="shared" si="7"/>
        <v>0.601429686385624</v>
      </c>
      <c r="Q9">
        <f t="shared" si="8"/>
        <v>6.2607848991226911</v>
      </c>
      <c r="R9">
        <f t="shared" si="9"/>
        <v>-9.3046772881261175E-3</v>
      </c>
      <c r="S9">
        <f t="shared" si="10"/>
        <v>6.4964231859127457</v>
      </c>
      <c r="T9">
        <f t="shared" si="11"/>
        <v>2.7612552810409356</v>
      </c>
      <c r="U9">
        <f t="shared" si="12"/>
        <v>6.1502703265248488</v>
      </c>
      <c r="V9">
        <f t="shared" si="13"/>
        <v>3.0211276681360064</v>
      </c>
      <c r="W9">
        <f t="shared" si="14"/>
        <v>236.81935451614643</v>
      </c>
      <c r="X9">
        <f t="shared" si="15"/>
        <v>57.143513484722732</v>
      </c>
      <c r="Y9">
        <f t="shared" si="16"/>
        <v>264.22712445878739</v>
      </c>
      <c r="Z9">
        <f t="shared" si="17"/>
        <v>127.6443758668715</v>
      </c>
      <c r="AA9">
        <f t="shared" si="18"/>
        <v>47.735546838977235</v>
      </c>
      <c r="AB9">
        <f t="shared" si="19"/>
        <v>4.5322529272748033</v>
      </c>
      <c r="AC9">
        <f t="shared" si="20"/>
        <v>264.67718528204654</v>
      </c>
      <c r="AD9">
        <f t="shared" si="21"/>
        <v>127.38663580666551</v>
      </c>
      <c r="AE9">
        <f t="shared" si="22"/>
        <v>47.759074223200756</v>
      </c>
      <c r="AF9">
        <f t="shared" si="23"/>
        <v>9.8689748512526876E-2</v>
      </c>
      <c r="AG9">
        <f t="shared" si="24"/>
        <v>0.45006082325915031</v>
      </c>
      <c r="AH9">
        <f t="shared" si="25"/>
        <v>-0.25774006020598961</v>
      </c>
      <c r="AI9">
        <f t="shared" si="26"/>
        <v>2.3527384223520187E-2</v>
      </c>
      <c r="AJ9">
        <f t="shared" si="27"/>
        <v>0.27927788753755822</v>
      </c>
      <c r="AK9">
        <f t="shared" si="28"/>
        <v>173.15015229845918</v>
      </c>
      <c r="AL9">
        <f t="shared" si="29"/>
        <v>56.113554428996665</v>
      </c>
      <c r="AM9">
        <f t="shared" si="30"/>
        <v>54.377037103649961</v>
      </c>
      <c r="AN9">
        <f t="shared" si="31"/>
        <v>55.245295766323309</v>
      </c>
      <c r="AO9" t="s">
        <v>73</v>
      </c>
      <c r="AP9">
        <v>0.25588400378509985</v>
      </c>
      <c r="AS9" t="s">
        <v>73</v>
      </c>
      <c r="AT9">
        <f>$AP$9</f>
        <v>0.25588400378509985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f t="shared" si="0"/>
        <v>6.5996168080274185</v>
      </c>
      <c r="H10">
        <f t="shared" si="1"/>
        <v>2.7868294391394235</v>
      </c>
      <c r="I10">
        <f t="shared" si="2"/>
        <v>6.2426220761135447</v>
      </c>
      <c r="J10">
        <f t="shared" si="3"/>
        <v>3.066920031450846</v>
      </c>
      <c r="K10">
        <f t="shared" si="4"/>
        <v>28.615105954707978</v>
      </c>
      <c r="L10">
        <f t="shared" si="5"/>
        <v>6.9280330575670276E-2</v>
      </c>
      <c r="M10">
        <f t="shared" si="32"/>
        <v>4.808705025690424E-2</v>
      </c>
      <c r="N10">
        <f t="shared" si="33"/>
        <v>0.37794639599878793</v>
      </c>
      <c r="O10">
        <f t="shared" si="6"/>
        <v>0.69660761766426993</v>
      </c>
      <c r="P10">
        <f t="shared" si="7"/>
        <v>0.60062617034405097</v>
      </c>
      <c r="Q10">
        <f t="shared" si="8"/>
        <v>6.285945511465127</v>
      </c>
      <c r="R10">
        <f t="shared" si="9"/>
        <v>-1.066828158926858E-2</v>
      </c>
      <c r="S10">
        <f t="shared" si="10"/>
        <v>6.5303172473537696</v>
      </c>
      <c r="T10">
        <f t="shared" si="11"/>
        <v>2.7575662165277945</v>
      </c>
      <c r="U10">
        <f t="shared" si="12"/>
        <v>6.1770711540054482</v>
      </c>
      <c r="V10">
        <f t="shared" si="13"/>
        <v>3.0347157055054002</v>
      </c>
      <c r="W10">
        <f t="shared" si="14"/>
        <v>239.84784467391552</v>
      </c>
      <c r="X10">
        <f t="shared" si="15"/>
        <v>57.890411499503855</v>
      </c>
      <c r="Y10">
        <f t="shared" si="16"/>
        <v>268.06441883899555</v>
      </c>
      <c r="Z10">
        <f t="shared" si="17"/>
        <v>130.1407429464295</v>
      </c>
      <c r="AA10">
        <f t="shared" si="18"/>
        <v>47.799407322473009</v>
      </c>
      <c r="AB10">
        <f t="shared" si="19"/>
        <v>5.2322830626555863</v>
      </c>
      <c r="AC10">
        <f t="shared" si="20"/>
        <v>268.29714887505031</v>
      </c>
      <c r="AD10">
        <f t="shared" si="21"/>
        <v>129.7554862993787</v>
      </c>
      <c r="AE10">
        <f t="shared" si="22"/>
        <v>47.877137690218532</v>
      </c>
      <c r="AF10">
        <f t="shared" si="23"/>
        <v>0.11001104059046263</v>
      </c>
      <c r="AG10">
        <f t="shared" si="24"/>
        <v>0.23273003605476106</v>
      </c>
      <c r="AH10">
        <f t="shared" si="25"/>
        <v>-0.38525664705079521</v>
      </c>
      <c r="AI10">
        <f t="shared" si="26"/>
        <v>7.7730367745523665E-2</v>
      </c>
      <c r="AJ10">
        <f t="shared" si="27"/>
        <v>0.22073039290052215</v>
      </c>
      <c r="AK10">
        <f t="shared" si="28"/>
        <v>175.93604049126921</v>
      </c>
      <c r="AL10">
        <f t="shared" si="29"/>
        <v>56.434615129265445</v>
      </c>
      <c r="AM10">
        <f t="shared" si="30"/>
        <v>54.625365216086969</v>
      </c>
      <c r="AN10">
        <f t="shared" si="31"/>
        <v>55.529990172676207</v>
      </c>
      <c r="AS10" t="s">
        <v>74</v>
      </c>
      <c r="AT10">
        <f>$AP$11</f>
        <v>154.85315566068687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f t="shared" si="0"/>
        <v>6.6494850504177183</v>
      </c>
      <c r="H11">
        <f t="shared" si="1"/>
        <v>2.7923563004623602</v>
      </c>
      <c r="I11">
        <f t="shared" si="2"/>
        <v>6.2747882086785065</v>
      </c>
      <c r="J11">
        <f t="shared" si="3"/>
        <v>3.0819748511723697</v>
      </c>
      <c r="K11">
        <f t="shared" si="4"/>
        <v>28.976628785461706</v>
      </c>
      <c r="L11">
        <f t="shared" si="5"/>
        <v>6.8415964282037223E-2</v>
      </c>
      <c r="M11">
        <f t="shared" si="32"/>
        <v>4.4452807480568214E-2</v>
      </c>
      <c r="N11">
        <f t="shared" si="33"/>
        <v>0.42239920347935617</v>
      </c>
      <c r="O11">
        <f t="shared" si="6"/>
        <v>0.6957483411787414</v>
      </c>
      <c r="P11">
        <f t="shared" si="7"/>
        <v>0.59988528848792055</v>
      </c>
      <c r="Q11">
        <f t="shared" si="8"/>
        <v>6.3092644552180914</v>
      </c>
      <c r="R11">
        <f t="shared" si="9"/>
        <v>-1.193045123059211E-2</v>
      </c>
      <c r="S11">
        <f t="shared" si="10"/>
        <v>6.5715457294331925</v>
      </c>
      <c r="T11">
        <f t="shared" si="11"/>
        <v>2.7596267954924634</v>
      </c>
      <c r="U11">
        <f t="shared" si="12"/>
        <v>6.2012407491988597</v>
      </c>
      <c r="V11">
        <f t="shared" si="13"/>
        <v>3.0458506963888849</v>
      </c>
      <c r="W11">
        <f t="shared" si="14"/>
        <v>242.62520523518046</v>
      </c>
      <c r="X11">
        <f t="shared" si="15"/>
        <v>58.532348991404866</v>
      </c>
      <c r="Y11">
        <f t="shared" si="16"/>
        <v>272.46693110086028</v>
      </c>
      <c r="Z11">
        <f t="shared" si="17"/>
        <v>131.60743000778348</v>
      </c>
      <c r="AA11">
        <f t="shared" si="18"/>
        <v>48.048456147278529</v>
      </c>
      <c r="AB11">
        <f t="shared" si="19"/>
        <v>5.888554350548616</v>
      </c>
      <c r="AC11">
        <f t="shared" si="20"/>
        <v>271.67281688192452</v>
      </c>
      <c r="AD11">
        <f t="shared" si="21"/>
        <v>131.97191714456292</v>
      </c>
      <c r="AE11">
        <f t="shared" si="22"/>
        <v>47.980643568121927</v>
      </c>
      <c r="AF11">
        <f t="shared" si="23"/>
        <v>0.12061778788703226</v>
      </c>
      <c r="AG11">
        <f t="shared" si="24"/>
        <v>-0.79411421893576062</v>
      </c>
      <c r="AH11">
        <f t="shared" si="25"/>
        <v>0.36448713677944511</v>
      </c>
      <c r="AI11">
        <f t="shared" si="26"/>
        <v>-6.7812579156601771E-2</v>
      </c>
      <c r="AJ11">
        <f t="shared" si="27"/>
        <v>0.78261546224026257</v>
      </c>
      <c r="AK11">
        <f t="shared" si="28"/>
        <v>178.53888372368343</v>
      </c>
      <c r="AL11">
        <f t="shared" si="29"/>
        <v>56.728566088345474</v>
      </c>
      <c r="AM11">
        <f t="shared" si="30"/>
        <v>54.849933115029529</v>
      </c>
      <c r="AN11">
        <f t="shared" si="31"/>
        <v>55.789249601687501</v>
      </c>
      <c r="AO11" t="s">
        <v>74</v>
      </c>
      <c r="AP11">
        <f>($AP$4+2*$AP$5)/3</f>
        <v>154.85315566068687</v>
      </c>
      <c r="AS11" t="s">
        <v>75</v>
      </c>
      <c r="AT11">
        <f>$AP$12</f>
        <v>4.0911841998279721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f t="shared" si="0"/>
        <v>6.6810372216725451</v>
      </c>
      <c r="H12">
        <f t="shared" si="1"/>
        <v>2.7923563004623602</v>
      </c>
      <c r="I12">
        <f t="shared" si="2"/>
        <v>6.3144708422254601</v>
      </c>
      <c r="J12">
        <f t="shared" si="3"/>
        <v>3.0991282954377302</v>
      </c>
      <c r="K12">
        <f t="shared" si="4"/>
        <v>29.476203739006394</v>
      </c>
      <c r="L12">
        <f t="shared" si="5"/>
        <v>6.72564220804516E-2</v>
      </c>
      <c r="M12">
        <f t="shared" si="32"/>
        <v>5.5479271041162216E-2</v>
      </c>
      <c r="N12">
        <f t="shared" si="33"/>
        <v>0.4778784745205184</v>
      </c>
      <c r="O12">
        <f t="shared" si="6"/>
        <v>0.69467889148108908</v>
      </c>
      <c r="P12">
        <f t="shared" si="7"/>
        <v>0.59896319194463221</v>
      </c>
      <c r="Q12">
        <f t="shared" si="8"/>
        <v>6.3384484450327028</v>
      </c>
      <c r="R12">
        <f t="shared" si="9"/>
        <v>-1.3507885914100015E-2</v>
      </c>
      <c r="S12">
        <f t="shared" si="10"/>
        <v>6.5925788793968456</v>
      </c>
      <c r="T12">
        <f t="shared" si="11"/>
        <v>2.7553849139565729</v>
      </c>
      <c r="U12">
        <f t="shared" si="12"/>
        <v>6.2308659161460822</v>
      </c>
      <c r="V12">
        <f t="shared" si="13"/>
        <v>3.058095183000511</v>
      </c>
      <c r="W12">
        <f t="shared" si="14"/>
        <v>246.08195792287353</v>
      </c>
      <c r="X12">
        <f t="shared" si="15"/>
        <v>59.276828521664207</v>
      </c>
      <c r="Y12">
        <f t="shared" si="16"/>
        <v>275.48225659060574</v>
      </c>
      <c r="Z12">
        <f t="shared" si="17"/>
        <v>135.13695626768552</v>
      </c>
      <c r="AA12">
        <f t="shared" si="18"/>
        <v>48.122426160660964</v>
      </c>
      <c r="AB12">
        <f t="shared" si="19"/>
        <v>6.7200596128305596</v>
      </c>
      <c r="AC12">
        <f t="shared" si="20"/>
        <v>275.92552814773143</v>
      </c>
      <c r="AD12">
        <f t="shared" si="21"/>
        <v>134.7743562609912</v>
      </c>
      <c r="AE12">
        <f t="shared" si="22"/>
        <v>48.102054299219986</v>
      </c>
      <c r="AF12">
        <f t="shared" si="23"/>
        <v>0.13428129874679673</v>
      </c>
      <c r="AG12">
        <f t="shared" si="24"/>
        <v>0.44327155712568356</v>
      </c>
      <c r="AH12">
        <f t="shared" si="25"/>
        <v>-0.36260000669432202</v>
      </c>
      <c r="AI12">
        <f t="shared" si="26"/>
        <v>-2.0371861440978023E-2</v>
      </c>
      <c r="AJ12">
        <f t="shared" si="27"/>
        <v>0.34641491814304742</v>
      </c>
      <c r="AK12">
        <f t="shared" si="28"/>
        <v>181.82474688990462</v>
      </c>
      <c r="AL12">
        <f t="shared" si="29"/>
        <v>57.091466956880041</v>
      </c>
      <c r="AM12">
        <f t="shared" si="30"/>
        <v>55.123260402915221</v>
      </c>
      <c r="AN12">
        <f t="shared" si="31"/>
        <v>56.107363679897631</v>
      </c>
      <c r="AO12" t="s">
        <v>75</v>
      </c>
      <c r="AP12">
        <f>($AP$7+2*$AP$8)/3</f>
        <v>4.0911841998279721</v>
      </c>
      <c r="AS12" t="s">
        <v>81</v>
      </c>
      <c r="AT12">
        <f>AL4</f>
        <v>53.833013194358706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f t="shared" si="0"/>
        <v>6.7321482821897369</v>
      </c>
      <c r="H13">
        <f t="shared" si="1"/>
        <v>2.7901429273991463</v>
      </c>
      <c r="I13">
        <f t="shared" si="2"/>
        <v>6.3471675146608604</v>
      </c>
      <c r="J13">
        <f t="shared" si="3"/>
        <v>3.1122734108188288</v>
      </c>
      <c r="K13">
        <f t="shared" si="4"/>
        <v>29.906672052078822</v>
      </c>
      <c r="L13">
        <f t="shared" si="5"/>
        <v>6.6288351861677572E-2</v>
      </c>
      <c r="M13">
        <f t="shared" si="32"/>
        <v>4.5986733395412052E-2</v>
      </c>
      <c r="N13">
        <f t="shared" si="33"/>
        <v>0.5238652079159305</v>
      </c>
      <c r="O13">
        <f t="shared" si="6"/>
        <v>0.69379491418772787</v>
      </c>
      <c r="P13">
        <f t="shared" si="7"/>
        <v>0.59820101265902115</v>
      </c>
      <c r="Q13">
        <f t="shared" si="8"/>
        <v>6.3627071403473794</v>
      </c>
      <c r="R13">
        <f t="shared" si="9"/>
        <v>-1.4817259856759635E-2</v>
      </c>
      <c r="S13">
        <f t="shared" si="10"/>
        <v>6.6345599996319438</v>
      </c>
      <c r="T13">
        <f t="shared" si="11"/>
        <v>2.7496974046681628</v>
      </c>
      <c r="U13">
        <f t="shared" si="12"/>
        <v>6.2551598596154356</v>
      </c>
      <c r="V13">
        <f t="shared" si="13"/>
        <v>3.0671583295281204</v>
      </c>
      <c r="W13">
        <f t="shared" si="14"/>
        <v>248.95380051672581</v>
      </c>
      <c r="X13">
        <f t="shared" si="15"/>
        <v>59.856914304107704</v>
      </c>
      <c r="Y13">
        <f t="shared" si="16"/>
        <v>280.06973867491422</v>
      </c>
      <c r="Z13">
        <f t="shared" si="17"/>
        <v>137.18106335495219</v>
      </c>
      <c r="AA13">
        <f t="shared" si="18"/>
        <v>48.107384041339721</v>
      </c>
      <c r="AB13">
        <f t="shared" si="19"/>
        <v>7.4198687009724109</v>
      </c>
      <c r="AC13">
        <f t="shared" si="20"/>
        <v>279.48422109348923</v>
      </c>
      <c r="AD13">
        <f t="shared" si="21"/>
        <v>137.128087740929</v>
      </c>
      <c r="AE13">
        <f t="shared" si="22"/>
        <v>48.196005067357866</v>
      </c>
      <c r="AF13">
        <f t="shared" si="23"/>
        <v>0.14538154358579991</v>
      </c>
      <c r="AG13">
        <f t="shared" si="24"/>
        <v>-0.58551758142499466</v>
      </c>
      <c r="AH13">
        <f t="shared" si="25"/>
        <v>-5.2975614023182516E-2</v>
      </c>
      <c r="AI13">
        <f t="shared" si="26"/>
        <v>8.8621026018145699E-2</v>
      </c>
      <c r="AJ13">
        <f t="shared" si="27"/>
        <v>0.37462673330680718</v>
      </c>
      <c r="AK13">
        <f t="shared" si="28"/>
        <v>184.58013219178238</v>
      </c>
      <c r="AL13">
        <f t="shared" si="29"/>
        <v>57.388829710926757</v>
      </c>
      <c r="AM13">
        <f t="shared" si="30"/>
        <v>55.343793937343499</v>
      </c>
      <c r="AN13">
        <f t="shared" si="31"/>
        <v>56.366311824135124</v>
      </c>
      <c r="AS13" t="s">
        <v>82</v>
      </c>
      <c r="AT13">
        <f>AM4</f>
        <v>52.535476649088132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f t="shared" si="0"/>
        <v>6.7644917206250303</v>
      </c>
      <c r="H14">
        <f t="shared" si="1"/>
        <v>2.7945731879761522</v>
      </c>
      <c r="I14">
        <f t="shared" si="2"/>
        <v>6.3732885126850904</v>
      </c>
      <c r="J14">
        <f t="shared" si="3"/>
        <v>3.1223067040716872</v>
      </c>
      <c r="K14">
        <f t="shared" si="4"/>
        <v>30.205954061983476</v>
      </c>
      <c r="L14">
        <f t="shared" si="5"/>
        <v>6.5631563761632136E-2</v>
      </c>
      <c r="M14">
        <f t="shared" si="32"/>
        <v>3.6909605077129419E-2</v>
      </c>
      <c r="N14">
        <f t="shared" si="33"/>
        <v>0.56077481299305987</v>
      </c>
      <c r="O14">
        <f t="shared" si="6"/>
        <v>0.69308704725249171</v>
      </c>
      <c r="P14">
        <f t="shared" si="7"/>
        <v>0.59759067852594094</v>
      </c>
      <c r="Q14">
        <f t="shared" si="8"/>
        <v>6.3822222283119832</v>
      </c>
      <c r="R14">
        <f t="shared" si="9"/>
        <v>-1.5869388053484146E-2</v>
      </c>
      <c r="S14">
        <f t="shared" si="10"/>
        <v>6.6596329443351268</v>
      </c>
      <c r="T14">
        <f t="shared" si="11"/>
        <v>2.751253521570133</v>
      </c>
      <c r="U14">
        <f t="shared" si="12"/>
        <v>6.2744939155470654</v>
      </c>
      <c r="V14">
        <f t="shared" si="13"/>
        <v>3.0739067246331038</v>
      </c>
      <c r="W14">
        <f t="shared" si="14"/>
        <v>251.26345497306744</v>
      </c>
      <c r="X14">
        <f t="shared" si="15"/>
        <v>60.304995898898312</v>
      </c>
      <c r="Y14">
        <f t="shared" si="16"/>
        <v>283.05609328742344</v>
      </c>
      <c r="Z14">
        <f t="shared" si="17"/>
        <v>138.74800177017647</v>
      </c>
      <c r="AA14">
        <f t="shared" si="18"/>
        <v>48.309567022856506</v>
      </c>
      <c r="AB14">
        <f t="shared" si="19"/>
        <v>7.988541881600761</v>
      </c>
      <c r="AC14">
        <f t="shared" si="20"/>
        <v>282.36265068653927</v>
      </c>
      <c r="AD14">
        <f t="shared" si="21"/>
        <v>139.03760680163265</v>
      </c>
      <c r="AE14">
        <f t="shared" si="22"/>
        <v>48.26693401404021</v>
      </c>
      <c r="AF14">
        <f t="shared" si="23"/>
        <v>0.15447878903052192</v>
      </c>
      <c r="AG14">
        <f t="shared" si="24"/>
        <v>-0.69344260088416831</v>
      </c>
      <c r="AH14">
        <f t="shared" si="25"/>
        <v>0.28960503145617622</v>
      </c>
      <c r="AI14">
        <f t="shared" si="26"/>
        <v>-4.2633008816295614E-2</v>
      </c>
      <c r="AJ14">
        <f t="shared" si="27"/>
        <v>0.59041498466679954</v>
      </c>
      <c r="AK14">
        <f t="shared" si="28"/>
        <v>186.81262142993486</v>
      </c>
      <c r="AL14">
        <f t="shared" si="29"/>
        <v>57.625169185405454</v>
      </c>
      <c r="AM14">
        <f t="shared" si="30"/>
        <v>55.516729219364045</v>
      </c>
      <c r="AN14">
        <f t="shared" si="31"/>
        <v>56.570949202384753</v>
      </c>
      <c r="AO14" t="s">
        <v>76</v>
      </c>
      <c r="AP14">
        <f>3*$AP$11*($AP$7-3)-7*$AP$4</f>
        <v>-572.71389817866998</v>
      </c>
      <c r="AS14" t="s">
        <v>83</v>
      </c>
      <c r="AT14">
        <f>AN4</f>
        <v>53.184244921723419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f t="shared" si="0"/>
        <v>6.7905910940533678</v>
      </c>
      <c r="H15">
        <f t="shared" si="1"/>
        <v>2.7934643043899849</v>
      </c>
      <c r="I15">
        <f t="shared" si="2"/>
        <v>6.4048282781186456</v>
      </c>
      <c r="J15">
        <f t="shared" si="3"/>
        <v>3.1340873000010268</v>
      </c>
      <c r="K15">
        <f t="shared" si="4"/>
        <v>30.617234845653556</v>
      </c>
      <c r="L15">
        <f t="shared" si="5"/>
        <v>6.4749936106050149E-2</v>
      </c>
      <c r="M15">
        <f t="shared" si="32"/>
        <v>4.4897445980980895E-2</v>
      </c>
      <c r="N15">
        <f t="shared" si="33"/>
        <v>0.60567225897404076</v>
      </c>
      <c r="O15">
        <f t="shared" si="6"/>
        <v>0.69222793112474035</v>
      </c>
      <c r="P15">
        <f t="shared" si="7"/>
        <v>0.59684993493283722</v>
      </c>
      <c r="Q15">
        <f t="shared" si="8"/>
        <v>6.4060144400566612</v>
      </c>
      <c r="R15">
        <f t="shared" si="9"/>
        <v>-1.7150661782033061E-2</v>
      </c>
      <c r="S15">
        <f t="shared" si="10"/>
        <v>6.6770409433958093</v>
      </c>
      <c r="T15">
        <f t="shared" si="11"/>
        <v>2.7467528637765501</v>
      </c>
      <c r="U15">
        <f t="shared" si="12"/>
        <v>6.2977287331978742</v>
      </c>
      <c r="V15">
        <f t="shared" si="13"/>
        <v>3.0816800676761851</v>
      </c>
      <c r="W15">
        <f t="shared" si="14"/>
        <v>254.07141909631511</v>
      </c>
      <c r="X15">
        <f t="shared" si="15"/>
        <v>60.83633069875588</v>
      </c>
      <c r="Y15">
        <f t="shared" si="16"/>
        <v>285.59854589642839</v>
      </c>
      <c r="Z15">
        <f t="shared" si="17"/>
        <v>141.64556541863021</v>
      </c>
      <c r="AA15">
        <f t="shared" si="18"/>
        <v>48.331145138814122</v>
      </c>
      <c r="AB15">
        <f t="shared" si="19"/>
        <v>8.6887534725699105</v>
      </c>
      <c r="AC15">
        <f t="shared" si="20"/>
        <v>285.89077390656809</v>
      </c>
      <c r="AD15">
        <f t="shared" si="21"/>
        <v>141.38505496171388</v>
      </c>
      <c r="AE15">
        <f t="shared" si="22"/>
        <v>48.347734400055941</v>
      </c>
      <c r="AF15">
        <f t="shared" si="23"/>
        <v>0.16598153669682425</v>
      </c>
      <c r="AG15">
        <f t="shared" si="24"/>
        <v>0.29222801013969502</v>
      </c>
      <c r="AH15">
        <f t="shared" si="25"/>
        <v>-0.2605104569163359</v>
      </c>
      <c r="AI15">
        <f t="shared" si="26"/>
        <v>1.6589261241819031E-2</v>
      </c>
      <c r="AJ15">
        <f t="shared" si="27"/>
        <v>0.18108798218575234</v>
      </c>
      <c r="AK15">
        <f t="shared" si="28"/>
        <v>189.55362794333192</v>
      </c>
      <c r="AL15">
        <f t="shared" si="29"/>
        <v>57.909784429004411</v>
      </c>
      <c r="AM15">
        <f t="shared" si="30"/>
        <v>55.722076177162137</v>
      </c>
      <c r="AN15">
        <f t="shared" si="31"/>
        <v>56.815930303083277</v>
      </c>
      <c r="AO15" t="s">
        <v>77</v>
      </c>
      <c r="AP15">
        <f>3*$AP$11*($AP$8-1)-7*$AP$5</f>
        <v>349.8976739932375</v>
      </c>
      <c r="AS15" t="s">
        <v>84</v>
      </c>
      <c r="AT15">
        <f>$AP$18</f>
        <v>3.5582993912781982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f t="shared" si="0"/>
        <v>6.8234998991995166</v>
      </c>
      <c r="H16">
        <f t="shared" si="1"/>
        <v>2.791249175146965</v>
      </c>
      <c r="I16">
        <f t="shared" si="2"/>
        <v>6.4317582118421823</v>
      </c>
      <c r="J16">
        <f t="shared" si="3"/>
        <v>3.1440360659657141</v>
      </c>
      <c r="K16">
        <f t="shared" si="4"/>
        <v>30.979417751921201</v>
      </c>
      <c r="L16">
        <f t="shared" si="5"/>
        <v>6.3992939308133268E-2</v>
      </c>
      <c r="M16">
        <f t="shared" si="32"/>
        <v>3.8791531104371731E-2</v>
      </c>
      <c r="N16">
        <f t="shared" si="33"/>
        <v>0.64446379007841248</v>
      </c>
      <c r="O16">
        <f t="shared" si="6"/>
        <v>0.69148736537345612</v>
      </c>
      <c r="P16">
        <f t="shared" si="7"/>
        <v>0.59621140736035205</v>
      </c>
      <c r="Q16">
        <f t="shared" si="8"/>
        <v>6.4266185366790136</v>
      </c>
      <c r="R16">
        <f t="shared" si="9"/>
        <v>-1.8258965912401504E-2</v>
      </c>
      <c r="S16">
        <f t="shared" si="10"/>
        <v>6.702221545345906</v>
      </c>
      <c r="T16">
        <f t="shared" si="11"/>
        <v>2.7416385486125106</v>
      </c>
      <c r="U16">
        <f t="shared" si="12"/>
        <v>6.3174425292980709</v>
      </c>
      <c r="V16">
        <f t="shared" si="13"/>
        <v>3.0881551362127233</v>
      </c>
      <c r="W16">
        <f t="shared" si="14"/>
        <v>256.48686064159421</v>
      </c>
      <c r="X16">
        <f t="shared" si="15"/>
        <v>61.288746785880903</v>
      </c>
      <c r="Y16">
        <f t="shared" si="16"/>
        <v>288.68224995687922</v>
      </c>
      <c r="Z16">
        <f t="shared" si="17"/>
        <v>143.77675644042893</v>
      </c>
      <c r="AA16">
        <f t="shared" si="18"/>
        <v>48.306204771761401</v>
      </c>
      <c r="AB16">
        <f t="shared" si="19"/>
        <v>9.3012816289912816</v>
      </c>
      <c r="AC16">
        <f t="shared" si="20"/>
        <v>288.96284656537489</v>
      </c>
      <c r="AD16">
        <f t="shared" si="21"/>
        <v>143.43524804018185</v>
      </c>
      <c r="AE16">
        <f t="shared" si="22"/>
        <v>48.412615874762317</v>
      </c>
      <c r="AF16">
        <f t="shared" si="23"/>
        <v>0.1758894552281518</v>
      </c>
      <c r="AG16">
        <f t="shared" si="24"/>
        <v>0.28059660849567081</v>
      </c>
      <c r="AH16">
        <f t="shared" si="25"/>
        <v>-0.34150840024707918</v>
      </c>
      <c r="AI16">
        <f t="shared" si="26"/>
        <v>0.10641110300091583</v>
      </c>
      <c r="AJ16">
        <f t="shared" si="27"/>
        <v>0.23762286744091951</v>
      </c>
      <c r="AK16">
        <f t="shared" si="28"/>
        <v>191.94444754857955</v>
      </c>
      <c r="AL16">
        <f t="shared" si="29"/>
        <v>58.153089229895997</v>
      </c>
      <c r="AM16">
        <f t="shared" si="30"/>
        <v>55.894953377432977</v>
      </c>
      <c r="AN16">
        <f t="shared" si="31"/>
        <v>57.024021303664483</v>
      </c>
      <c r="AO16" t="s">
        <v>78</v>
      </c>
      <c r="AP16">
        <f>3*$AP$11*($AP$9-1)-7*$AP$6</f>
        <v>-673.2115052601871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f t="shared" si="0"/>
        <v>6.8500574938693628</v>
      </c>
      <c r="H17">
        <f t="shared" si="1"/>
        <v>2.7945731879761522</v>
      </c>
      <c r="I17">
        <f t="shared" si="2"/>
        <v>6.4505411182666661</v>
      </c>
      <c r="J17">
        <f t="shared" si="3"/>
        <v>3.1509958953724793</v>
      </c>
      <c r="K17">
        <f t="shared" si="4"/>
        <v>31.196628314508715</v>
      </c>
      <c r="L17">
        <f t="shared" si="5"/>
        <v>6.3547380185249344E-2</v>
      </c>
      <c r="M17">
        <f t="shared" si="32"/>
        <v>2.7449420597741456E-2</v>
      </c>
      <c r="N17">
        <f t="shared" si="33"/>
        <v>0.67191321067615395</v>
      </c>
      <c r="O17">
        <f t="shared" si="6"/>
        <v>0.69096428747982208</v>
      </c>
      <c r="P17">
        <f t="shared" si="7"/>
        <v>0.59576040127876706</v>
      </c>
      <c r="Q17">
        <f t="shared" si="8"/>
        <v>6.4412249394654841</v>
      </c>
      <c r="R17">
        <f t="shared" si="9"/>
        <v>-1.9043933888806763E-2</v>
      </c>
      <c r="S17">
        <f t="shared" si="10"/>
        <v>6.7232174651239491</v>
      </c>
      <c r="T17">
        <f t="shared" si="11"/>
        <v>2.7428270903979501</v>
      </c>
      <c r="U17">
        <f t="shared" si="12"/>
        <v>6.3310987892648036</v>
      </c>
      <c r="V17">
        <f t="shared" si="13"/>
        <v>3.0926500478663197</v>
      </c>
      <c r="W17">
        <f t="shared" si="14"/>
        <v>258.18240752168958</v>
      </c>
      <c r="X17">
        <f t="shared" si="15"/>
        <v>61.606994925883839</v>
      </c>
      <c r="Y17">
        <f t="shared" si="16"/>
        <v>291.1540151455261</v>
      </c>
      <c r="Z17">
        <f t="shared" si="17"/>
        <v>144.78063925655567</v>
      </c>
      <c r="AA17">
        <f t="shared" si="18"/>
        <v>48.457982226607832</v>
      </c>
      <c r="AB17">
        <f t="shared" si="19"/>
        <v>9.7389700465154174</v>
      </c>
      <c r="AC17">
        <f t="shared" si="20"/>
        <v>291.15005672156025</v>
      </c>
      <c r="AD17">
        <f t="shared" si="21"/>
        <v>144.89840208514337</v>
      </c>
      <c r="AE17">
        <f t="shared" si="22"/>
        <v>48.455719767111091</v>
      </c>
      <c r="AF17">
        <f t="shared" si="23"/>
        <v>0.18313484568796135</v>
      </c>
      <c r="AG17">
        <f t="shared" si="24"/>
        <v>-3.9584239658552178E-3</v>
      </c>
      <c r="AH17">
        <f t="shared" si="25"/>
        <v>0.1177628285877006</v>
      </c>
      <c r="AI17">
        <f t="shared" si="26"/>
        <v>-2.2624594967410872E-3</v>
      </c>
      <c r="AJ17">
        <f t="shared" si="27"/>
        <v>4.742724334539742E-2</v>
      </c>
      <c r="AK17">
        <f t="shared" si="28"/>
        <v>193.64895363061567</v>
      </c>
      <c r="AL17">
        <f t="shared" si="29"/>
        <v>58.323762787550024</v>
      </c>
      <c r="AM17">
        <f t="shared" si="30"/>
        <v>56.01468081129434</v>
      </c>
      <c r="AN17">
        <f t="shared" si="31"/>
        <v>57.169221799422182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f t="shared" si="0"/>
        <v>6.8768226247527133</v>
      </c>
      <c r="H18">
        <f t="shared" si="1"/>
        <v>2.7979051271739794</v>
      </c>
      <c r="I18">
        <f t="shared" si="2"/>
        <v>6.4743351034350258</v>
      </c>
      <c r="J18">
        <f t="shared" si="3"/>
        <v>3.1599017904456828</v>
      </c>
      <c r="K18">
        <f t="shared" si="4"/>
        <v>31.479317564015773</v>
      </c>
      <c r="L18">
        <f t="shared" si="5"/>
        <v>6.2976714662523955E-2</v>
      </c>
      <c r="M18">
        <f t="shared" si="32"/>
        <v>3.5399919348848861E-2</v>
      </c>
      <c r="N18">
        <f t="shared" si="33"/>
        <v>0.70731313002500285</v>
      </c>
      <c r="O18">
        <f t="shared" si="6"/>
        <v>0.69029087162351699</v>
      </c>
      <c r="P18">
        <f t="shared" si="7"/>
        <v>0.59517977141402678</v>
      </c>
      <c r="Q18">
        <f t="shared" si="8"/>
        <v>6.4600946195405227</v>
      </c>
      <c r="R18">
        <f t="shared" si="9"/>
        <v>-2.0057138389710683E-2</v>
      </c>
      <c r="S18">
        <f t="shared" si="10"/>
        <v>6.7429089256262396</v>
      </c>
      <c r="T18">
        <f t="shared" si="11"/>
        <v>2.7434209786318657</v>
      </c>
      <c r="U18">
        <f t="shared" si="12"/>
        <v>6.3482591217796838</v>
      </c>
      <c r="V18">
        <f t="shared" si="13"/>
        <v>3.0983684107549183</v>
      </c>
      <c r="W18">
        <f t="shared" si="14"/>
        <v>260.34435765184446</v>
      </c>
      <c r="X18">
        <f t="shared" si="15"/>
        <v>62.016177121494088</v>
      </c>
      <c r="Y18">
        <f t="shared" si="16"/>
        <v>293.71996428390463</v>
      </c>
      <c r="Z18">
        <f t="shared" si="17"/>
        <v>146.41457608993011</v>
      </c>
      <c r="AA18">
        <f t="shared" si="18"/>
        <v>48.620989122942142</v>
      </c>
      <c r="AB18">
        <f t="shared" si="19"/>
        <v>10.308671880839592</v>
      </c>
      <c r="AC18">
        <f t="shared" si="20"/>
        <v>293.98720015848983</v>
      </c>
      <c r="AD18">
        <f t="shared" si="21"/>
        <v>146.80063496674148</v>
      </c>
      <c r="AE18">
        <f t="shared" si="22"/>
        <v>48.507821842688884</v>
      </c>
      <c r="AF18">
        <f t="shared" si="23"/>
        <v>0.1932607448285637</v>
      </c>
      <c r="AG18">
        <f t="shared" si="24"/>
        <v>0.2672358745851966</v>
      </c>
      <c r="AH18">
        <f t="shared" si="25"/>
        <v>0.38605887681137574</v>
      </c>
      <c r="AI18">
        <f t="shared" si="26"/>
        <v>-0.11316728025325773</v>
      </c>
      <c r="AJ18">
        <f t="shared" si="27"/>
        <v>0.27061301784178649</v>
      </c>
      <c r="AK18">
        <f t="shared" si="28"/>
        <v>195.86282336399094</v>
      </c>
      <c r="AL18">
        <f t="shared" si="29"/>
        <v>58.542006143963</v>
      </c>
      <c r="AM18">
        <f t="shared" si="30"/>
        <v>56.165835211079646</v>
      </c>
      <c r="AN18">
        <f t="shared" si="31"/>
        <v>57.353920677521323</v>
      </c>
      <c r="AO18" t="s">
        <v>79</v>
      </c>
      <c r="AP18">
        <f>SUM(AJ4:AJ25)</f>
        <v>3.5582993912781982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f t="shared" si="0"/>
        <v>6.9037977341019108</v>
      </c>
      <c r="H19">
        <f t="shared" si="1"/>
        <v>2.791249175146965</v>
      </c>
      <c r="I19">
        <f t="shared" si="2"/>
        <v>6.495675063314672</v>
      </c>
      <c r="J19">
        <f t="shared" si="3"/>
        <v>3.1679974302242808</v>
      </c>
      <c r="K19">
        <f t="shared" si="4"/>
        <v>31.805698584489921</v>
      </c>
      <c r="L19">
        <f t="shared" si="5"/>
        <v>6.2330465552696591E-2</v>
      </c>
      <c r="M19">
        <f t="shared" si="32"/>
        <v>3.2362561178836832E-2</v>
      </c>
      <c r="N19">
        <f t="shared" si="33"/>
        <v>0.73967569120383969</v>
      </c>
      <c r="O19">
        <f t="shared" si="6"/>
        <v>0.68967638320342251</v>
      </c>
      <c r="P19">
        <f t="shared" si="7"/>
        <v>0.59464994972226914</v>
      </c>
      <c r="Q19">
        <f t="shared" si="8"/>
        <v>6.4773774700275784</v>
      </c>
      <c r="R19">
        <f t="shared" si="9"/>
        <v>-2.0984273092527261E-2</v>
      </c>
      <c r="S19">
        <f t="shared" si="10"/>
        <v>6.7633327437832245</v>
      </c>
      <c r="T19">
        <f t="shared" si="11"/>
        <v>2.7344582893961582</v>
      </c>
      <c r="U19">
        <f t="shared" si="12"/>
        <v>6.3635137558686443</v>
      </c>
      <c r="V19">
        <f t="shared" si="13"/>
        <v>3.1035412069244588</v>
      </c>
      <c r="W19">
        <f t="shared" si="14"/>
        <v>262.2969139062568</v>
      </c>
      <c r="X19">
        <f t="shared" si="15"/>
        <v>62.389892664712335</v>
      </c>
      <c r="Y19">
        <f t="shared" si="16"/>
        <v>296.29253880170717</v>
      </c>
      <c r="Z19">
        <f t="shared" si="17"/>
        <v>148.43300285830276</v>
      </c>
      <c r="AA19">
        <f t="shared" si="18"/>
        <v>48.433049300114426</v>
      </c>
      <c r="AB19">
        <f t="shared" si="19"/>
        <v>10.834689570016593</v>
      </c>
      <c r="AC19">
        <f t="shared" si="20"/>
        <v>296.59716544303342</v>
      </c>
      <c r="AD19">
        <f t="shared" si="21"/>
        <v>148.55481975598929</v>
      </c>
      <c r="AE19">
        <f t="shared" si="22"/>
        <v>48.551968847520044</v>
      </c>
      <c r="AF19">
        <f t="shared" si="23"/>
        <v>0.20274680152843594</v>
      </c>
      <c r="AG19">
        <f t="shared" si="24"/>
        <v>0.3046266413262515</v>
      </c>
      <c r="AH19">
        <f t="shared" si="25"/>
        <v>0.12181689768652859</v>
      </c>
      <c r="AI19">
        <f t="shared" si="26"/>
        <v>0.11891954740561772</v>
      </c>
      <c r="AJ19">
        <f t="shared" si="27"/>
        <v>0</v>
      </c>
      <c r="AK19">
        <f t="shared" si="28"/>
        <v>197.90226831833732</v>
      </c>
      <c r="AL19">
        <f t="shared" si="29"/>
        <v>58.739650445920844</v>
      </c>
      <c r="AM19">
        <f t="shared" si="30"/>
        <v>56.300753849653439</v>
      </c>
      <c r="AN19">
        <f t="shared" si="31"/>
        <v>57.520202147787145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f t="shared" si="0"/>
        <v>6.9241683553243671</v>
      </c>
      <c r="H20">
        <f t="shared" si="1"/>
        <v>2.7868294391394235</v>
      </c>
      <c r="I20">
        <f t="shared" si="2"/>
        <v>6.5078826571499011</v>
      </c>
      <c r="J20">
        <f t="shared" si="3"/>
        <v>3.1726655186940942</v>
      </c>
      <c r="K20">
        <f t="shared" si="4"/>
        <v>31.997312248760252</v>
      </c>
      <c r="L20">
        <f t="shared" si="5"/>
        <v>6.1957203923489267E-2</v>
      </c>
      <c r="M20">
        <f t="shared" si="32"/>
        <v>1.8724566236634557E-2</v>
      </c>
      <c r="N20">
        <f t="shared" si="33"/>
        <v>0.75840025744047423</v>
      </c>
      <c r="O20">
        <f t="shared" si="6"/>
        <v>0.68932134737471829</v>
      </c>
      <c r="P20">
        <f t="shared" si="7"/>
        <v>0.59434383218246312</v>
      </c>
      <c r="Q20">
        <f t="shared" si="8"/>
        <v>6.4873911701137077</v>
      </c>
      <c r="R20">
        <f t="shared" si="9"/>
        <v>-2.1521078510975511E-2</v>
      </c>
      <c r="S20">
        <f t="shared" si="10"/>
        <v>6.7797969604283805</v>
      </c>
      <c r="T20">
        <f t="shared" si="11"/>
        <v>2.7287230452998834</v>
      </c>
      <c r="U20">
        <f t="shared" si="12"/>
        <v>6.3721909684419487</v>
      </c>
      <c r="V20">
        <f t="shared" si="13"/>
        <v>3.1065143041413674</v>
      </c>
      <c r="W20">
        <f t="shared" si="14"/>
        <v>263.41933605947941</v>
      </c>
      <c r="X20">
        <f t="shared" si="15"/>
        <v>62.606121647582405</v>
      </c>
      <c r="Y20">
        <f t="shared" si="16"/>
        <v>298.19713133869521</v>
      </c>
      <c r="Z20">
        <f t="shared" si="17"/>
        <v>149.42112438227406</v>
      </c>
      <c r="AA20">
        <f t="shared" si="18"/>
        <v>48.304657018798721</v>
      </c>
      <c r="AB20">
        <f t="shared" si="19"/>
        <v>11.141316225438787</v>
      </c>
      <c r="AC20">
        <f t="shared" si="20"/>
        <v>298.11437211768339</v>
      </c>
      <c r="AD20">
        <f t="shared" si="21"/>
        <v>149.57642273462628</v>
      </c>
      <c r="AE20">
        <f t="shared" si="22"/>
        <v>48.575972513135945</v>
      </c>
      <c r="AF20">
        <f t="shared" si="23"/>
        <v>0.2080633380056085</v>
      </c>
      <c r="AG20">
        <f t="shared" si="24"/>
        <v>-8.2759221011826867E-2</v>
      </c>
      <c r="AH20">
        <f t="shared" si="25"/>
        <v>0.15529835235221867</v>
      </c>
      <c r="AI20">
        <f t="shared" si="26"/>
        <v>0.27131549433722313</v>
      </c>
      <c r="AJ20">
        <f t="shared" si="27"/>
        <v>0</v>
      </c>
      <c r="AK20">
        <f t="shared" si="28"/>
        <v>199.08907252897862</v>
      </c>
      <c r="AL20">
        <f t="shared" si="29"/>
        <v>58.85317338449299</v>
      </c>
      <c r="AM20">
        <f t="shared" si="30"/>
        <v>56.377366305436958</v>
      </c>
      <c r="AN20">
        <f t="shared" si="31"/>
        <v>57.615269844964971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f t="shared" si="0"/>
        <v>6.9583878503224321</v>
      </c>
      <c r="H21">
        <f t="shared" si="1"/>
        <v>2.7846248157265188</v>
      </c>
      <c r="I21">
        <f t="shared" si="2"/>
        <v>6.5165205211490527</v>
      </c>
      <c r="J21">
        <f t="shared" si="3"/>
        <v>3.1759745517259623</v>
      </c>
      <c r="K21">
        <f t="shared" si="4"/>
        <v>32.126192550076794</v>
      </c>
      <c r="L21">
        <f t="shared" si="5"/>
        <v>6.1708650874510836E-2</v>
      </c>
      <c r="M21">
        <f t="shared" si="32"/>
        <v>1.3307776220935447E-2</v>
      </c>
      <c r="N21">
        <f t="shared" si="33"/>
        <v>0.77170803366140972</v>
      </c>
      <c r="O21">
        <f t="shared" si="6"/>
        <v>0.6890692412390188</v>
      </c>
      <c r="P21">
        <f t="shared" si="7"/>
        <v>0.59412646226148358</v>
      </c>
      <c r="Q21">
        <f t="shared" si="8"/>
        <v>6.4945142985436375</v>
      </c>
      <c r="R21">
        <f t="shared" si="9"/>
        <v>-2.190276066313801E-2</v>
      </c>
      <c r="S21">
        <f t="shared" si="10"/>
        <v>6.8108111310631907</v>
      </c>
      <c r="T21">
        <f t="shared" si="11"/>
        <v>2.7255672001534301</v>
      </c>
      <c r="U21">
        <f t="shared" si="12"/>
        <v>6.3783151292992519</v>
      </c>
      <c r="V21">
        <f t="shared" si="13"/>
        <v>3.1086170093071619</v>
      </c>
      <c r="W21">
        <f t="shared" si="14"/>
        <v>264.21570101109927</v>
      </c>
      <c r="X21">
        <f t="shared" si="15"/>
        <v>62.759737044163984</v>
      </c>
      <c r="Y21">
        <f t="shared" si="16"/>
        <v>301.26199766280979</v>
      </c>
      <c r="Z21">
        <f t="shared" si="17"/>
        <v>149.20074081459745</v>
      </c>
      <c r="AA21">
        <f t="shared" si="18"/>
        <v>48.245905935323258</v>
      </c>
      <c r="AB21">
        <f t="shared" si="19"/>
        <v>11.360259496838566</v>
      </c>
      <c r="AC21">
        <f t="shared" si="20"/>
        <v>299.19584763095037</v>
      </c>
      <c r="AD21">
        <f t="shared" si="21"/>
        <v>150.30546637572945</v>
      </c>
      <c r="AE21">
        <f t="shared" si="22"/>
        <v>48.592339873551026</v>
      </c>
      <c r="AF21">
        <f t="shared" si="23"/>
        <v>0.21178509587325145</v>
      </c>
      <c r="AG21">
        <f t="shared" si="24"/>
        <v>-2.0661500318594221</v>
      </c>
      <c r="AH21">
        <f t="shared" si="25"/>
        <v>1.1047255611319997</v>
      </c>
      <c r="AI21">
        <f t="shared" si="26"/>
        <v>0.34643393822776858</v>
      </c>
      <c r="AJ21">
        <f t="shared" si="27"/>
        <v>0</v>
      </c>
      <c r="AK21">
        <f t="shared" si="28"/>
        <v>199.93559346080306</v>
      </c>
      <c r="AL21">
        <f t="shared" si="29"/>
        <v>58.933480175174807</v>
      </c>
      <c r="AM21">
        <f t="shared" si="30"/>
        <v>56.431161315585143</v>
      </c>
      <c r="AN21">
        <f t="shared" si="31"/>
        <v>57.682320745379975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f t="shared" si="0"/>
        <v>6.9790823795993937</v>
      </c>
      <c r="H22">
        <f t="shared" si="1"/>
        <v>2.7868294391394235</v>
      </c>
      <c r="I22">
        <f t="shared" si="2"/>
        <v>6.5319776256720603</v>
      </c>
      <c r="J22">
        <f t="shared" si="3"/>
        <v>3.1818754438703651</v>
      </c>
      <c r="K22">
        <f t="shared" si="4"/>
        <v>32.311507271808203</v>
      </c>
      <c r="L22">
        <f t="shared" si="5"/>
        <v>6.1354736048779134E-2</v>
      </c>
      <c r="M22">
        <f t="shared" si="32"/>
        <v>2.3837299554621456E-2</v>
      </c>
      <c r="N22">
        <f t="shared" si="33"/>
        <v>0.79554533321603116</v>
      </c>
      <c r="O22">
        <f t="shared" si="6"/>
        <v>0.68861812163585789</v>
      </c>
      <c r="P22">
        <f t="shared" si="7"/>
        <v>0.59373749976273549</v>
      </c>
      <c r="Q22">
        <f t="shared" si="8"/>
        <v>6.5072864971490745</v>
      </c>
      <c r="R22">
        <f t="shared" si="9"/>
        <v>-2.2586790543968505E-2</v>
      </c>
      <c r="S22">
        <f t="shared" si="10"/>
        <v>6.8265946008262048</v>
      </c>
      <c r="T22">
        <f t="shared" si="11"/>
        <v>2.7259392808234391</v>
      </c>
      <c r="U22">
        <f t="shared" si="12"/>
        <v>6.389258754485434</v>
      </c>
      <c r="V22">
        <f t="shared" si="13"/>
        <v>3.112353823064308</v>
      </c>
      <c r="W22">
        <f t="shared" si="14"/>
        <v>265.64453226489621</v>
      </c>
      <c r="X22">
        <f t="shared" si="15"/>
        <v>63.034433529073659</v>
      </c>
      <c r="Y22">
        <f t="shared" si="16"/>
        <v>303.25512819607627</v>
      </c>
      <c r="Z22">
        <f t="shared" si="17"/>
        <v>150.13126157976251</v>
      </c>
      <c r="AA22">
        <f t="shared" si="18"/>
        <v>48.353986359771831</v>
      </c>
      <c r="AB22">
        <f t="shared" si="19"/>
        <v>11.75456365278853</v>
      </c>
      <c r="AC22">
        <f t="shared" si="20"/>
        <v>301.13963651250054</v>
      </c>
      <c r="AD22">
        <f t="shared" si="21"/>
        <v>151.61756079975234</v>
      </c>
      <c r="AE22">
        <f t="shared" si="22"/>
        <v>48.620207896919823</v>
      </c>
      <c r="AF22">
        <f t="shared" si="23"/>
        <v>0.21869052746533413</v>
      </c>
      <c r="AG22">
        <f t="shared" si="24"/>
        <v>-2.1154916835757263</v>
      </c>
      <c r="AH22">
        <f t="shared" si="25"/>
        <v>1.4862992199898315</v>
      </c>
      <c r="AI22">
        <f t="shared" si="26"/>
        <v>0.26622153714799168</v>
      </c>
      <c r="AJ22">
        <f t="shared" si="27"/>
        <v>0</v>
      </c>
      <c r="AK22">
        <f t="shared" si="28"/>
        <v>201.45825270400175</v>
      </c>
      <c r="AL22">
        <f t="shared" si="29"/>
        <v>59.076539880701532</v>
      </c>
      <c r="AM22">
        <f t="shared" si="30"/>
        <v>56.526146163676785</v>
      </c>
      <c r="AN22">
        <f t="shared" si="31"/>
        <v>57.801343022189158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f t="shared" si="0"/>
        <v>7.0068673252162164</v>
      </c>
      <c r="H23">
        <f t="shared" si="1"/>
        <v>2.7835238115389078</v>
      </c>
      <c r="I23">
        <f t="shared" si="2"/>
        <v>6.552704603478948</v>
      </c>
      <c r="J23">
        <f t="shared" si="3"/>
        <v>3.1896287273231541</v>
      </c>
      <c r="K23">
        <f t="shared" si="4"/>
        <v>32.607264541248746</v>
      </c>
      <c r="L23">
        <f t="shared" si="5"/>
        <v>6.0798230943051021E-2</v>
      </c>
      <c r="M23">
        <f t="shared" si="32"/>
        <v>3.1547935726109068E-2</v>
      </c>
      <c r="N23">
        <f t="shared" si="33"/>
        <v>0.82709326894214019</v>
      </c>
      <c r="O23">
        <f t="shared" si="6"/>
        <v>0.68802198605335252</v>
      </c>
      <c r="P23">
        <f t="shared" si="7"/>
        <v>0.59322350217952413</v>
      </c>
      <c r="Q23">
        <f t="shared" si="8"/>
        <v>6.5242158419569609</v>
      </c>
      <c r="R23">
        <f t="shared" si="9"/>
        <v>-2.3492771895055942E-2</v>
      </c>
      <c r="S23">
        <f t="shared" si="10"/>
        <v>6.8478391663460272</v>
      </c>
      <c r="T23">
        <f t="shared" si="11"/>
        <v>2.7203488367070983</v>
      </c>
      <c r="U23">
        <f t="shared" si="12"/>
        <v>6.4039841410604144</v>
      </c>
      <c r="V23">
        <f t="shared" si="13"/>
        <v>3.1172367780478747</v>
      </c>
      <c r="W23">
        <f t="shared" si="14"/>
        <v>267.56469991956806</v>
      </c>
      <c r="X23">
        <f t="shared" si="15"/>
        <v>63.396882682760719</v>
      </c>
      <c r="Y23">
        <f t="shared" si="16"/>
        <v>305.93940919845562</v>
      </c>
      <c r="Z23">
        <f t="shared" si="17"/>
        <v>151.81506508266909</v>
      </c>
      <c r="AA23">
        <f t="shared" si="18"/>
        <v>48.28114009872759</v>
      </c>
      <c r="AB23">
        <f t="shared" si="19"/>
        <v>12.280627292645404</v>
      </c>
      <c r="AC23">
        <f t="shared" si="20"/>
        <v>303.72527419730437</v>
      </c>
      <c r="AD23">
        <f t="shared" si="21"/>
        <v>153.36638659326181</v>
      </c>
      <c r="AE23">
        <f t="shared" si="22"/>
        <v>48.654201229780497</v>
      </c>
      <c r="AF23">
        <f t="shared" si="23"/>
        <v>0.22822253484505239</v>
      </c>
      <c r="AG23">
        <f t="shared" si="24"/>
        <v>-2.2141350011512486</v>
      </c>
      <c r="AH23">
        <f t="shared" si="25"/>
        <v>1.5513215105927145</v>
      </c>
      <c r="AI23">
        <f t="shared" si="26"/>
        <v>0.37306113105290706</v>
      </c>
      <c r="AJ23">
        <f t="shared" si="27"/>
        <v>0</v>
      </c>
      <c r="AK23">
        <f t="shared" si="28"/>
        <v>203.48601579460933</v>
      </c>
      <c r="AL23">
        <f t="shared" si="29"/>
        <v>59.26429825867681</v>
      </c>
      <c r="AM23">
        <f t="shared" si="30"/>
        <v>56.649106269245451</v>
      </c>
      <c r="AN23">
        <f t="shared" si="31"/>
        <v>57.956702263961134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f t="shared" si="0"/>
        <v>7.0278516536758504</v>
      </c>
      <c r="H24">
        <f t="shared" si="1"/>
        <v>2.7769360266922449</v>
      </c>
      <c r="I24">
        <f t="shared" si="2"/>
        <v>6.5633034361324292</v>
      </c>
      <c r="J24">
        <f t="shared" si="3"/>
        <v>3.1934567836651317</v>
      </c>
      <c r="K24">
        <f t="shared" si="4"/>
        <v>32.795120399626001</v>
      </c>
      <c r="L24">
        <f t="shared" si="5"/>
        <v>6.0449968649074023E-2</v>
      </c>
      <c r="M24">
        <f t="shared" si="32"/>
        <v>1.565713261755914E-2</v>
      </c>
      <c r="N24">
        <f t="shared" si="33"/>
        <v>0.84275040155969938</v>
      </c>
      <c r="O24">
        <f t="shared" si="6"/>
        <v>0.68772650907755584</v>
      </c>
      <c r="P24">
        <f t="shared" si="7"/>
        <v>0.59296873723022225</v>
      </c>
      <c r="Q24">
        <f t="shared" si="8"/>
        <v>6.5326287091645172</v>
      </c>
      <c r="R24">
        <f t="shared" si="9"/>
        <v>-2.3942698683284469E-2</v>
      </c>
      <c r="S24">
        <f t="shared" si="10"/>
        <v>6.8653975626383819</v>
      </c>
      <c r="T24">
        <f t="shared" si="11"/>
        <v>2.7127450562056197</v>
      </c>
      <c r="U24">
        <f t="shared" si="12"/>
        <v>6.4115877274830728</v>
      </c>
      <c r="V24">
        <f t="shared" si="13"/>
        <v>3.1196376217614503</v>
      </c>
      <c r="W24">
        <f t="shared" si="14"/>
        <v>268.54628761063867</v>
      </c>
      <c r="X24">
        <f t="shared" si="15"/>
        <v>63.576449921638044</v>
      </c>
      <c r="Y24">
        <f t="shared" si="16"/>
        <v>307.90685526210058</v>
      </c>
      <c r="Z24">
        <f t="shared" si="17"/>
        <v>152.71896075441282</v>
      </c>
      <c r="AA24">
        <f t="shared" si="18"/>
        <v>48.073521515247442</v>
      </c>
      <c r="AB24">
        <f t="shared" si="19"/>
        <v>12.543501520994477</v>
      </c>
      <c r="AC24">
        <f t="shared" si="20"/>
        <v>305.01407113938984</v>
      </c>
      <c r="AD24">
        <f t="shared" si="21"/>
        <v>154.2395543239939</v>
      </c>
      <c r="AE24">
        <f t="shared" si="22"/>
        <v>48.669837434366755</v>
      </c>
      <c r="AF24">
        <f t="shared" si="23"/>
        <v>0.23283094695554674</v>
      </c>
      <c r="AG24">
        <f t="shared" si="24"/>
        <v>-2.8927841227107365</v>
      </c>
      <c r="AH24">
        <f t="shared" si="25"/>
        <v>1.5205935695810808</v>
      </c>
      <c r="AI24">
        <f t="shared" si="26"/>
        <v>0.59631591911931281</v>
      </c>
      <c r="AJ24">
        <f t="shared" si="27"/>
        <v>0</v>
      </c>
      <c r="AK24">
        <f t="shared" si="28"/>
        <v>204.49772659579253</v>
      </c>
      <c r="AL24">
        <f t="shared" si="29"/>
        <v>59.356805823699247</v>
      </c>
      <c r="AM24">
        <f t="shared" si="30"/>
        <v>56.70895154077008</v>
      </c>
      <c r="AN24">
        <f t="shared" si="31"/>
        <v>58.032878682234667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f t="shared" si="0"/>
        <v>7.0489620483868389</v>
      </c>
      <c r="H25">
        <f t="shared" si="1"/>
        <v>2.7780318245128113</v>
      </c>
      <c r="I25">
        <f t="shared" si="2"/>
        <v>6.5705299787912459</v>
      </c>
      <c r="J25">
        <f t="shared" si="3"/>
        <v>3.1959920966074797</v>
      </c>
      <c r="K25">
        <f t="shared" si="4"/>
        <v>32.881916444853189</v>
      </c>
      <c r="L25">
        <f t="shared" si="5"/>
        <v>6.0290403186347825E-2</v>
      </c>
      <c r="M25">
        <f t="shared" si="32"/>
        <v>1.0394370228341575E-2</v>
      </c>
      <c r="N25">
        <f t="shared" si="33"/>
        <v>0.85314477178804093</v>
      </c>
      <c r="O25">
        <f t="shared" si="6"/>
        <v>0.68753048959309659</v>
      </c>
      <c r="P25">
        <f t="shared" si="7"/>
        <v>0.59279972611222964</v>
      </c>
      <c r="Q25">
        <f t="shared" si="8"/>
        <v>6.5382177891453122</v>
      </c>
      <c r="R25">
        <f t="shared" si="9"/>
        <v>-2.4241500321569798E-2</v>
      </c>
      <c r="S25">
        <f t="shared" si="10"/>
        <v>6.8840572844468193</v>
      </c>
      <c r="T25">
        <f t="shared" si="11"/>
        <v>2.7130420176313872</v>
      </c>
      <c r="U25">
        <f t="shared" si="12"/>
        <v>6.4168177460290687</v>
      </c>
      <c r="V25">
        <f t="shared" si="13"/>
        <v>3.1212244473241593</v>
      </c>
      <c r="W25">
        <f t="shared" si="14"/>
        <v>269.21471339469605</v>
      </c>
      <c r="X25">
        <f t="shared" si="15"/>
        <v>63.695592637664625</v>
      </c>
      <c r="Y25">
        <f t="shared" si="16"/>
        <v>309.84774090036365</v>
      </c>
      <c r="Z25">
        <f t="shared" si="17"/>
        <v>152.64782729177665</v>
      </c>
      <c r="AA25">
        <f t="shared" si="18"/>
        <v>48.125186175042813</v>
      </c>
      <c r="AB25">
        <f t="shared" si="19"/>
        <v>12.718675460078929</v>
      </c>
      <c r="AC25">
        <f t="shared" si="20"/>
        <v>305.87170994659579</v>
      </c>
      <c r="AD25">
        <f t="shared" si="21"/>
        <v>154.82115215918432</v>
      </c>
      <c r="AE25">
        <f t="shared" si="22"/>
        <v>48.679761865650981</v>
      </c>
      <c r="AF25">
        <f t="shared" si="23"/>
        <v>0.23582767521427961</v>
      </c>
      <c r="AG25">
        <f t="shared" si="24"/>
        <v>-3.9760309537678609</v>
      </c>
      <c r="AH25">
        <f t="shared" si="25"/>
        <v>2.1733248674076719</v>
      </c>
      <c r="AI25">
        <f t="shared" si="26"/>
        <v>0.5545756906081678</v>
      </c>
      <c r="AJ25">
        <f t="shared" si="27"/>
        <v>0</v>
      </c>
      <c r="AK25">
        <f t="shared" si="28"/>
        <v>205.17133808832148</v>
      </c>
      <c r="AL25">
        <f t="shared" si="29"/>
        <v>59.417968676872874</v>
      </c>
      <c r="AM25">
        <f t="shared" si="30"/>
        <v>56.748244259312386</v>
      </c>
      <c r="AN25">
        <f t="shared" si="31"/>
        <v>58.08310646809263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2D50-0280-4529-87A1-E9B96285F462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5.9552663945054363</v>
      </c>
      <c r="J4">
        <f t="shared" ref="J4:J25" si="3">2*Lfin_111/F4</f>
        <v>2.8978863432718183</v>
      </c>
      <c r="K4">
        <f t="shared" ref="K4:K25" si="4">G4^2+(2/3)*H4^2-2*J4^2</f>
        <v>26.005154537081584</v>
      </c>
      <c r="L4">
        <f t="shared" ref="L4:L25" si="5">4*Lfin_100^2/K4</f>
        <v>7.6233501984121682E-2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5.9552663945054363</v>
      </c>
      <c r="V4">
        <f t="shared" ref="V4:V25" si="13">2*P4/F4</f>
        <v>2.8978863432718183</v>
      </c>
      <c r="W4">
        <f t="shared" ref="W4:W25" si="14">Q4*U4^2</f>
        <v>215.98305478181197</v>
      </c>
      <c r="X4">
        <f t="shared" ref="X4:X25" si="15">Q4*V4^2</f>
        <v>51.142268624394774</v>
      </c>
      <c r="Y4">
        <f t="shared" ref="Y4:Y25" si="16">Q4*S4^2</f>
        <v>229.82307082439178</v>
      </c>
      <c r="Z4">
        <f t="shared" ref="Z4:Z25" si="17">Y4+AA4-3*X4</f>
        <v>122.64555128404436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241.08938549163528</v>
      </c>
      <c r="AD4">
        <f t="shared" ref="AD4:AD25" si="21">((1-2*R4)^3.5)*($AP$5-$AP$15*R4)+1*AB4</f>
        <v>128.90555644176084</v>
      </c>
      <c r="AE4">
        <f t="shared" ref="AE4:AE25" si="22">((1-2*R4)^3.5)*($AP$6-$AP$16*R4)+1*AB4</f>
        <v>46.7600429001902</v>
      </c>
      <c r="AF4">
        <f t="shared" ref="AF4:AF25" si="23">AB4-B4</f>
        <v>0</v>
      </c>
      <c r="AG4">
        <f t="shared" ref="AG4:AG25" si="24">AC4-Y4</f>
        <v>11.266314667243506</v>
      </c>
      <c r="AH4">
        <f t="shared" ref="AH4:AH25" si="25">AD4-Z4</f>
        <v>6.2600051577164777</v>
      </c>
      <c r="AI4">
        <f t="shared" ref="AI4:AI25" si="26">AE4-AA4</f>
        <v>0.51075656735332586</v>
      </c>
      <c r="AJ4">
        <f t="shared" ref="AJ4:AJ25" si="27">IF(AND(A4&gt;=CutoffLowBar,A4&lt;=CutoffOilBar),AF4^2+AG4^2+AH4^2+AI4^2,0)</f>
        <v>0</v>
      </c>
      <c r="AK4">
        <f t="shared" ref="AK4:AK25" si="28">(AC4+2*AD4)/3</f>
        <v>166.30016612505233</v>
      </c>
      <c r="AL4">
        <f t="shared" ref="AL4:AL25" si="29">(AC4-AD4+3*AE4)/5</f>
        <v>50.492791550089009</v>
      </c>
      <c r="AM4">
        <f t="shared" ref="AM4:AM25" si="30">5*(AC4-AD4)*AE4/(3*(AC4-AD4)+4*AE4)</f>
        <v>50.093623259767838</v>
      </c>
      <c r="AN4">
        <f t="shared" ref="AN4:AN25" si="31">(AL4+AM4)/2</f>
        <v>50.293207404928424</v>
      </c>
      <c r="AO4" t="s">
        <v>68</v>
      </c>
      <c r="AP4">
        <v>241.08938549163528</v>
      </c>
      <c r="AS4" t="s">
        <v>68</v>
      </c>
      <c r="AT4">
        <f>$AP$4</f>
        <v>241.08938549163528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f t="shared" si="0"/>
        <v>6.2648579009706697</v>
      </c>
      <c r="H5">
        <f t="shared" si="1"/>
        <v>2.7758410930082182</v>
      </c>
      <c r="I5">
        <f t="shared" si="2"/>
        <v>5.962002320164963</v>
      </c>
      <c r="J5">
        <f t="shared" si="3"/>
        <v>2.9022348252931329</v>
      </c>
      <c r="K5">
        <f t="shared" si="4"/>
        <v>27.53937307282148</v>
      </c>
      <c r="L5">
        <f t="shared" si="5"/>
        <v>7.198653341736698E-2</v>
      </c>
      <c r="M5">
        <f t="shared" ref="M5:M25" si="32">0.5*(B5-B4)*(L5+L4)</f>
        <v>9.5700421064680852E-3</v>
      </c>
      <c r="N5">
        <f t="shared" ref="N5:N25" si="33">N4+M5</f>
        <v>9.5700421064680852E-3</v>
      </c>
      <c r="O5">
        <f t="shared" si="6"/>
        <v>0.70381088071462872</v>
      </c>
      <c r="P5">
        <f t="shared" si="7"/>
        <v>0.60683693834343699</v>
      </c>
      <c r="Q5">
        <f t="shared" si="8"/>
        <v>6.0949106059061799</v>
      </c>
      <c r="R5">
        <f t="shared" si="9"/>
        <v>-2.6874363474960195E-4</v>
      </c>
      <c r="S5">
        <f t="shared" si="10"/>
        <v>6.2631749386848972</v>
      </c>
      <c r="T5">
        <f t="shared" si="11"/>
        <v>2.7750954039687099</v>
      </c>
      <c r="U5">
        <f t="shared" si="12"/>
        <v>5.9604007155936971</v>
      </c>
      <c r="V5">
        <f t="shared" si="13"/>
        <v>2.9014551824292991</v>
      </c>
      <c r="W5">
        <f t="shared" si="14"/>
        <v>216.53009008004094</v>
      </c>
      <c r="X5">
        <f t="shared" si="15"/>
        <v>51.309652501551717</v>
      </c>
      <c r="Y5">
        <f t="shared" si="16"/>
        <v>239.08725441078951</v>
      </c>
      <c r="Z5">
        <f t="shared" si="17"/>
        <v>132.09614515278309</v>
      </c>
      <c r="AA5">
        <f t="shared" si="18"/>
        <v>46.937848246648727</v>
      </c>
      <c r="AB5">
        <f t="shared" si="19"/>
        <v>0.13423225350008891</v>
      </c>
      <c r="AC5">
        <f t="shared" si="20"/>
        <v>241.79864668570397</v>
      </c>
      <c r="AD5">
        <f t="shared" si="21"/>
        <v>129.26557033688658</v>
      </c>
      <c r="AE5">
        <f t="shared" si="22"/>
        <v>46.794505182683089</v>
      </c>
      <c r="AF5">
        <f t="shared" si="23"/>
        <v>5.0993453808135802E-3</v>
      </c>
      <c r="AG5">
        <f t="shared" si="24"/>
        <v>2.7113922749144592</v>
      </c>
      <c r="AH5">
        <f t="shared" si="25"/>
        <v>-2.8305748158965116</v>
      </c>
      <c r="AI5">
        <f t="shared" si="26"/>
        <v>-0.1433430639656379</v>
      </c>
      <c r="AJ5">
        <f t="shared" si="27"/>
        <v>0</v>
      </c>
      <c r="AK5">
        <f t="shared" si="28"/>
        <v>166.77659578649238</v>
      </c>
      <c r="AL5">
        <f t="shared" si="29"/>
        <v>50.583318379373331</v>
      </c>
      <c r="AM5">
        <f t="shared" si="30"/>
        <v>50.172998416603157</v>
      </c>
      <c r="AN5">
        <f t="shared" si="31"/>
        <v>50.378158397988244</v>
      </c>
      <c r="AO5" t="s">
        <v>69</v>
      </c>
      <c r="AP5">
        <v>128.90555644176084</v>
      </c>
      <c r="AS5" t="s">
        <v>69</v>
      </c>
      <c r="AT5">
        <f>$AP$5</f>
        <v>128.90555644176084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f t="shared" si="0"/>
        <v>6.3726059035918201</v>
      </c>
      <c r="H6">
        <f t="shared" si="1"/>
        <v>2.7835238115389078</v>
      </c>
      <c r="I6">
        <f t="shared" si="2"/>
        <v>6.0488824627844204</v>
      </c>
      <c r="J6">
        <f t="shared" si="3"/>
        <v>2.9571677852614564</v>
      </c>
      <c r="K6">
        <f t="shared" si="4"/>
        <v>28.285759921719752</v>
      </c>
      <c r="L6">
        <f t="shared" si="5"/>
        <v>7.0086998033159709E-2</v>
      </c>
      <c r="M6">
        <f t="shared" si="32"/>
        <v>0.10702048165073789</v>
      </c>
      <c r="N6">
        <f t="shared" si="33"/>
        <v>0.11659052375720598</v>
      </c>
      <c r="O6">
        <f t="shared" si="6"/>
        <v>0.70170288620965315</v>
      </c>
      <c r="P6">
        <f t="shared" si="7"/>
        <v>0.6050193919449709</v>
      </c>
      <c r="Q6">
        <f t="shared" si="8"/>
        <v>6.1500051790744701</v>
      </c>
      <c r="R6">
        <f t="shared" si="9"/>
        <v>-3.2789857115883558E-3</v>
      </c>
      <c r="S6">
        <f t="shared" si="10"/>
        <v>6.3518124364020672</v>
      </c>
      <c r="T6">
        <f t="shared" si="11"/>
        <v>2.7744413244178219</v>
      </c>
      <c r="U6">
        <f t="shared" si="12"/>
        <v>6.0291452876119083</v>
      </c>
      <c r="V6">
        <f t="shared" si="13"/>
        <v>2.9475187072786535</v>
      </c>
      <c r="W6">
        <f t="shared" si="14"/>
        <v>223.55633459209486</v>
      </c>
      <c r="X6">
        <f t="shared" si="15"/>
        <v>53.43042415311713</v>
      </c>
      <c r="Y6">
        <f t="shared" si="16"/>
        <v>248.12516449993555</v>
      </c>
      <c r="Z6">
        <f t="shared" si="17"/>
        <v>135.17370858185711</v>
      </c>
      <c r="AA6">
        <f t="shared" si="18"/>
        <v>47.339816541272967</v>
      </c>
      <c r="AB6">
        <f t="shared" si="19"/>
        <v>1.6591657550095766</v>
      </c>
      <c r="AC6">
        <f t="shared" si="20"/>
        <v>249.81098812957731</v>
      </c>
      <c r="AD6">
        <f t="shared" si="21"/>
        <v>133.33749697935022</v>
      </c>
      <c r="AE6">
        <f t="shared" si="22"/>
        <v>47.161384525596795</v>
      </c>
      <c r="AF6">
        <f t="shared" si="23"/>
        <v>2.3482252165274664E-2</v>
      </c>
      <c r="AG6">
        <f t="shared" si="24"/>
        <v>1.6858236296417601</v>
      </c>
      <c r="AH6">
        <f t="shared" si="25"/>
        <v>-1.8362116025068929</v>
      </c>
      <c r="AI6">
        <f t="shared" si="26"/>
        <v>-0.17843201567617228</v>
      </c>
      <c r="AJ6">
        <f t="shared" si="27"/>
        <v>0</v>
      </c>
      <c r="AK6">
        <f t="shared" si="28"/>
        <v>172.16199402942593</v>
      </c>
      <c r="AL6">
        <f t="shared" si="29"/>
        <v>51.591528945403503</v>
      </c>
      <c r="AM6">
        <f t="shared" si="30"/>
        <v>51.044397761897905</v>
      </c>
      <c r="AN6">
        <f t="shared" si="31"/>
        <v>51.317963353650704</v>
      </c>
      <c r="AO6" t="s">
        <v>70</v>
      </c>
      <c r="AP6">
        <v>46.7600429001902</v>
      </c>
      <c r="AS6" t="s">
        <v>70</v>
      </c>
      <c r="AT6">
        <f>$AP$6</f>
        <v>46.7600429001902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f t="shared" si="0"/>
        <v>6.4366973655154416</v>
      </c>
      <c r="H7">
        <f t="shared" si="1"/>
        <v>2.7835238115389078</v>
      </c>
      <c r="I7">
        <f t="shared" si="2"/>
        <v>6.0998941707248395</v>
      </c>
      <c r="J7">
        <f t="shared" si="3"/>
        <v>2.9883719859043327</v>
      </c>
      <c r="K7">
        <f t="shared" si="4"/>
        <v>28.735675262560544</v>
      </c>
      <c r="L7">
        <f t="shared" si="5"/>
        <v>6.8989643775065015E-2</v>
      </c>
      <c r="M7">
        <f t="shared" si="32"/>
        <v>5.986457069386926E-2</v>
      </c>
      <c r="N7">
        <f t="shared" si="33"/>
        <v>0.17645509445107524</v>
      </c>
      <c r="O7">
        <f t="shared" si="6"/>
        <v>0.7005292250646451</v>
      </c>
      <c r="P7">
        <f t="shared" si="7"/>
        <v>0.60400744263386308</v>
      </c>
      <c r="Q7">
        <f t="shared" si="8"/>
        <v>6.1809680067446111</v>
      </c>
      <c r="R7">
        <f t="shared" si="9"/>
        <v>-4.9667776806900932E-3</v>
      </c>
      <c r="S7">
        <f t="shared" si="10"/>
        <v>6.4049639452275215</v>
      </c>
      <c r="T7">
        <f t="shared" si="11"/>
        <v>2.7698008219408217</v>
      </c>
      <c r="U7">
        <f t="shared" si="12"/>
        <v>6.0698212164690597</v>
      </c>
      <c r="V7">
        <f t="shared" si="13"/>
        <v>2.9736390788216718</v>
      </c>
      <c r="W7">
        <f t="shared" si="14"/>
        <v>227.72373293811182</v>
      </c>
      <c r="X7">
        <f t="shared" si="15"/>
        <v>54.655391141440219</v>
      </c>
      <c r="Y7">
        <f t="shared" si="16"/>
        <v>253.56533128893375</v>
      </c>
      <c r="Z7">
        <f t="shared" si="17"/>
        <v>137.01828716158323</v>
      </c>
      <c r="AA7">
        <f t="shared" si="18"/>
        <v>47.419129296970162</v>
      </c>
      <c r="AB7">
        <f t="shared" si="19"/>
        <v>2.531422764743342</v>
      </c>
      <c r="AC7">
        <f t="shared" si="20"/>
        <v>254.35785834566511</v>
      </c>
      <c r="AD7">
        <f t="shared" si="21"/>
        <v>135.65229579791762</v>
      </c>
      <c r="AE7">
        <f t="shared" si="22"/>
        <v>47.351341352068438</v>
      </c>
      <c r="AF7">
        <f t="shared" si="23"/>
        <v>3.4853207770445316E-2</v>
      </c>
      <c r="AG7">
        <f t="shared" si="24"/>
        <v>0.79252705673135893</v>
      </c>
      <c r="AH7">
        <f t="shared" si="25"/>
        <v>-1.3659913636656142</v>
      </c>
      <c r="AI7">
        <f t="shared" si="26"/>
        <v>-6.7787944901724018E-2</v>
      </c>
      <c r="AJ7">
        <f t="shared" si="27"/>
        <v>0</v>
      </c>
      <c r="AK7">
        <f t="shared" si="28"/>
        <v>175.22081664716677</v>
      </c>
      <c r="AL7">
        <f t="shared" si="29"/>
        <v>52.15191732079056</v>
      </c>
      <c r="AM7">
        <f t="shared" si="30"/>
        <v>51.518243681863559</v>
      </c>
      <c r="AN7">
        <f t="shared" si="31"/>
        <v>51.835080501327056</v>
      </c>
      <c r="AO7" t="s">
        <v>71</v>
      </c>
      <c r="AP7">
        <v>5.286282428830293</v>
      </c>
      <c r="AS7" t="s">
        <v>71</v>
      </c>
      <c r="AT7">
        <f>$AP$7</f>
        <v>5.286282428830293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f t="shared" si="0"/>
        <v>6.5020911040778779</v>
      </c>
      <c r="H8">
        <f t="shared" si="1"/>
        <v>2.7868294391394235</v>
      </c>
      <c r="I8">
        <f t="shared" si="2"/>
        <v>6.1538947107377258</v>
      </c>
      <c r="J8">
        <f t="shared" si="3"/>
        <v>3.0200017266953645</v>
      </c>
      <c r="K8">
        <f t="shared" si="4"/>
        <v>29.213980082478816</v>
      </c>
      <c r="L8">
        <f t="shared" si="5"/>
        <v>6.7860113356789389E-2</v>
      </c>
      <c r="M8">
        <f t="shared" si="32"/>
        <v>6.4796626084134237E-2</v>
      </c>
      <c r="N8">
        <f t="shared" si="33"/>
        <v>0.24125172053520949</v>
      </c>
      <c r="O8">
        <f t="shared" si="6"/>
        <v>0.69926328626178358</v>
      </c>
      <c r="P8">
        <f t="shared" si="7"/>
        <v>0.6029159300581004</v>
      </c>
      <c r="Q8">
        <f t="shared" si="8"/>
        <v>6.2145986938306628</v>
      </c>
      <c r="R8">
        <f t="shared" si="9"/>
        <v>-6.7968056620177908E-3</v>
      </c>
      <c r="S8">
        <f t="shared" si="10"/>
        <v>6.4583431718906334</v>
      </c>
      <c r="T8">
        <f t="shared" si="11"/>
        <v>2.7680788520791428</v>
      </c>
      <c r="U8">
        <f t="shared" si="12"/>
        <v>6.1124895436640205</v>
      </c>
      <c r="V8">
        <f t="shared" si="13"/>
        <v>2.9996822896665649</v>
      </c>
      <c r="W8">
        <f t="shared" si="14"/>
        <v>232.19312032585577</v>
      </c>
      <c r="X8">
        <f t="shared" si="15"/>
        <v>55.91954221843757</v>
      </c>
      <c r="Y8">
        <f t="shared" si="16"/>
        <v>259.21213284931798</v>
      </c>
      <c r="Z8">
        <f t="shared" si="17"/>
        <v>139.07138048378516</v>
      </c>
      <c r="AA8">
        <f t="shared" si="18"/>
        <v>47.617874289779891</v>
      </c>
      <c r="AB8">
        <f t="shared" si="19"/>
        <v>3.4912807522888079</v>
      </c>
      <c r="AC8">
        <f t="shared" si="20"/>
        <v>259.3321718794827</v>
      </c>
      <c r="AD8">
        <f t="shared" si="21"/>
        <v>138.18807266283702</v>
      </c>
      <c r="AE8">
        <f t="shared" si="22"/>
        <v>47.544121777586362</v>
      </c>
      <c r="AF8">
        <f t="shared" si="23"/>
        <v>4.7736535774457245E-2</v>
      </c>
      <c r="AG8">
        <f t="shared" si="24"/>
        <v>0.12003903016471895</v>
      </c>
      <c r="AH8">
        <f t="shared" si="25"/>
        <v>-0.88330782094814708</v>
      </c>
      <c r="AI8">
        <f t="shared" si="26"/>
        <v>-7.3752512193529185E-2</v>
      </c>
      <c r="AJ8">
        <f t="shared" si="27"/>
        <v>0.80236028521365299</v>
      </c>
      <c r="AK8">
        <f t="shared" si="28"/>
        <v>178.56943906838558</v>
      </c>
      <c r="AL8">
        <f t="shared" si="29"/>
        <v>52.75529290988095</v>
      </c>
      <c r="AM8">
        <f t="shared" si="30"/>
        <v>52.019494310284514</v>
      </c>
      <c r="AN8">
        <f t="shared" si="31"/>
        <v>52.387393610082732</v>
      </c>
      <c r="AO8" t="s">
        <v>72</v>
      </c>
      <c r="AP8">
        <v>2.6829993981584201</v>
      </c>
      <c r="AS8" t="s">
        <v>72</v>
      </c>
      <c r="AT8">
        <f>$AP$8</f>
        <v>2.6829993981584201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f t="shared" si="0"/>
        <v>6.5565916733293026</v>
      </c>
      <c r="H9">
        <f t="shared" si="1"/>
        <v>2.7868294391394235</v>
      </c>
      <c r="I9">
        <f t="shared" si="2"/>
        <v>6.207232819909267</v>
      </c>
      <c r="J9">
        <f t="shared" si="3"/>
        <v>3.0491087089152202</v>
      </c>
      <c r="K9">
        <f t="shared" si="4"/>
        <v>29.572378748441963</v>
      </c>
      <c r="L9">
        <f t="shared" si="5"/>
        <v>6.7037691383025691E-2</v>
      </c>
      <c r="M9">
        <f t="shared" si="32"/>
        <v>6.6775692329017533E-2</v>
      </c>
      <c r="N9">
        <f t="shared" si="33"/>
        <v>0.30802741286422702</v>
      </c>
      <c r="O9">
        <f t="shared" si="6"/>
        <v>0.69796346047864066</v>
      </c>
      <c r="P9">
        <f t="shared" si="7"/>
        <v>0.60179519958882799</v>
      </c>
      <c r="Q9">
        <f t="shared" si="8"/>
        <v>6.2493839611414543</v>
      </c>
      <c r="R9">
        <f t="shared" si="9"/>
        <v>-8.6861909634372569E-3</v>
      </c>
      <c r="S9">
        <f t="shared" si="10"/>
        <v>6.5003713256567632</v>
      </c>
      <c r="T9">
        <f t="shared" si="11"/>
        <v>2.7629334078203143</v>
      </c>
      <c r="U9">
        <f t="shared" si="12"/>
        <v>6.1540080951427036</v>
      </c>
      <c r="V9">
        <f t="shared" si="13"/>
        <v>3.0229637299006074</v>
      </c>
      <c r="W9">
        <f t="shared" si="14"/>
        <v>236.67551720918718</v>
      </c>
      <c r="X9">
        <f t="shared" si="15"/>
        <v>57.108806147957004</v>
      </c>
      <c r="Y9">
        <f t="shared" si="16"/>
        <v>264.06664045575724</v>
      </c>
      <c r="Z9">
        <f t="shared" si="17"/>
        <v>140.4467756441318</v>
      </c>
      <c r="AA9">
        <f t="shared" si="18"/>
        <v>47.706553632245551</v>
      </c>
      <c r="AB9">
        <f t="shared" si="19"/>
        <v>4.4977328706419817</v>
      </c>
      <c r="AC9">
        <f t="shared" si="20"/>
        <v>264.51616603720748</v>
      </c>
      <c r="AD9">
        <f t="shared" si="21"/>
        <v>140.83449329240258</v>
      </c>
      <c r="AE9">
        <f t="shared" si="22"/>
        <v>47.728396209181589</v>
      </c>
      <c r="AF9">
        <f t="shared" si="23"/>
        <v>6.4169691879705226E-2</v>
      </c>
      <c r="AG9">
        <f t="shared" si="24"/>
        <v>0.44952558145024568</v>
      </c>
      <c r="AH9">
        <f t="shared" si="25"/>
        <v>0.38771764827077959</v>
      </c>
      <c r="AI9">
        <f t="shared" si="26"/>
        <v>2.1842576936037972E-2</v>
      </c>
      <c r="AJ9">
        <f t="shared" si="27"/>
        <v>0.35699307068194852</v>
      </c>
      <c r="AK9">
        <f t="shared" si="28"/>
        <v>182.06171754067088</v>
      </c>
      <c r="AL9">
        <f t="shared" si="29"/>
        <v>53.373372274469929</v>
      </c>
      <c r="AM9">
        <f t="shared" si="30"/>
        <v>52.522800152158879</v>
      </c>
      <c r="AN9">
        <f t="shared" si="31"/>
        <v>52.948086213314404</v>
      </c>
      <c r="AO9" t="s">
        <v>73</v>
      </c>
      <c r="AP9">
        <v>0.25806268878658312</v>
      </c>
      <c r="AS9" t="s">
        <v>73</v>
      </c>
      <c r="AT9">
        <f>$AP$9</f>
        <v>0.25806268878658312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f t="shared" si="0"/>
        <v>6.5996168080274185</v>
      </c>
      <c r="H10">
        <f t="shared" si="1"/>
        <v>2.7868294391394235</v>
      </c>
      <c r="I10">
        <f t="shared" si="2"/>
        <v>6.2426220761135447</v>
      </c>
      <c r="J10">
        <f t="shared" si="3"/>
        <v>3.066920031450846</v>
      </c>
      <c r="K10">
        <f t="shared" si="4"/>
        <v>29.920557269405194</v>
      </c>
      <c r="L10">
        <f t="shared" si="5"/>
        <v>6.6257589460980329E-2</v>
      </c>
      <c r="M10">
        <f t="shared" si="32"/>
        <v>4.5900819343901778E-2</v>
      </c>
      <c r="N10">
        <f t="shared" si="33"/>
        <v>0.3539282322081288</v>
      </c>
      <c r="O10">
        <f t="shared" si="6"/>
        <v>0.69707277457349937</v>
      </c>
      <c r="P10">
        <f t="shared" si="7"/>
        <v>0.60102723603141217</v>
      </c>
      <c r="Q10">
        <f t="shared" si="8"/>
        <v>6.2733700658039773</v>
      </c>
      <c r="R10">
        <f t="shared" si="9"/>
        <v>-9.9869707344747427E-3</v>
      </c>
      <c r="S10">
        <f t="shared" si="10"/>
        <v>6.5346778401897367</v>
      </c>
      <c r="T10">
        <f t="shared" si="11"/>
        <v>2.7594075701761747</v>
      </c>
      <c r="U10">
        <f t="shared" si="12"/>
        <v>6.181195868196375</v>
      </c>
      <c r="V10">
        <f t="shared" si="13"/>
        <v>3.0367421246001212</v>
      </c>
      <c r="W10">
        <f t="shared" si="14"/>
        <v>239.68779412226093</v>
      </c>
      <c r="X10">
        <f t="shared" si="15"/>
        <v>57.851781207417631</v>
      </c>
      <c r="Y10">
        <f t="shared" si="16"/>
        <v>267.8855393574122</v>
      </c>
      <c r="Z10">
        <f t="shared" si="17"/>
        <v>142.09770649620549</v>
      </c>
      <c r="AA10">
        <f t="shared" si="18"/>
        <v>47.767510761046218</v>
      </c>
      <c r="AB10">
        <f t="shared" si="19"/>
        <v>5.1998139646017396</v>
      </c>
      <c r="AC10">
        <f t="shared" si="20"/>
        <v>268.11372884394729</v>
      </c>
      <c r="AD10">
        <f t="shared" si="21"/>
        <v>142.67330047559579</v>
      </c>
      <c r="AE10">
        <f t="shared" si="22"/>
        <v>47.846345191122197</v>
      </c>
      <c r="AF10">
        <f t="shared" si="23"/>
        <v>7.7541942536615949E-2</v>
      </c>
      <c r="AG10">
        <f t="shared" si="24"/>
        <v>0.22818948653508642</v>
      </c>
      <c r="AH10">
        <f t="shared" si="25"/>
        <v>0.57559397939030532</v>
      </c>
      <c r="AI10">
        <f t="shared" si="26"/>
        <v>7.8834430075978901E-2</v>
      </c>
      <c r="AJ10">
        <f t="shared" si="27"/>
        <v>0.39560649109326984</v>
      </c>
      <c r="AK10">
        <f t="shared" si="28"/>
        <v>184.48677659837963</v>
      </c>
      <c r="AL10">
        <f t="shared" si="29"/>
        <v>53.795892788343622</v>
      </c>
      <c r="AM10">
        <f t="shared" si="30"/>
        <v>52.86062677669517</v>
      </c>
      <c r="AN10">
        <f t="shared" si="31"/>
        <v>53.328259782519396</v>
      </c>
      <c r="AS10" t="s">
        <v>74</v>
      </c>
      <c r="AT10">
        <f>$AP$11</f>
        <v>166.30016612505233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f t="shared" si="0"/>
        <v>6.6494850504177183</v>
      </c>
      <c r="H11">
        <f t="shared" si="1"/>
        <v>2.7923563004623602</v>
      </c>
      <c r="I11">
        <f t="shared" si="2"/>
        <v>6.2747882086785065</v>
      </c>
      <c r="J11">
        <f t="shared" si="3"/>
        <v>3.0819748511723697</v>
      </c>
      <c r="K11">
        <f t="shared" si="4"/>
        <v>30.416682608365381</v>
      </c>
      <c r="L11">
        <f t="shared" si="5"/>
        <v>6.517686447024866E-2</v>
      </c>
      <c r="M11">
        <f t="shared" si="32"/>
        <v>4.2431283158026779E-2</v>
      </c>
      <c r="N11">
        <f t="shared" si="33"/>
        <v>0.3963595153661556</v>
      </c>
      <c r="O11">
        <f t="shared" si="6"/>
        <v>0.69625143315823501</v>
      </c>
      <c r="P11">
        <f t="shared" si="7"/>
        <v>0.60031906239637589</v>
      </c>
      <c r="Q11">
        <f t="shared" si="8"/>
        <v>6.2955976365970239</v>
      </c>
      <c r="R11">
        <f t="shared" si="9"/>
        <v>-1.1190905017105512E-2</v>
      </c>
      <c r="S11">
        <f t="shared" si="10"/>
        <v>6.5762975797124934</v>
      </c>
      <c r="T11">
        <f t="shared" si="11"/>
        <v>2.7616222671666839</v>
      </c>
      <c r="U11">
        <f t="shared" si="12"/>
        <v>6.2057248338875057</v>
      </c>
      <c r="V11">
        <f t="shared" si="13"/>
        <v>3.0480531350659099</v>
      </c>
      <c r="W11">
        <f t="shared" si="14"/>
        <v>242.44989098954485</v>
      </c>
      <c r="X11">
        <f t="shared" si="15"/>
        <v>58.490055139046198</v>
      </c>
      <c r="Y11">
        <f t="shared" si="16"/>
        <v>272.27005405158468</v>
      </c>
      <c r="Z11">
        <f t="shared" si="17"/>
        <v>144.81362629963101</v>
      </c>
      <c r="AA11">
        <f t="shared" si="18"/>
        <v>48.013737665184941</v>
      </c>
      <c r="AB11">
        <f t="shared" si="19"/>
        <v>5.8563154883221102</v>
      </c>
      <c r="AC11">
        <f t="shared" si="20"/>
        <v>271.46420019709012</v>
      </c>
      <c r="AD11">
        <f t="shared" si="21"/>
        <v>144.38747933107189</v>
      </c>
      <c r="AE11">
        <f t="shared" si="22"/>
        <v>47.948902088468977</v>
      </c>
      <c r="AF11">
        <f t="shared" si="23"/>
        <v>8.8378925660526519E-2</v>
      </c>
      <c r="AG11">
        <f t="shared" si="24"/>
        <v>-0.80585385449455771</v>
      </c>
      <c r="AH11">
        <f t="shared" si="25"/>
        <v>-0.42614696855912371</v>
      </c>
      <c r="AI11">
        <f t="shared" si="26"/>
        <v>-6.4835576715964294E-2</v>
      </c>
      <c r="AJ11">
        <f t="shared" si="27"/>
        <v>0.84301616012486713</v>
      </c>
      <c r="AK11">
        <f t="shared" si="28"/>
        <v>186.74638628641128</v>
      </c>
      <c r="AL11">
        <f t="shared" si="29"/>
        <v>54.184685426285036</v>
      </c>
      <c r="AM11">
        <f t="shared" si="30"/>
        <v>53.1667994303833</v>
      </c>
      <c r="AN11">
        <f t="shared" si="31"/>
        <v>53.675742428334168</v>
      </c>
      <c r="AO11" t="s">
        <v>74</v>
      </c>
      <c r="AP11">
        <f>($AP$4+2*$AP$5)/3</f>
        <v>166.30016612505233</v>
      </c>
      <c r="AS11" t="s">
        <v>75</v>
      </c>
      <c r="AT11">
        <f>$AP$12</f>
        <v>3.5507604083823776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f t="shared" si="0"/>
        <v>6.6810372216725451</v>
      </c>
      <c r="H12">
        <f t="shared" si="1"/>
        <v>2.7923563004623602</v>
      </c>
      <c r="I12">
        <f t="shared" si="2"/>
        <v>6.3144708422254601</v>
      </c>
      <c r="J12">
        <f t="shared" si="3"/>
        <v>3.0991282954377302</v>
      </c>
      <c r="K12">
        <f t="shared" si="4"/>
        <v>30.625235113363022</v>
      </c>
      <c r="L12">
        <f t="shared" si="5"/>
        <v>6.4733021400869867E-2</v>
      </c>
      <c r="M12">
        <f t="shared" si="32"/>
        <v>5.3122864293945485E-2</v>
      </c>
      <c r="N12">
        <f t="shared" si="33"/>
        <v>0.44948237966010107</v>
      </c>
      <c r="O12">
        <f t="shared" si="6"/>
        <v>0.69522585954837846</v>
      </c>
      <c r="P12">
        <f t="shared" si="7"/>
        <v>0.59943479651401377</v>
      </c>
      <c r="Q12">
        <f t="shared" si="8"/>
        <v>6.3234999130064757</v>
      </c>
      <c r="R12">
        <f t="shared" si="9"/>
        <v>-1.2700200400015849E-2</v>
      </c>
      <c r="S12">
        <f t="shared" si="10"/>
        <v>6.5977696663522805</v>
      </c>
      <c r="T12">
        <f t="shared" si="11"/>
        <v>2.7575544164123218</v>
      </c>
      <c r="U12">
        <f t="shared" si="12"/>
        <v>6.2357719018172846</v>
      </c>
      <c r="V12">
        <f t="shared" si="13"/>
        <v>3.0605030298954503</v>
      </c>
      <c r="W12">
        <f t="shared" si="14"/>
        <v>245.88835325315176</v>
      </c>
      <c r="X12">
        <f t="shared" si="15"/>
        <v>59.230192551660743</v>
      </c>
      <c r="Y12">
        <f t="shared" si="16"/>
        <v>275.26552127302455</v>
      </c>
      <c r="Z12">
        <f t="shared" si="17"/>
        <v>145.6595095206751</v>
      </c>
      <c r="AA12">
        <f t="shared" si="18"/>
        <v>48.084565902632789</v>
      </c>
      <c r="AB12">
        <f t="shared" si="19"/>
        <v>6.6884497129424565</v>
      </c>
      <c r="AC12">
        <f t="shared" si="20"/>
        <v>275.69266035933532</v>
      </c>
      <c r="AD12">
        <f t="shared" si="21"/>
        <v>146.55315583367761</v>
      </c>
      <c r="AE12">
        <f t="shared" si="22"/>
        <v>48.068331288296491</v>
      </c>
      <c r="AF12">
        <f t="shared" si="23"/>
        <v>0.10267139885869359</v>
      </c>
      <c r="AG12">
        <f t="shared" si="24"/>
        <v>0.42713908631077402</v>
      </c>
      <c r="AH12">
        <f t="shared" si="25"/>
        <v>0.89364631300250608</v>
      </c>
      <c r="AI12">
        <f t="shared" si="26"/>
        <v>-1.6234614336298137E-2</v>
      </c>
      <c r="AJ12">
        <f t="shared" si="27"/>
        <v>0.99185651064362523</v>
      </c>
      <c r="AK12">
        <f t="shared" si="28"/>
        <v>189.59965734223019</v>
      </c>
      <c r="AL12">
        <f t="shared" si="29"/>
        <v>54.66889967810944</v>
      </c>
      <c r="AM12">
        <f t="shared" si="30"/>
        <v>53.541554936702489</v>
      </c>
      <c r="AN12">
        <f t="shared" si="31"/>
        <v>54.105227307405968</v>
      </c>
      <c r="AO12" t="s">
        <v>75</v>
      </c>
      <c r="AP12">
        <f>($AP$7+2*$AP$8)/3</f>
        <v>3.5507604083823776</v>
      </c>
      <c r="AS12" t="s">
        <v>81</v>
      </c>
      <c r="AT12">
        <f>AL4</f>
        <v>50.492791550089009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f t="shared" si="0"/>
        <v>6.7321482821897369</v>
      </c>
      <c r="H13">
        <f t="shared" si="1"/>
        <v>2.7901429273991463</v>
      </c>
      <c r="I13">
        <f t="shared" si="2"/>
        <v>6.3471675146608604</v>
      </c>
      <c r="J13">
        <f t="shared" si="3"/>
        <v>3.1122734108188288</v>
      </c>
      <c r="K13">
        <f t="shared" si="4"/>
        <v>31.139260629554144</v>
      </c>
      <c r="L13">
        <f t="shared" si="5"/>
        <v>6.3664453166831184E-2</v>
      </c>
      <c r="M13">
        <f t="shared" si="32"/>
        <v>4.4214238096264125E-2</v>
      </c>
      <c r="N13">
        <f t="shared" si="33"/>
        <v>0.4936966177563652</v>
      </c>
      <c r="O13">
        <f t="shared" si="6"/>
        <v>0.69437457410539027</v>
      </c>
      <c r="P13">
        <f t="shared" si="7"/>
        <v>0.59870080466189191</v>
      </c>
      <c r="Q13">
        <f t="shared" si="8"/>
        <v>6.3467857843627433</v>
      </c>
      <c r="R13">
        <f t="shared" si="9"/>
        <v>-1.3958085623206995E-2</v>
      </c>
      <c r="S13">
        <f t="shared" si="10"/>
        <v>6.6401031196872635</v>
      </c>
      <c r="T13">
        <f t="shared" si="11"/>
        <v>2.7519947541277685</v>
      </c>
      <c r="U13">
        <f t="shared" si="12"/>
        <v>6.2603859939889253</v>
      </c>
      <c r="V13">
        <f t="shared" si="13"/>
        <v>3.0697209149671227</v>
      </c>
      <c r="W13">
        <f t="shared" si="14"/>
        <v>248.74597530985494</v>
      </c>
      <c r="X13">
        <f t="shared" si="15"/>
        <v>59.806946094857302</v>
      </c>
      <c r="Y13">
        <f t="shared" si="16"/>
        <v>279.83593806107524</v>
      </c>
      <c r="Z13">
        <f t="shared" si="17"/>
        <v>148.48232404916445</v>
      </c>
      <c r="AA13">
        <f t="shared" si="18"/>
        <v>48.067224272661143</v>
      </c>
      <c r="AB13">
        <f t="shared" si="19"/>
        <v>7.3897514014578407</v>
      </c>
      <c r="AC13">
        <f t="shared" si="20"/>
        <v>279.24073019767854</v>
      </c>
      <c r="AD13">
        <f t="shared" si="21"/>
        <v>148.3723411649282</v>
      </c>
      <c r="AE13">
        <f t="shared" si="22"/>
        <v>48.15996001903391</v>
      </c>
      <c r="AF13">
        <f t="shared" si="23"/>
        <v>0.1152642440712297</v>
      </c>
      <c r="AG13">
        <f t="shared" si="24"/>
        <v>-0.59520786339669485</v>
      </c>
      <c r="AH13">
        <f t="shared" si="25"/>
        <v>-0.10998288423624558</v>
      </c>
      <c r="AI13">
        <f t="shared" si="26"/>
        <v>9.273574637276738E-2</v>
      </c>
      <c r="AJ13">
        <f t="shared" si="27"/>
        <v>0.38825440009080819</v>
      </c>
      <c r="AK13">
        <f t="shared" si="28"/>
        <v>191.99513750917831</v>
      </c>
      <c r="AL13">
        <f t="shared" si="29"/>
        <v>55.069653817970412</v>
      </c>
      <c r="AM13">
        <f t="shared" si="30"/>
        <v>53.845964564501003</v>
      </c>
      <c r="AN13">
        <f t="shared" si="31"/>
        <v>54.457809191235711</v>
      </c>
      <c r="AS13" t="s">
        <v>82</v>
      </c>
      <c r="AT13">
        <f>AM4</f>
        <v>50.093623259767838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f t="shared" si="0"/>
        <v>6.7644917206250303</v>
      </c>
      <c r="H14">
        <f t="shared" si="1"/>
        <v>2.7945731879761522</v>
      </c>
      <c r="I14">
        <f t="shared" si="2"/>
        <v>6.3732885126850904</v>
      </c>
      <c r="J14">
        <f t="shared" si="3"/>
        <v>3.1223067040716872</v>
      </c>
      <c r="K14">
        <f t="shared" si="4"/>
        <v>31.467176131792712</v>
      </c>
      <c r="L14">
        <f t="shared" si="5"/>
        <v>6.3001013872262493E-2</v>
      </c>
      <c r="M14">
        <f t="shared" si="32"/>
        <v>3.543947358693593E-2</v>
      </c>
      <c r="N14">
        <f t="shared" si="33"/>
        <v>0.52913609134330108</v>
      </c>
      <c r="O14">
        <f t="shared" si="6"/>
        <v>0.69369373862430495</v>
      </c>
      <c r="P14">
        <f t="shared" si="7"/>
        <v>0.5981137774786266</v>
      </c>
      <c r="Q14">
        <f t="shared" si="8"/>
        <v>6.365491558051553</v>
      </c>
      <c r="R14">
        <f t="shared" si="9"/>
        <v>-1.4967443495091826E-2</v>
      </c>
      <c r="S14">
        <f t="shared" si="10"/>
        <v>6.6654624312124069</v>
      </c>
      <c r="T14">
        <f t="shared" si="11"/>
        <v>2.7536618219125275</v>
      </c>
      <c r="U14">
        <f t="shared" si="12"/>
        <v>6.2799862722952513</v>
      </c>
      <c r="V14">
        <f t="shared" si="13"/>
        <v>3.076597458351165</v>
      </c>
      <c r="W14">
        <f t="shared" si="14"/>
        <v>251.04370472638598</v>
      </c>
      <c r="X14">
        <f t="shared" si="15"/>
        <v>60.252254294567798</v>
      </c>
      <c r="Y14">
        <f t="shared" si="16"/>
        <v>282.80853780295689</v>
      </c>
      <c r="Z14">
        <f t="shared" si="17"/>
        <v>150.31909131210301</v>
      </c>
      <c r="AA14">
        <f t="shared" si="18"/>
        <v>48.267316392849501</v>
      </c>
      <c r="AB14">
        <f t="shared" si="19"/>
        <v>7.9576251126554105</v>
      </c>
      <c r="AC14">
        <f t="shared" si="20"/>
        <v>282.10354448506843</v>
      </c>
      <c r="AD14">
        <f t="shared" si="21"/>
        <v>149.84149918087027</v>
      </c>
      <c r="AE14">
        <f t="shared" si="22"/>
        <v>48.228200202245887</v>
      </c>
      <c r="AF14">
        <f t="shared" si="23"/>
        <v>0.12356202008517148</v>
      </c>
      <c r="AG14">
        <f t="shared" si="24"/>
        <v>-0.70499331788846575</v>
      </c>
      <c r="AH14">
        <f t="shared" si="25"/>
        <v>-0.4775921312327398</v>
      </c>
      <c r="AI14">
        <f t="shared" si="26"/>
        <v>-3.9116190603614598E-2</v>
      </c>
      <c r="AJ14">
        <f t="shared" si="27"/>
        <v>0.74190747125768441</v>
      </c>
      <c r="AK14">
        <f t="shared" si="28"/>
        <v>193.92884761560299</v>
      </c>
      <c r="AL14">
        <f t="shared" si="29"/>
        <v>55.389329182187154</v>
      </c>
      <c r="AM14">
        <f t="shared" si="30"/>
        <v>54.084889787592317</v>
      </c>
      <c r="AN14">
        <f t="shared" si="31"/>
        <v>54.737109484889736</v>
      </c>
      <c r="AO14" t="s">
        <v>76</v>
      </c>
      <c r="AP14">
        <f>3*$AP$11*($AP$7-3)-7*$AP$4</f>
        <v>-546.99825527164944</v>
      </c>
      <c r="AS14" t="s">
        <v>83</v>
      </c>
      <c r="AT14">
        <f>AN4</f>
        <v>50.293207404928424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f t="shared" si="0"/>
        <v>6.7905910940533678</v>
      </c>
      <c r="H15">
        <f t="shared" si="1"/>
        <v>2.7934643043899849</v>
      </c>
      <c r="I15">
        <f t="shared" si="2"/>
        <v>6.4048282781186456</v>
      </c>
      <c r="J15">
        <f t="shared" si="3"/>
        <v>3.1340873000010268</v>
      </c>
      <c r="K15">
        <f t="shared" si="4"/>
        <v>31.669416211848812</v>
      </c>
      <c r="L15">
        <f t="shared" si="5"/>
        <v>6.2598691012759486E-2</v>
      </c>
      <c r="M15">
        <f t="shared" si="32"/>
        <v>4.3250813735271225E-2</v>
      </c>
      <c r="N15">
        <f t="shared" si="33"/>
        <v>0.57238690507857226</v>
      </c>
      <c r="O15">
        <f t="shared" si="6"/>
        <v>0.69286464458679886</v>
      </c>
      <c r="P15">
        <f t="shared" si="7"/>
        <v>0.59739891940935641</v>
      </c>
      <c r="Q15">
        <f t="shared" si="8"/>
        <v>6.3883700910318586</v>
      </c>
      <c r="R15">
        <f t="shared" si="9"/>
        <v>-1.6200619100300018E-2</v>
      </c>
      <c r="S15">
        <f t="shared" si="10"/>
        <v>6.6831825069823418</v>
      </c>
      <c r="T15">
        <f t="shared" si="11"/>
        <v>2.7492793358339154</v>
      </c>
      <c r="U15">
        <f t="shared" si="12"/>
        <v>6.3035214042019243</v>
      </c>
      <c r="V15">
        <f t="shared" si="13"/>
        <v>3.0845146068454707</v>
      </c>
      <c r="W15">
        <f t="shared" si="14"/>
        <v>253.83793815003389</v>
      </c>
      <c r="X15">
        <f t="shared" si="15"/>
        <v>60.780424670008735</v>
      </c>
      <c r="Y15">
        <f t="shared" si="16"/>
        <v>285.33609284685042</v>
      </c>
      <c r="Z15">
        <f t="shared" si="17"/>
        <v>151.28154968637273</v>
      </c>
      <c r="AA15">
        <f t="shared" si="18"/>
        <v>48.286730849548526</v>
      </c>
      <c r="AB15">
        <f t="shared" si="19"/>
        <v>8.6576416318346432</v>
      </c>
      <c r="AC15">
        <f t="shared" si="20"/>
        <v>285.620208218127</v>
      </c>
      <c r="AD15">
        <f t="shared" si="21"/>
        <v>151.64782063707321</v>
      </c>
      <c r="AE15">
        <f t="shared" si="22"/>
        <v>48.305087866130201</v>
      </c>
      <c r="AF15">
        <f t="shared" si="23"/>
        <v>0.13486969596155696</v>
      </c>
      <c r="AG15">
        <f t="shared" si="24"/>
        <v>0.28411537127658448</v>
      </c>
      <c r="AH15">
        <f t="shared" si="25"/>
        <v>0.36627095070048199</v>
      </c>
      <c r="AI15">
        <f t="shared" si="26"/>
        <v>1.8357016581674657E-2</v>
      </c>
      <c r="AJ15">
        <f t="shared" si="27"/>
        <v>0.23340276846920904</v>
      </c>
      <c r="AK15">
        <f t="shared" si="28"/>
        <v>196.30528316409115</v>
      </c>
      <c r="AL15">
        <f t="shared" si="29"/>
        <v>55.777530235888875</v>
      </c>
      <c r="AM15">
        <f t="shared" si="30"/>
        <v>54.370190075765493</v>
      </c>
      <c r="AN15">
        <f t="shared" si="31"/>
        <v>55.073860155827184</v>
      </c>
      <c r="AO15" t="s">
        <v>77</v>
      </c>
      <c r="AP15">
        <f>3*$AP$11*($AP$8-1)-7*$AP$5</f>
        <v>-62.689656586000751</v>
      </c>
      <c r="AS15" t="s">
        <v>84</v>
      </c>
      <c r="AT15">
        <f>$AP$18</f>
        <v>5.2648649043056404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f t="shared" si="0"/>
        <v>6.8234998991995166</v>
      </c>
      <c r="H16">
        <f t="shared" si="1"/>
        <v>2.791249175146965</v>
      </c>
      <c r="I16">
        <f t="shared" si="2"/>
        <v>6.4317582118421823</v>
      </c>
      <c r="J16">
        <f t="shared" si="3"/>
        <v>3.1440360659657141</v>
      </c>
      <c r="K16">
        <f t="shared" si="4"/>
        <v>31.984273278028564</v>
      </c>
      <c r="L16">
        <f t="shared" si="5"/>
        <v>6.1982461904546177E-2</v>
      </c>
      <c r="M16">
        <f t="shared" si="32"/>
        <v>3.7537562003821322E-2</v>
      </c>
      <c r="N16">
        <f t="shared" si="33"/>
        <v>0.60992446708239356</v>
      </c>
      <c r="O16">
        <f t="shared" si="6"/>
        <v>0.69214667518805828</v>
      </c>
      <c r="P16">
        <f t="shared" si="7"/>
        <v>0.59677987477152183</v>
      </c>
      <c r="Q16">
        <f t="shared" si="8"/>
        <v>6.408270845381054</v>
      </c>
      <c r="R16">
        <f t="shared" si="9"/>
        <v>-1.7272092772133041E-2</v>
      </c>
      <c r="S16">
        <f t="shared" si="10"/>
        <v>6.7086118868991429</v>
      </c>
      <c r="T16">
        <f t="shared" si="11"/>
        <v>2.7442526082377587</v>
      </c>
      <c r="U16">
        <f t="shared" si="12"/>
        <v>6.3234659970739457</v>
      </c>
      <c r="V16">
        <f t="shared" si="13"/>
        <v>3.0910995876839653</v>
      </c>
      <c r="W16">
        <f t="shared" si="14"/>
        <v>256.24254204468474</v>
      </c>
      <c r="X16">
        <f t="shared" si="15"/>
        <v>61.230365703186784</v>
      </c>
      <c r="Y16">
        <f t="shared" si="16"/>
        <v>288.40726338608283</v>
      </c>
      <c r="Z16">
        <f t="shared" si="17"/>
        <v>152.97635658913248</v>
      </c>
      <c r="AA16">
        <f t="shared" si="18"/>
        <v>48.260190312610014</v>
      </c>
      <c r="AB16">
        <f t="shared" si="19"/>
        <v>9.2714386127558424</v>
      </c>
      <c r="AC16">
        <f t="shared" si="20"/>
        <v>288.69274744176937</v>
      </c>
      <c r="AD16">
        <f t="shared" si="21"/>
        <v>153.22748012514083</v>
      </c>
      <c r="AE16">
        <f t="shared" si="22"/>
        <v>48.36602025914452</v>
      </c>
      <c r="AF16">
        <f t="shared" si="23"/>
        <v>0.14604643899271252</v>
      </c>
      <c r="AG16">
        <f t="shared" si="24"/>
        <v>0.28548405568653834</v>
      </c>
      <c r="AH16">
        <f t="shared" si="25"/>
        <v>0.25112353600835036</v>
      </c>
      <c r="AI16">
        <f t="shared" si="26"/>
        <v>0.10582994653450584</v>
      </c>
      <c r="AJ16">
        <f t="shared" si="27"/>
        <v>0.17709371631452023</v>
      </c>
      <c r="AK16">
        <f t="shared" si="28"/>
        <v>198.38256923068366</v>
      </c>
      <c r="AL16">
        <f t="shared" si="29"/>
        <v>56.112665618812414</v>
      </c>
      <c r="AM16">
        <f t="shared" si="30"/>
        <v>54.612052324845457</v>
      </c>
      <c r="AN16">
        <f t="shared" si="31"/>
        <v>55.36235897182894</v>
      </c>
      <c r="AO16" t="s">
        <v>78</v>
      </c>
      <c r="AP16">
        <f>3*$AP$11*($AP$9-1)-7*$AP$6</f>
        <v>-697.47319462882899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f t="shared" si="0"/>
        <v>6.8500574938693628</v>
      </c>
      <c r="H17">
        <f t="shared" si="1"/>
        <v>2.7945731879761522</v>
      </c>
      <c r="I17">
        <f t="shared" si="2"/>
        <v>6.4505411182666661</v>
      </c>
      <c r="J17">
        <f t="shared" si="3"/>
        <v>3.1509958953724793</v>
      </c>
      <c r="K17">
        <f t="shared" si="4"/>
        <v>32.272163605977518</v>
      </c>
      <c r="L17">
        <f t="shared" si="5"/>
        <v>6.1429534883518121E-2</v>
      </c>
      <c r="M17">
        <f t="shared" si="32"/>
        <v>2.6560916736753655E-2</v>
      </c>
      <c r="N17">
        <f t="shared" si="33"/>
        <v>0.63648538381914721</v>
      </c>
      <c r="O17">
        <f t="shared" si="6"/>
        <v>0.69163955096961793</v>
      </c>
      <c r="P17">
        <f t="shared" si="7"/>
        <v>0.59634262420249728</v>
      </c>
      <c r="Q17">
        <f t="shared" si="8"/>
        <v>6.4223772078655204</v>
      </c>
      <c r="R17">
        <f t="shared" si="9"/>
        <v>-1.8030919750804397E-2</v>
      </c>
      <c r="S17">
        <f t="shared" si="10"/>
        <v>6.7297879107611829</v>
      </c>
      <c r="T17">
        <f t="shared" si="11"/>
        <v>2.745507592164147</v>
      </c>
      <c r="U17">
        <f t="shared" si="12"/>
        <v>6.3372860263480311</v>
      </c>
      <c r="V17">
        <f t="shared" si="13"/>
        <v>3.0956724235547313</v>
      </c>
      <c r="W17">
        <f t="shared" si="14"/>
        <v>257.93033814066223</v>
      </c>
      <c r="X17">
        <f t="shared" si="15"/>
        <v>61.546846609710848</v>
      </c>
      <c r="Y17">
        <f t="shared" si="16"/>
        <v>290.86975483094523</v>
      </c>
      <c r="Z17">
        <f t="shared" si="17"/>
        <v>154.63988659365288</v>
      </c>
      <c r="AA17">
        <f t="shared" si="18"/>
        <v>48.410671591840163</v>
      </c>
      <c r="AB17">
        <f t="shared" si="19"/>
        <v>9.7092768214667444</v>
      </c>
      <c r="AC17">
        <f t="shared" si="20"/>
        <v>290.87830970933902</v>
      </c>
      <c r="AD17">
        <f t="shared" si="21"/>
        <v>154.35195574481557</v>
      </c>
      <c r="AE17">
        <f t="shared" si="22"/>
        <v>48.405826243649095</v>
      </c>
      <c r="AF17">
        <f t="shared" si="23"/>
        <v>0.15344162063928835</v>
      </c>
      <c r="AG17">
        <f t="shared" si="24"/>
        <v>8.5548783937952066E-3</v>
      </c>
      <c r="AH17">
        <f t="shared" si="25"/>
        <v>-0.28793084883730558</v>
      </c>
      <c r="AI17">
        <f t="shared" si="26"/>
        <v>-4.8453481910684104E-3</v>
      </c>
      <c r="AJ17">
        <f t="shared" si="27"/>
        <v>0.10654516800000791</v>
      </c>
      <c r="AK17">
        <f t="shared" si="28"/>
        <v>199.86074039965672</v>
      </c>
      <c r="AL17">
        <f t="shared" si="29"/>
        <v>56.348766539094143</v>
      </c>
      <c r="AM17">
        <f t="shared" si="30"/>
        <v>54.779882595603418</v>
      </c>
      <c r="AN17">
        <f t="shared" si="31"/>
        <v>55.564324567348777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f t="shared" si="0"/>
        <v>6.8768226247527133</v>
      </c>
      <c r="H18">
        <f t="shared" si="1"/>
        <v>2.7979051271739794</v>
      </c>
      <c r="I18">
        <f t="shared" si="2"/>
        <v>6.4743351034350258</v>
      </c>
      <c r="J18">
        <f t="shared" si="3"/>
        <v>3.1599017904456828</v>
      </c>
      <c r="K18">
        <f t="shared" si="4"/>
        <v>32.539579495564766</v>
      </c>
      <c r="L18">
        <f t="shared" si="5"/>
        <v>6.0924696346190188E-2</v>
      </c>
      <c r="M18">
        <f t="shared" si="32"/>
        <v>3.4233241682015525E-2</v>
      </c>
      <c r="N18">
        <f t="shared" si="33"/>
        <v>0.67071862550116279</v>
      </c>
      <c r="O18">
        <f t="shared" si="6"/>
        <v>0.69098703509930204</v>
      </c>
      <c r="P18">
        <f t="shared" si="7"/>
        <v>0.59578001463817665</v>
      </c>
      <c r="Q18">
        <f t="shared" si="8"/>
        <v>6.44058881590776</v>
      </c>
      <c r="R18">
        <f t="shared" si="9"/>
        <v>-1.9009760108531615E-2</v>
      </c>
      <c r="S18">
        <f t="shared" si="10"/>
        <v>6.7497091994057925</v>
      </c>
      <c r="T18">
        <f t="shared" si="11"/>
        <v>2.746187739083926</v>
      </c>
      <c r="U18">
        <f t="shared" si="12"/>
        <v>6.3546613882981555</v>
      </c>
      <c r="V18">
        <f t="shared" si="13"/>
        <v>3.1014931383310205</v>
      </c>
      <c r="W18">
        <f t="shared" si="14"/>
        <v>260.08206295785214</v>
      </c>
      <c r="X18">
        <f t="shared" si="15"/>
        <v>61.9536963581414</v>
      </c>
      <c r="Y18">
        <f t="shared" si="16"/>
        <v>293.42404395420698</v>
      </c>
      <c r="Z18">
        <f t="shared" si="17"/>
        <v>156.13495877570242</v>
      </c>
      <c r="AA18">
        <f t="shared" si="18"/>
        <v>48.572003895919657</v>
      </c>
      <c r="AB18">
        <f t="shared" si="19"/>
        <v>10.277918385505455</v>
      </c>
      <c r="AC18">
        <f t="shared" si="20"/>
        <v>293.70926265060939</v>
      </c>
      <c r="AD18">
        <f t="shared" si="21"/>
        <v>155.80951333524803</v>
      </c>
      <c r="AE18">
        <f t="shared" si="22"/>
        <v>48.453025676115516</v>
      </c>
      <c r="AF18">
        <f t="shared" si="23"/>
        <v>0.16250724949442663</v>
      </c>
      <c r="AG18">
        <f t="shared" si="24"/>
        <v>0.28521869640240993</v>
      </c>
      <c r="AH18">
        <f t="shared" si="25"/>
        <v>-0.32544544045438784</v>
      </c>
      <c r="AI18">
        <f t="shared" si="26"/>
        <v>-0.11897821980414136</v>
      </c>
      <c r="AJ18">
        <f t="shared" si="27"/>
        <v>0.227828862416047</v>
      </c>
      <c r="AK18">
        <f t="shared" si="28"/>
        <v>201.77609644036849</v>
      </c>
      <c r="AL18">
        <f t="shared" si="29"/>
        <v>56.651765268741585</v>
      </c>
      <c r="AM18">
        <f t="shared" si="30"/>
        <v>54.992059713387434</v>
      </c>
      <c r="AN18">
        <f t="shared" si="31"/>
        <v>55.821912491064509</v>
      </c>
      <c r="AO18" t="s">
        <v>79</v>
      </c>
      <c r="AP18">
        <f>SUM(AJ4:AJ25)</f>
        <v>5.2648649043056404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f t="shared" si="0"/>
        <v>6.9037977341019108</v>
      </c>
      <c r="H19">
        <f t="shared" si="1"/>
        <v>2.791249175146965</v>
      </c>
      <c r="I19">
        <f t="shared" si="2"/>
        <v>6.495675063314672</v>
      </c>
      <c r="J19">
        <f t="shared" si="3"/>
        <v>3.1679974302242808</v>
      </c>
      <c r="K19">
        <f t="shared" si="4"/>
        <v>32.784055689414458</v>
      </c>
      <c r="L19">
        <f t="shared" si="5"/>
        <v>6.0470370682054186E-2</v>
      </c>
      <c r="M19">
        <f t="shared" si="32"/>
        <v>3.1352196073384783E-2</v>
      </c>
      <c r="N19">
        <f t="shared" si="33"/>
        <v>0.70207082157454759</v>
      </c>
      <c r="O19">
        <f t="shared" si="6"/>
        <v>0.69039051371851834</v>
      </c>
      <c r="P19">
        <f t="shared" si="7"/>
        <v>0.59526568441355199</v>
      </c>
      <c r="Q19">
        <f t="shared" si="8"/>
        <v>6.4572979220897038</v>
      </c>
      <c r="R19">
        <f t="shared" si="9"/>
        <v>-1.9907032493776122E-2</v>
      </c>
      <c r="S19">
        <f t="shared" si="10"/>
        <v>6.7703358867263654</v>
      </c>
      <c r="T19">
        <f t="shared" si="11"/>
        <v>2.7372897044688975</v>
      </c>
      <c r="U19">
        <f t="shared" si="12"/>
        <v>6.3701029032817971</v>
      </c>
      <c r="V19">
        <f t="shared" si="13"/>
        <v>3.1067547916356353</v>
      </c>
      <c r="W19">
        <f t="shared" si="14"/>
        <v>262.02559756208058</v>
      </c>
      <c r="X19">
        <f t="shared" si="15"/>
        <v>62.325357412126849</v>
      </c>
      <c r="Y19">
        <f t="shared" si="16"/>
        <v>295.98605784759616</v>
      </c>
      <c r="Z19">
        <f t="shared" si="17"/>
        <v>157.3929364268389</v>
      </c>
      <c r="AA19">
        <f t="shared" si="18"/>
        <v>48.382950815623275</v>
      </c>
      <c r="AB19">
        <f t="shared" si="19"/>
        <v>10.803000407287925</v>
      </c>
      <c r="AC19">
        <f t="shared" si="20"/>
        <v>296.31589910927102</v>
      </c>
      <c r="AD19">
        <f t="shared" si="21"/>
        <v>157.15260475911649</v>
      </c>
      <c r="AE19">
        <f t="shared" si="22"/>
        <v>48.492140978263173</v>
      </c>
      <c r="AF19">
        <f t="shared" si="23"/>
        <v>0.17105763879976799</v>
      </c>
      <c r="AG19">
        <f t="shared" si="24"/>
        <v>0.32984126167485783</v>
      </c>
      <c r="AH19">
        <f t="shared" si="25"/>
        <v>-0.24033166772241543</v>
      </c>
      <c r="AI19">
        <f t="shared" si="26"/>
        <v>0.10919016263989789</v>
      </c>
      <c r="AJ19">
        <f t="shared" si="27"/>
        <v>0</v>
      </c>
      <c r="AK19">
        <f t="shared" si="28"/>
        <v>203.54036954250134</v>
      </c>
      <c r="AL19">
        <f t="shared" si="29"/>
        <v>56.927943456988807</v>
      </c>
      <c r="AM19">
        <f t="shared" si="30"/>
        <v>55.182213297888083</v>
      </c>
      <c r="AN19">
        <f t="shared" si="31"/>
        <v>56.055078377438448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f t="shared" si="0"/>
        <v>6.9241683553243671</v>
      </c>
      <c r="H20">
        <f t="shared" si="1"/>
        <v>2.7868294391394235</v>
      </c>
      <c r="I20">
        <f t="shared" si="2"/>
        <v>6.5078826571499011</v>
      </c>
      <c r="J20">
        <f t="shared" si="3"/>
        <v>3.1726655186940942</v>
      </c>
      <c r="K20">
        <f t="shared" si="4"/>
        <v>32.99010664109052</v>
      </c>
      <c r="L20">
        <f t="shared" si="5"/>
        <v>6.0092682378018146E-2</v>
      </c>
      <c r="M20">
        <f t="shared" si="32"/>
        <v>1.8163433928952685E-2</v>
      </c>
      <c r="N20">
        <f t="shared" si="33"/>
        <v>0.72023425550350029</v>
      </c>
      <c r="O20">
        <f t="shared" si="6"/>
        <v>0.69004539876926341</v>
      </c>
      <c r="P20">
        <f t="shared" si="7"/>
        <v>0.59496812081383932</v>
      </c>
      <c r="Q20">
        <f t="shared" si="8"/>
        <v>6.4669913051081354</v>
      </c>
      <c r="R20">
        <f t="shared" si="9"/>
        <v>-2.04272085818199E-2</v>
      </c>
      <c r="S20">
        <f t="shared" si="10"/>
        <v>6.7869183436013039</v>
      </c>
      <c r="T20">
        <f t="shared" si="11"/>
        <v>2.7315892494785317</v>
      </c>
      <c r="U20">
        <f t="shared" si="12"/>
        <v>6.378884209228092</v>
      </c>
      <c r="V20">
        <f t="shared" si="13"/>
        <v>3.1097773338192587</v>
      </c>
      <c r="W20">
        <f t="shared" si="14"/>
        <v>263.14293520532658</v>
      </c>
      <c r="X20">
        <f t="shared" si="15"/>
        <v>62.540430245586471</v>
      </c>
      <c r="Y20">
        <f t="shared" si="16"/>
        <v>297.88423881136265</v>
      </c>
      <c r="Z20">
        <f t="shared" si="17"/>
        <v>158.51691994378734</v>
      </c>
      <c r="AA20">
        <f t="shared" si="18"/>
        <v>48.253971869184127</v>
      </c>
      <c r="AB20">
        <f t="shared" si="19"/>
        <v>11.1090856979453</v>
      </c>
      <c r="AC20">
        <f t="shared" si="20"/>
        <v>297.83212183159156</v>
      </c>
      <c r="AD20">
        <f t="shared" si="21"/>
        <v>157.93430446424057</v>
      </c>
      <c r="AE20">
        <f t="shared" si="22"/>
        <v>48.512980872446832</v>
      </c>
      <c r="AF20">
        <f t="shared" si="23"/>
        <v>0.17583281051212118</v>
      </c>
      <c r="AG20">
        <f t="shared" si="24"/>
        <v>-5.2116979771085425E-2</v>
      </c>
      <c r="AH20">
        <f t="shared" si="25"/>
        <v>-0.5826154795467744</v>
      </c>
      <c r="AI20">
        <f t="shared" si="26"/>
        <v>0.2590090032627046</v>
      </c>
      <c r="AJ20">
        <f t="shared" si="27"/>
        <v>0</v>
      </c>
      <c r="AK20">
        <f t="shared" si="28"/>
        <v>204.56691025335758</v>
      </c>
      <c r="AL20">
        <f t="shared" si="29"/>
        <v>57.087351996938295</v>
      </c>
      <c r="AM20">
        <f t="shared" si="30"/>
        <v>55.29051955377038</v>
      </c>
      <c r="AN20">
        <f t="shared" si="31"/>
        <v>56.188935775354338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f t="shared" si="0"/>
        <v>6.9583878503224321</v>
      </c>
      <c r="H21">
        <f t="shared" si="1"/>
        <v>2.7846248157265188</v>
      </c>
      <c r="I21">
        <f t="shared" si="2"/>
        <v>6.5165205211490527</v>
      </c>
      <c r="J21">
        <f t="shared" si="3"/>
        <v>3.1759745517259623</v>
      </c>
      <c r="K21">
        <f t="shared" si="4"/>
        <v>33.414956345332953</v>
      </c>
      <c r="L21">
        <f t="shared" si="5"/>
        <v>5.9328642524977868E-2</v>
      </c>
      <c r="M21">
        <f t="shared" si="32"/>
        <v>1.2851019146817858E-2</v>
      </c>
      <c r="N21">
        <f t="shared" si="33"/>
        <v>0.73308527465031814</v>
      </c>
      <c r="O21">
        <f t="shared" si="6"/>
        <v>0.68980143088514667</v>
      </c>
      <c r="P21">
        <f t="shared" si="7"/>
        <v>0.59475776782284662</v>
      </c>
      <c r="Q21">
        <f t="shared" si="8"/>
        <v>6.4738554381428823</v>
      </c>
      <c r="R21">
        <f t="shared" si="9"/>
        <v>-2.07954014328805E-2</v>
      </c>
      <c r="S21">
        <f t="shared" si="10"/>
        <v>6.8180481474520374</v>
      </c>
      <c r="T21">
        <f t="shared" si="11"/>
        <v>2.7284633272250578</v>
      </c>
      <c r="U21">
        <f t="shared" si="12"/>
        <v>6.3850925850582927</v>
      </c>
      <c r="V21">
        <f t="shared" si="13"/>
        <v>3.1119201565843482</v>
      </c>
      <c r="W21">
        <f t="shared" si="14"/>
        <v>263.93524928693188</v>
      </c>
      <c r="X21">
        <f t="shared" si="15"/>
        <v>62.693120728801304</v>
      </c>
      <c r="Y21">
        <f t="shared" si="16"/>
        <v>300.94222315150216</v>
      </c>
      <c r="Z21">
        <f t="shared" si="17"/>
        <v>161.05755628934963</v>
      </c>
      <c r="AA21">
        <f t="shared" si="18"/>
        <v>48.194695324251342</v>
      </c>
      <c r="AB21">
        <f t="shared" si="19"/>
        <v>11.326486155946352</v>
      </c>
      <c r="AC21">
        <f t="shared" si="20"/>
        <v>298.90759172162035</v>
      </c>
      <c r="AD21">
        <f t="shared" si="21"/>
        <v>158.48897302985137</v>
      </c>
      <c r="AE21">
        <f t="shared" si="22"/>
        <v>48.526911080711528</v>
      </c>
      <c r="AF21">
        <f t="shared" si="23"/>
        <v>0.17801175498103738</v>
      </c>
      <c r="AG21">
        <f t="shared" si="24"/>
        <v>-2.0346314298818129</v>
      </c>
      <c r="AH21">
        <f t="shared" si="25"/>
        <v>-2.5685832594982685</v>
      </c>
      <c r="AI21">
        <f t="shared" si="26"/>
        <v>0.33221575646018664</v>
      </c>
      <c r="AJ21">
        <f t="shared" si="27"/>
        <v>0</v>
      </c>
      <c r="AK21">
        <f t="shared" si="28"/>
        <v>205.29517926044105</v>
      </c>
      <c r="AL21">
        <f t="shared" si="29"/>
        <v>57.199870386780709</v>
      </c>
      <c r="AM21">
        <f t="shared" si="30"/>
        <v>55.366314535416535</v>
      </c>
      <c r="AN21">
        <f t="shared" si="31"/>
        <v>56.283092461098619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f t="shared" si="0"/>
        <v>6.9790823795993937</v>
      </c>
      <c r="H22">
        <f t="shared" si="1"/>
        <v>2.7868294391394235</v>
      </c>
      <c r="I22">
        <f t="shared" si="2"/>
        <v>6.5319776256720603</v>
      </c>
      <c r="J22">
        <f t="shared" si="3"/>
        <v>3.1818754438703651</v>
      </c>
      <c r="K22">
        <f t="shared" si="4"/>
        <v>33.636540395860372</v>
      </c>
      <c r="L22">
        <f t="shared" si="5"/>
        <v>5.8937809200020473E-2</v>
      </c>
      <c r="M22">
        <f t="shared" si="32"/>
        <v>2.2908136266298656E-2</v>
      </c>
      <c r="N22">
        <f t="shared" si="33"/>
        <v>0.75599341091661676</v>
      </c>
      <c r="O22">
        <f t="shared" si="6"/>
        <v>0.68936696303087353</v>
      </c>
      <c r="P22">
        <f t="shared" si="7"/>
        <v>0.59438316272690372</v>
      </c>
      <c r="Q22">
        <f t="shared" si="8"/>
        <v>6.4861034364115158</v>
      </c>
      <c r="R22">
        <f t="shared" si="9"/>
        <v>-2.1452062325430954E-2</v>
      </c>
      <c r="S22">
        <f t="shared" si="10"/>
        <v>6.8340182169981771</v>
      </c>
      <c r="T22">
        <f t="shared" si="11"/>
        <v>2.7289036178190011</v>
      </c>
      <c r="U22">
        <f t="shared" si="12"/>
        <v>6.3962067874931314</v>
      </c>
      <c r="V22">
        <f t="shared" si="13"/>
        <v>3.1157383685844122</v>
      </c>
      <c r="W22">
        <f t="shared" si="14"/>
        <v>265.35596952141208</v>
      </c>
      <c r="X22">
        <f t="shared" si="15"/>
        <v>62.965960864050054</v>
      </c>
      <c r="Y22">
        <f t="shared" si="16"/>
        <v>302.92571004083777</v>
      </c>
      <c r="Z22">
        <f t="shared" si="17"/>
        <v>162.32928813121924</v>
      </c>
      <c r="AA22">
        <f t="shared" si="18"/>
        <v>48.301460682531619</v>
      </c>
      <c r="AB22">
        <f t="shared" si="19"/>
        <v>11.715750455801595</v>
      </c>
      <c r="AC22">
        <f t="shared" si="20"/>
        <v>300.8302928501347</v>
      </c>
      <c r="AD22">
        <f t="shared" si="21"/>
        <v>159.48101560420025</v>
      </c>
      <c r="AE22">
        <f t="shared" si="22"/>
        <v>48.550055643975057</v>
      </c>
      <c r="AF22">
        <f t="shared" si="23"/>
        <v>0.1798773304783996</v>
      </c>
      <c r="AG22">
        <f t="shared" si="24"/>
        <v>-2.0954171907030741</v>
      </c>
      <c r="AH22">
        <f t="shared" si="25"/>
        <v>-2.8482725270189917</v>
      </c>
      <c r="AI22">
        <f t="shared" si="26"/>
        <v>0.24859496144343751</v>
      </c>
      <c r="AJ22">
        <f t="shared" si="27"/>
        <v>0</v>
      </c>
      <c r="AK22">
        <f t="shared" si="28"/>
        <v>206.59744135284507</v>
      </c>
      <c r="AL22">
        <f t="shared" si="29"/>
        <v>57.399888835571929</v>
      </c>
      <c r="AM22">
        <f t="shared" si="30"/>
        <v>55.499691650009503</v>
      </c>
      <c r="AN22">
        <f t="shared" si="31"/>
        <v>56.449790242790712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f t="shared" si="0"/>
        <v>7.0068673252162164</v>
      </c>
      <c r="H23">
        <f t="shared" si="1"/>
        <v>2.7835238115389078</v>
      </c>
      <c r="I23">
        <f t="shared" si="2"/>
        <v>6.552704603478948</v>
      </c>
      <c r="J23">
        <f t="shared" si="3"/>
        <v>3.1896287273231541</v>
      </c>
      <c r="K23">
        <f t="shared" si="4"/>
        <v>33.914063416455136</v>
      </c>
      <c r="L23">
        <f t="shared" si="5"/>
        <v>5.8455513739415439E-2</v>
      </c>
      <c r="M23">
        <f t="shared" si="32"/>
        <v>3.0318682369912375E-2</v>
      </c>
      <c r="N23">
        <f t="shared" si="33"/>
        <v>0.78631209328652918</v>
      </c>
      <c r="O23">
        <f t="shared" si="6"/>
        <v>0.68879279009725625</v>
      </c>
      <c r="P23">
        <f t="shared" si="7"/>
        <v>0.59388810168896955</v>
      </c>
      <c r="Q23">
        <f t="shared" si="8"/>
        <v>6.5023372749870081</v>
      </c>
      <c r="R23">
        <f t="shared" si="9"/>
        <v>-2.2321782377930921E-2</v>
      </c>
      <c r="S23">
        <f t="shared" si="10"/>
        <v>6.8555109300809329</v>
      </c>
      <c r="T23">
        <f t="shared" si="11"/>
        <v>2.7233964949602751</v>
      </c>
      <c r="U23">
        <f t="shared" si="12"/>
        <v>6.4111586456156244</v>
      </c>
      <c r="V23">
        <f t="shared" si="13"/>
        <v>3.1207290773682899</v>
      </c>
      <c r="W23">
        <f t="shared" si="14"/>
        <v>267.2652775741704</v>
      </c>
      <c r="X23">
        <f t="shared" si="15"/>
        <v>63.325937437332321</v>
      </c>
      <c r="Y23">
        <f t="shared" si="16"/>
        <v>305.59704305120493</v>
      </c>
      <c r="Z23">
        <f t="shared" si="17"/>
        <v>163.84634109405988</v>
      </c>
      <c r="AA23">
        <f t="shared" si="18"/>
        <v>48.227110354851895</v>
      </c>
      <c r="AB23">
        <f t="shared" si="19"/>
        <v>12.234351844943138</v>
      </c>
      <c r="AC23">
        <f t="shared" si="20"/>
        <v>303.38596876179986</v>
      </c>
      <c r="AD23">
        <f t="shared" si="21"/>
        <v>160.80048120470107</v>
      </c>
      <c r="AE23">
        <f t="shared" si="22"/>
        <v>48.57733078791324</v>
      </c>
      <c r="AF23">
        <f t="shared" si="23"/>
        <v>0.1819470871427864</v>
      </c>
      <c r="AG23">
        <f t="shared" si="24"/>
        <v>-2.2110742894050759</v>
      </c>
      <c r="AH23">
        <f t="shared" si="25"/>
        <v>-3.0458598893588089</v>
      </c>
      <c r="AI23">
        <f t="shared" si="26"/>
        <v>0.3502204330613452</v>
      </c>
      <c r="AJ23">
        <f t="shared" si="27"/>
        <v>0</v>
      </c>
      <c r="AK23">
        <f t="shared" si="28"/>
        <v>208.32897705706736</v>
      </c>
      <c r="AL23">
        <f t="shared" si="29"/>
        <v>57.66349598416771</v>
      </c>
      <c r="AM23">
        <f t="shared" si="30"/>
        <v>55.672748385075579</v>
      </c>
      <c r="AN23">
        <f t="shared" si="31"/>
        <v>56.668122184621645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f t="shared" si="0"/>
        <v>7.0278516536758504</v>
      </c>
      <c r="H24">
        <f t="shared" si="1"/>
        <v>2.7769360266922449</v>
      </c>
      <c r="I24">
        <f t="shared" si="2"/>
        <v>6.5633034361324292</v>
      </c>
      <c r="J24">
        <f t="shared" si="3"/>
        <v>3.1934567836651317</v>
      </c>
      <c r="K24">
        <f t="shared" si="4"/>
        <v>34.135282205361563</v>
      </c>
      <c r="L24">
        <f t="shared" si="5"/>
        <v>5.8076684061765804E-2</v>
      </c>
      <c r="M24">
        <f t="shared" si="32"/>
        <v>1.5048141591598788E-2</v>
      </c>
      <c r="N24">
        <f t="shared" si="33"/>
        <v>0.80136023487812802</v>
      </c>
      <c r="O24">
        <f t="shared" si="6"/>
        <v>0.68850816454266384</v>
      </c>
      <c r="P24">
        <f t="shared" si="7"/>
        <v>0.59364269300766614</v>
      </c>
      <c r="Q24">
        <f t="shared" si="8"/>
        <v>6.510404702373453</v>
      </c>
      <c r="R24">
        <f t="shared" si="9"/>
        <v>-2.2753721644680369E-2</v>
      </c>
      <c r="S24">
        <f t="shared" si="10"/>
        <v>6.8732006289069387</v>
      </c>
      <c r="T24">
        <f t="shared" si="11"/>
        <v>2.7158283050998229</v>
      </c>
      <c r="U24">
        <f t="shared" si="12"/>
        <v>6.4188750030512756</v>
      </c>
      <c r="V24">
        <f t="shared" si="13"/>
        <v>3.1231833361755665</v>
      </c>
      <c r="W24">
        <f t="shared" si="14"/>
        <v>268.24141007373277</v>
      </c>
      <c r="X24">
        <f t="shared" si="15"/>
        <v>63.504272303284836</v>
      </c>
      <c r="Y24">
        <f t="shared" si="16"/>
        <v>307.55729212174236</v>
      </c>
      <c r="Z24">
        <f t="shared" si="17"/>
        <v>165.06341940655358</v>
      </c>
      <c r="AA24">
        <f t="shared" si="18"/>
        <v>48.018944194665707</v>
      </c>
      <c r="AB24">
        <f t="shared" si="19"/>
        <v>12.49319931788752</v>
      </c>
      <c r="AC24">
        <f t="shared" si="20"/>
        <v>304.65909399223597</v>
      </c>
      <c r="AD24">
        <f t="shared" si="21"/>
        <v>161.45813529303456</v>
      </c>
      <c r="AE24">
        <f t="shared" si="22"/>
        <v>48.589434164713268</v>
      </c>
      <c r="AF24">
        <f t="shared" si="23"/>
        <v>0.18252874384858941</v>
      </c>
      <c r="AG24">
        <f t="shared" si="24"/>
        <v>-2.8981981295063974</v>
      </c>
      <c r="AH24">
        <f t="shared" si="25"/>
        <v>-3.6052841135190192</v>
      </c>
      <c r="AI24">
        <f t="shared" si="26"/>
        <v>0.57048997004756075</v>
      </c>
      <c r="AJ24">
        <f t="shared" si="27"/>
        <v>0</v>
      </c>
      <c r="AK24">
        <f t="shared" si="28"/>
        <v>209.19178819276837</v>
      </c>
      <c r="AL24">
        <f t="shared" si="29"/>
        <v>57.793852238668237</v>
      </c>
      <c r="AM24">
        <f t="shared" si="30"/>
        <v>55.757153679141936</v>
      </c>
      <c r="AN24">
        <f t="shared" si="31"/>
        <v>56.775502958905086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f t="shared" si="0"/>
        <v>7.0489620483868389</v>
      </c>
      <c r="H25">
        <f t="shared" si="1"/>
        <v>2.7780318245128113</v>
      </c>
      <c r="I25">
        <f t="shared" si="2"/>
        <v>6.5705299787912459</v>
      </c>
      <c r="J25">
        <f t="shared" si="3"/>
        <v>3.1959920966074797</v>
      </c>
      <c r="K25">
        <f t="shared" si="4"/>
        <v>34.404108875113685</v>
      </c>
      <c r="L25">
        <f t="shared" si="5"/>
        <v>5.7622884731481042E-2</v>
      </c>
      <c r="M25">
        <f t="shared" si="32"/>
        <v>9.9604145242798287E-3</v>
      </c>
      <c r="N25">
        <f t="shared" si="33"/>
        <v>0.81132064940240789</v>
      </c>
      <c r="O25">
        <f t="shared" si="6"/>
        <v>0.68831989929217641</v>
      </c>
      <c r="P25">
        <f t="shared" si="7"/>
        <v>0.59348036771356683</v>
      </c>
      <c r="Q25">
        <f t="shared" si="8"/>
        <v>6.5157482275812564</v>
      </c>
      <c r="R25">
        <f t="shared" si="9"/>
        <v>-2.3039721859361872E-2</v>
      </c>
      <c r="S25">
        <f t="shared" si="10"/>
        <v>6.8919614307670498</v>
      </c>
      <c r="T25">
        <f t="shared" si="11"/>
        <v>2.7161570819305672</v>
      </c>
      <c r="U25">
        <f t="shared" si="12"/>
        <v>6.4241854166162167</v>
      </c>
      <c r="V25">
        <f t="shared" si="13"/>
        <v>3.1248081790844489</v>
      </c>
      <c r="W25">
        <f t="shared" si="14"/>
        <v>268.90596058062329</v>
      </c>
      <c r="X25">
        <f t="shared" si="15"/>
        <v>63.622542419781162</v>
      </c>
      <c r="Y25">
        <f t="shared" si="16"/>
        <v>309.49238750704149</v>
      </c>
      <c r="Z25">
        <f t="shared" si="17"/>
        <v>166.69475335222856</v>
      </c>
      <c r="AA25">
        <f t="shared" si="18"/>
        <v>48.069993104530596</v>
      </c>
      <c r="AB25">
        <f t="shared" si="19"/>
        <v>12.665061310281361</v>
      </c>
      <c r="AC25">
        <f t="shared" si="20"/>
        <v>305.50348240366304</v>
      </c>
      <c r="AD25">
        <f t="shared" si="21"/>
        <v>161.89444830633028</v>
      </c>
      <c r="AE25">
        <f t="shared" si="22"/>
        <v>48.596917905340966</v>
      </c>
      <c r="AF25">
        <f t="shared" si="23"/>
        <v>0.18221352541671187</v>
      </c>
      <c r="AG25">
        <f t="shared" si="24"/>
        <v>-3.9889051033784426</v>
      </c>
      <c r="AH25">
        <f t="shared" si="25"/>
        <v>-4.8003050458982841</v>
      </c>
      <c r="AI25">
        <f t="shared" si="26"/>
        <v>0.52692480081037019</v>
      </c>
      <c r="AJ25">
        <f t="shared" si="27"/>
        <v>0</v>
      </c>
      <c r="AK25">
        <f t="shared" si="28"/>
        <v>209.76412633877453</v>
      </c>
      <c r="AL25">
        <f t="shared" si="29"/>
        <v>57.87995756267113</v>
      </c>
      <c r="AM25">
        <f t="shared" si="30"/>
        <v>55.81247222302914</v>
      </c>
      <c r="AN25">
        <f t="shared" si="31"/>
        <v>56.846214892850135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2CD2-B254-4160-A7AB-433C62BDE082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5.9552663945054363</v>
      </c>
      <c r="J4">
        <f t="shared" ref="J4:J25" si="3">2*Lfin_111/F4</f>
        <v>2.8978863432718183</v>
      </c>
      <c r="K4">
        <f t="shared" ref="K4:K25" si="4">(1/3)*I4^2-(4/3)*J4^2+(2/3)*G4^2</f>
        <v>25.78325790547435</v>
      </c>
      <c r="L4">
        <f t="shared" ref="L4:L25" si="5">4*Lfin_100^2/K4</f>
        <v>7.6889584988368717E-2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5.9552663945054363</v>
      </c>
      <c r="V4">
        <f t="shared" ref="V4:V25" si="13">2*P4/F4</f>
        <v>2.8978863432718183</v>
      </c>
      <c r="W4">
        <f t="shared" ref="W4:W25" si="14">Q4*U4^2</f>
        <v>215.98305478181197</v>
      </c>
      <c r="X4">
        <f t="shared" ref="X4:X25" si="15">Q4*V4^2</f>
        <v>51.142268624394774</v>
      </c>
      <c r="Y4">
        <f t="shared" ref="Y4:Y25" si="16">Q4*S4^2</f>
        <v>229.82307082439178</v>
      </c>
      <c r="Z4">
        <f t="shared" ref="Z4:Z25" si="17">Y4+AA4-3*X4</f>
        <v>120.61852555431233</v>
      </c>
      <c r="AA4">
        <f t="shared" ref="AA4:AA25" si="18">X4+0.5*W4-0.5*Y4</f>
        <v>44.222260603104871</v>
      </c>
      <c r="AB4">
        <f t="shared" ref="AB4:AB25" si="19">-3*$AP$11*((1-2*R4)^2.5)*(1+1.5*(4-$AP$12)*R4)*R4</f>
        <v>0</v>
      </c>
      <c r="AC4">
        <f t="shared" ref="AC4:AC25" si="20">((1-2*R4)^3.5)*($AP$4-$AP$14*R4)+3*AB4</f>
        <v>240.97215648770859</v>
      </c>
      <c r="AD4">
        <f t="shared" ref="AD4:AD25" si="21">((1-2*R4)^3.5)*($AP$5-$AP$15*R4)+1*AB4</f>
        <v>123.26424201844094</v>
      </c>
      <c r="AE4">
        <f t="shared" ref="AE4:AE25" si="22">((1-2*R4)^3.5)*($AP$6-$AP$16*R4)+1*AB4</f>
        <v>41.196738869795915</v>
      </c>
      <c r="AF4">
        <f t="shared" ref="AF4:AF25" si="23">AB4-B4</f>
        <v>0</v>
      </c>
      <c r="AG4">
        <f t="shared" ref="AG4:AG25" si="24">AC4-Y4</f>
        <v>11.149085663316811</v>
      </c>
      <c r="AH4">
        <f t="shared" ref="AH4:AH25" si="25">AD4-Z4</f>
        <v>2.6457164641286113</v>
      </c>
      <c r="AI4">
        <f t="shared" ref="AI4:AI25" si="26">AE4-AA4</f>
        <v>-3.0255217333089561</v>
      </c>
      <c r="AJ4">
        <f t="shared" ref="AJ4:AJ25" si="27">IF(AND(A4&gt;=CutoffLowBar,A4&lt;=CutoffOilBar),AF4^2+AG4^2+AH4^2+AI4^2,0)</f>
        <v>0</v>
      </c>
      <c r="AK4">
        <f t="shared" ref="AK4:AK25" si="28">(AC4+2*AD4)/3</f>
        <v>162.50021350819682</v>
      </c>
      <c r="AL4">
        <f t="shared" ref="AL4:AL25" si="29">(AC4-AD4+3*AE4)/5</f>
        <v>48.259626215731075</v>
      </c>
      <c r="AM4">
        <f t="shared" ref="AM4:AM25" si="30">5*(AC4-AD4)*AE4/(3*(AC4-AD4)+4*AE4)</f>
        <v>46.814848831273437</v>
      </c>
      <c r="AN4">
        <f t="shared" ref="AN4:AN25" si="31">(AL4+AM4)/2</f>
        <v>47.537237523502256</v>
      </c>
      <c r="AO4" t="s">
        <v>68</v>
      </c>
      <c r="AP4">
        <v>240.97215648770859</v>
      </c>
      <c r="AS4" t="s">
        <v>68</v>
      </c>
      <c r="AT4">
        <f>$AP$4</f>
        <v>240.97215648770859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f t="shared" si="0"/>
        <v>6.2648579009706697</v>
      </c>
      <c r="H5">
        <f t="shared" si="1"/>
        <v>2.7758410930082182</v>
      </c>
      <c r="I5">
        <f t="shared" si="2"/>
        <v>5.962002320164963</v>
      </c>
      <c r="J5">
        <f t="shared" si="3"/>
        <v>2.9022348252931329</v>
      </c>
      <c r="K5">
        <f t="shared" si="4"/>
        <v>26.783497593261536</v>
      </c>
      <c r="L5">
        <f t="shared" si="5"/>
        <v>7.4018114814801791E-2</v>
      </c>
      <c r="M5">
        <f t="shared" ref="M5:M25" si="32">0.5*(B5-B4)*(L5+L4)</f>
        <v>9.7435750665870006E-3</v>
      </c>
      <c r="N5">
        <f t="shared" ref="N5:N25" si="33">N4+M5</f>
        <v>9.7435750665870006E-3</v>
      </c>
      <c r="O5">
        <f t="shared" si="6"/>
        <v>0.70380745236467679</v>
      </c>
      <c r="P5">
        <f t="shared" si="7"/>
        <v>0.60683398236556652</v>
      </c>
      <c r="Q5">
        <f t="shared" si="8"/>
        <v>6.0949996739667593</v>
      </c>
      <c r="R5">
        <f t="shared" si="9"/>
        <v>-2.7361741235643056E-4</v>
      </c>
      <c r="S5">
        <f t="shared" si="10"/>
        <v>6.2631444299842096</v>
      </c>
      <c r="T5">
        <f t="shared" si="11"/>
        <v>2.7750818861353608</v>
      </c>
      <c r="U5">
        <f t="shared" si="12"/>
        <v>5.9603716817437435</v>
      </c>
      <c r="V5">
        <f t="shared" si="13"/>
        <v>2.9014410490818223</v>
      </c>
      <c r="W5">
        <f t="shared" si="14"/>
        <v>216.53114483006019</v>
      </c>
      <c r="X5">
        <f t="shared" si="15"/>
        <v>51.309902438440126</v>
      </c>
      <c r="Y5">
        <f t="shared" si="16"/>
        <v>239.08841904008457</v>
      </c>
      <c r="Z5">
        <f t="shared" si="17"/>
        <v>125.18997705819211</v>
      </c>
      <c r="AA5">
        <f t="shared" si="18"/>
        <v>40.031265333427925</v>
      </c>
      <c r="AB5">
        <f t="shared" si="19"/>
        <v>0.13355629969551869</v>
      </c>
      <c r="AC5">
        <f t="shared" si="20"/>
        <v>241.68233684540058</v>
      </c>
      <c r="AD5">
        <f t="shared" si="21"/>
        <v>123.65564079444304</v>
      </c>
      <c r="AE5">
        <f t="shared" si="22"/>
        <v>41.261413822020501</v>
      </c>
      <c r="AF5">
        <f t="shared" si="23"/>
        <v>4.4233915762433573E-3</v>
      </c>
      <c r="AG5">
        <f t="shared" si="24"/>
        <v>2.5939178053160106</v>
      </c>
      <c r="AH5">
        <f t="shared" si="25"/>
        <v>-1.5343362637490685</v>
      </c>
      <c r="AI5">
        <f t="shared" si="26"/>
        <v>1.230148488592576</v>
      </c>
      <c r="AJ5">
        <f t="shared" si="27"/>
        <v>0</v>
      </c>
      <c r="AK5">
        <f t="shared" si="28"/>
        <v>162.99787281142889</v>
      </c>
      <c r="AL5">
        <f t="shared" si="29"/>
        <v>48.36218750340381</v>
      </c>
      <c r="AM5">
        <f t="shared" si="30"/>
        <v>46.905286525809707</v>
      </c>
      <c r="AN5">
        <f t="shared" si="31"/>
        <v>47.633737014606758</v>
      </c>
      <c r="AO5" t="s">
        <v>69</v>
      </c>
      <c r="AP5">
        <v>123.26424201844094</v>
      </c>
      <c r="AS5" t="s">
        <v>69</v>
      </c>
      <c r="AT5">
        <f>$AP$5</f>
        <v>123.26424201844094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f t="shared" si="0"/>
        <v>6.3726059035918201</v>
      </c>
      <c r="H6">
        <f t="shared" si="1"/>
        <v>2.7835238115389078</v>
      </c>
      <c r="I6">
        <f t="shared" si="2"/>
        <v>6.0488824627844204</v>
      </c>
      <c r="J6">
        <f t="shared" si="3"/>
        <v>2.9571677852614564</v>
      </c>
      <c r="K6">
        <f t="shared" si="4"/>
        <v>27.609941937604987</v>
      </c>
      <c r="L6">
        <f t="shared" si="5"/>
        <v>7.1802541435259812E-2</v>
      </c>
      <c r="M6">
        <f t="shared" si="32"/>
        <v>0.10984309819836199</v>
      </c>
      <c r="N6">
        <f t="shared" si="33"/>
        <v>0.119586673264949</v>
      </c>
      <c r="O6">
        <f t="shared" si="6"/>
        <v>0.70164405240615235</v>
      </c>
      <c r="P6">
        <f t="shared" si="7"/>
        <v>0.6049686645036001</v>
      </c>
      <c r="Q6">
        <f t="shared" si="8"/>
        <v>6.1515523675767865</v>
      </c>
      <c r="R6">
        <f t="shared" si="9"/>
        <v>-3.3633904984928797E-3</v>
      </c>
      <c r="S6">
        <f t="shared" si="10"/>
        <v>6.351279872987976</v>
      </c>
      <c r="T6">
        <f t="shared" si="11"/>
        <v>2.7742087032630378</v>
      </c>
      <c r="U6">
        <f t="shared" si="12"/>
        <v>6.0286397780064886</v>
      </c>
      <c r="V6">
        <f t="shared" si="13"/>
        <v>2.9472715745678619</v>
      </c>
      <c r="W6">
        <f t="shared" si="14"/>
        <v>223.57508009334393</v>
      </c>
      <c r="X6">
        <f t="shared" si="15"/>
        <v>53.434904366502842</v>
      </c>
      <c r="Y6">
        <f t="shared" si="16"/>
        <v>248.14597013082746</v>
      </c>
      <c r="Z6">
        <f t="shared" si="17"/>
        <v>128.99071637908</v>
      </c>
      <c r="AA6">
        <f t="shared" si="18"/>
        <v>41.149459347761066</v>
      </c>
      <c r="AB6">
        <f t="shared" si="19"/>
        <v>1.6650779293617204</v>
      </c>
      <c r="AC6">
        <f t="shared" si="20"/>
        <v>249.77519089262816</v>
      </c>
      <c r="AD6">
        <f t="shared" si="21"/>
        <v>128.12708003237148</v>
      </c>
      <c r="AE6">
        <f t="shared" si="22"/>
        <v>41.983037179118007</v>
      </c>
      <c r="AF6">
        <f t="shared" si="23"/>
        <v>2.9394426517418415E-2</v>
      </c>
      <c r="AG6">
        <f t="shared" si="24"/>
        <v>1.6292207618006955</v>
      </c>
      <c r="AH6">
        <f t="shared" si="25"/>
        <v>-0.86363634670851752</v>
      </c>
      <c r="AI6">
        <f t="shared" si="26"/>
        <v>0.83357783135694064</v>
      </c>
      <c r="AJ6">
        <f t="shared" si="27"/>
        <v>0</v>
      </c>
      <c r="AK6">
        <f t="shared" si="28"/>
        <v>168.67645031912369</v>
      </c>
      <c r="AL6">
        <f t="shared" si="29"/>
        <v>49.519444479522136</v>
      </c>
      <c r="AM6">
        <f t="shared" si="30"/>
        <v>47.920647094263657</v>
      </c>
      <c r="AN6">
        <f t="shared" si="31"/>
        <v>48.720045786892896</v>
      </c>
      <c r="AO6" t="s">
        <v>70</v>
      </c>
      <c r="AP6">
        <v>41.196738869795915</v>
      </c>
      <c r="AS6" t="s">
        <v>70</v>
      </c>
      <c r="AT6">
        <f>$AP$6</f>
        <v>41.196738869795915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f t="shared" si="0"/>
        <v>6.4366973655154416</v>
      </c>
      <c r="H7">
        <f t="shared" si="1"/>
        <v>2.7835238115389078</v>
      </c>
      <c r="I7">
        <f t="shared" si="2"/>
        <v>6.0998941707248395</v>
      </c>
      <c r="J7">
        <f t="shared" si="3"/>
        <v>2.9883719859043327</v>
      </c>
      <c r="K7">
        <f t="shared" si="4"/>
        <v>28.116462113319503</v>
      </c>
      <c r="L7">
        <f t="shared" si="5"/>
        <v>7.0509013260984021E-2</v>
      </c>
      <c r="M7">
        <f t="shared" si="32"/>
        <v>6.1257016389677524E-2</v>
      </c>
      <c r="N7">
        <f t="shared" si="33"/>
        <v>0.18084368965462652</v>
      </c>
      <c r="O7">
        <f t="shared" si="6"/>
        <v>0.70044333990520669</v>
      </c>
      <c r="P7">
        <f t="shared" si="7"/>
        <v>0.60393339108304045</v>
      </c>
      <c r="Q7">
        <f t="shared" si="8"/>
        <v>6.183241931640354</v>
      </c>
      <c r="R7">
        <f t="shared" si="9"/>
        <v>-5.0906187070938191E-3</v>
      </c>
      <c r="S7">
        <f t="shared" si="10"/>
        <v>6.4041786941202856</v>
      </c>
      <c r="T7">
        <f t="shared" si="11"/>
        <v>2.7694612432670227</v>
      </c>
      <c r="U7">
        <f t="shared" si="12"/>
        <v>6.0690770539926246</v>
      </c>
      <c r="V7">
        <f t="shared" si="13"/>
        <v>2.9732745094971396</v>
      </c>
      <c r="W7">
        <f t="shared" si="14"/>
        <v>227.75165538093771</v>
      </c>
      <c r="X7">
        <f t="shared" si="15"/>
        <v>54.662092735580558</v>
      </c>
      <c r="Y7">
        <f t="shared" si="16"/>
        <v>253.59642231038418</v>
      </c>
      <c r="Z7">
        <f t="shared" si="17"/>
        <v>131.34985337449982</v>
      </c>
      <c r="AA7">
        <f t="shared" si="18"/>
        <v>41.739709270857333</v>
      </c>
      <c r="AB7">
        <f t="shared" si="19"/>
        <v>2.5400375821776482</v>
      </c>
      <c r="AC7">
        <f t="shared" si="20"/>
        <v>254.35798141311207</v>
      </c>
      <c r="AD7">
        <f t="shared" si="21"/>
        <v>130.66828828970145</v>
      </c>
      <c r="AE7">
        <f t="shared" si="22"/>
        <v>42.379204716524747</v>
      </c>
      <c r="AF7">
        <f t="shared" si="23"/>
        <v>4.3468025204751459E-2</v>
      </c>
      <c r="AG7">
        <f t="shared" si="24"/>
        <v>0.76155910272788674</v>
      </c>
      <c r="AH7">
        <f t="shared" si="25"/>
        <v>-0.68156508479836475</v>
      </c>
      <c r="AI7">
        <f t="shared" si="26"/>
        <v>0.63949544566741423</v>
      </c>
      <c r="AJ7">
        <f t="shared" si="27"/>
        <v>0</v>
      </c>
      <c r="AK7">
        <f t="shared" si="28"/>
        <v>171.89818599750501</v>
      </c>
      <c r="AL7">
        <f t="shared" si="29"/>
        <v>50.165461454596972</v>
      </c>
      <c r="AM7">
        <f t="shared" si="30"/>
        <v>48.483236829732512</v>
      </c>
      <c r="AN7">
        <f t="shared" si="31"/>
        <v>49.324349142164742</v>
      </c>
      <c r="AO7" t="s">
        <v>71</v>
      </c>
      <c r="AP7">
        <v>5.3201903265071069</v>
      </c>
      <c r="AS7" t="s">
        <v>71</v>
      </c>
      <c r="AT7">
        <f>$AP$7</f>
        <v>5.3201903265071069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f t="shared" si="0"/>
        <v>6.5020911040778779</v>
      </c>
      <c r="H8">
        <f t="shared" si="1"/>
        <v>2.7868294391394235</v>
      </c>
      <c r="I8">
        <f t="shared" si="2"/>
        <v>6.1538947107377258</v>
      </c>
      <c r="J8">
        <f t="shared" si="3"/>
        <v>3.0200017266953645</v>
      </c>
      <c r="K8">
        <f t="shared" si="4"/>
        <v>28.647718615110392</v>
      </c>
      <c r="L8">
        <f t="shared" si="5"/>
        <v>6.9201461611478499E-2</v>
      </c>
      <c r="M8">
        <f t="shared" si="32"/>
        <v>6.6151139688362517E-2</v>
      </c>
      <c r="N8">
        <f t="shared" si="33"/>
        <v>0.24699482934298905</v>
      </c>
      <c r="O8">
        <f t="shared" si="6"/>
        <v>0.69915130321573049</v>
      </c>
      <c r="P8">
        <f t="shared" si="7"/>
        <v>0.60281937649424489</v>
      </c>
      <c r="Q8">
        <f t="shared" si="8"/>
        <v>6.2175853484854828</v>
      </c>
      <c r="R8">
        <f t="shared" si="9"/>
        <v>-6.9591659259611305E-3</v>
      </c>
      <c r="S8">
        <f t="shared" si="10"/>
        <v>6.4573089048912733</v>
      </c>
      <c r="T8">
        <f t="shared" si="11"/>
        <v>2.7676355599634817</v>
      </c>
      <c r="U8">
        <f t="shared" si="12"/>
        <v>6.1115106631600451</v>
      </c>
      <c r="V8">
        <f t="shared" si="13"/>
        <v>2.9992019075750291</v>
      </c>
      <c r="W8">
        <f t="shared" si="14"/>
        <v>232.23031069189963</v>
      </c>
      <c r="X8">
        <f t="shared" si="15"/>
        <v>55.928498850060357</v>
      </c>
      <c r="Y8">
        <f t="shared" si="16"/>
        <v>259.253650849895</v>
      </c>
      <c r="Z8">
        <f t="shared" si="17"/>
        <v>133.8849830707766</v>
      </c>
      <c r="AA8">
        <f t="shared" si="18"/>
        <v>42.416828771062683</v>
      </c>
      <c r="AB8">
        <f t="shared" si="19"/>
        <v>3.5018998104918517</v>
      </c>
      <c r="AC8">
        <f t="shared" si="20"/>
        <v>259.36329029188926</v>
      </c>
      <c r="AD8">
        <f t="shared" si="21"/>
        <v>133.45129458262014</v>
      </c>
      <c r="AE8">
        <f t="shared" si="22"/>
        <v>42.801668324536685</v>
      </c>
      <c r="AF8">
        <f t="shared" si="23"/>
        <v>5.8355593977501119E-2</v>
      </c>
      <c r="AG8">
        <f t="shared" si="24"/>
        <v>0.10963944199426123</v>
      </c>
      <c r="AH8">
        <f t="shared" si="25"/>
        <v>-0.43368848815646288</v>
      </c>
      <c r="AI8">
        <f t="shared" si="26"/>
        <v>0.38483955347400212</v>
      </c>
      <c r="AJ8">
        <f t="shared" si="27"/>
        <v>0.35161336926678771</v>
      </c>
      <c r="AK8">
        <f t="shared" si="28"/>
        <v>175.4219598190432</v>
      </c>
      <c r="AL8">
        <f t="shared" si="29"/>
        <v>50.863400136575834</v>
      </c>
      <c r="AM8">
        <f t="shared" si="30"/>
        <v>49.087490069061317</v>
      </c>
      <c r="AN8">
        <f t="shared" si="31"/>
        <v>49.975445102818576</v>
      </c>
      <c r="AO8" t="s">
        <v>72</v>
      </c>
      <c r="AP8">
        <v>2.9314957291585499</v>
      </c>
      <c r="AS8" t="s">
        <v>72</v>
      </c>
      <c r="AT8">
        <f>$AP$8</f>
        <v>2.9314957291585499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f t="shared" si="0"/>
        <v>6.5565916733293026</v>
      </c>
      <c r="H9">
        <f t="shared" si="1"/>
        <v>2.7868294391394235</v>
      </c>
      <c r="I9">
        <f t="shared" si="2"/>
        <v>6.207232819909267</v>
      </c>
      <c r="J9">
        <f t="shared" si="3"/>
        <v>3.0491087089152202</v>
      </c>
      <c r="K9">
        <f t="shared" si="4"/>
        <v>29.106424115656822</v>
      </c>
      <c r="L9">
        <f t="shared" si="5"/>
        <v>6.811087449707022E-2</v>
      </c>
      <c r="M9">
        <f t="shared" si="32"/>
        <v>6.7970908249011891E-2</v>
      </c>
      <c r="N9">
        <f t="shared" si="33"/>
        <v>0.31496573759200097</v>
      </c>
      <c r="O9">
        <f t="shared" si="6"/>
        <v>0.69782867923577163</v>
      </c>
      <c r="P9">
        <f t="shared" si="7"/>
        <v>0.60167898905697925</v>
      </c>
      <c r="Q9">
        <f t="shared" si="8"/>
        <v>6.2530057488004358</v>
      </c>
      <c r="R9">
        <f t="shared" si="9"/>
        <v>-8.8827090492862304E-3</v>
      </c>
      <c r="S9">
        <f t="shared" si="10"/>
        <v>6.4991160620563146</v>
      </c>
      <c r="T9">
        <f t="shared" si="11"/>
        <v>2.7623998675710655</v>
      </c>
      <c r="U9">
        <f t="shared" si="12"/>
        <v>6.1528197165145144</v>
      </c>
      <c r="V9">
        <f t="shared" si="13"/>
        <v>3.0223799761201664</v>
      </c>
      <c r="W9">
        <f t="shared" si="14"/>
        <v>236.72122960438574</v>
      </c>
      <c r="X9">
        <f t="shared" si="15"/>
        <v>57.119836356517403</v>
      </c>
      <c r="Y9">
        <f t="shared" si="16"/>
        <v>264.11764327501646</v>
      </c>
      <c r="Z9">
        <f t="shared" si="17"/>
        <v>136.17976372666627</v>
      </c>
      <c r="AA9">
        <f t="shared" si="18"/>
        <v>43.42162952120205</v>
      </c>
      <c r="AB9">
        <f t="shared" si="19"/>
        <v>4.508805114410289</v>
      </c>
      <c r="AC9">
        <f t="shared" si="20"/>
        <v>264.56764272555483</v>
      </c>
      <c r="AD9">
        <f t="shared" si="21"/>
        <v>136.35324445689551</v>
      </c>
      <c r="AE9">
        <f t="shared" si="22"/>
        <v>43.229671287441569</v>
      </c>
      <c r="AF9">
        <f t="shared" si="23"/>
        <v>7.5241935648012515E-2</v>
      </c>
      <c r="AG9">
        <f t="shared" si="24"/>
        <v>0.44999945053837109</v>
      </c>
      <c r="AH9">
        <f t="shared" si="25"/>
        <v>0.17348073022924382</v>
      </c>
      <c r="AI9">
        <f t="shared" si="26"/>
        <v>-0.19195823376048082</v>
      </c>
      <c r="AJ9">
        <f t="shared" si="27"/>
        <v>0.27510438163421058</v>
      </c>
      <c r="AK9">
        <f t="shared" si="28"/>
        <v>179.09137721311527</v>
      </c>
      <c r="AL9">
        <f t="shared" si="29"/>
        <v>51.580682426196816</v>
      </c>
      <c r="AM9">
        <f t="shared" si="30"/>
        <v>49.704494610635884</v>
      </c>
      <c r="AN9">
        <f t="shared" si="31"/>
        <v>50.642588518416346</v>
      </c>
      <c r="AO9" t="s">
        <v>73</v>
      </c>
      <c r="AP9">
        <v>0.48531965762206358</v>
      </c>
      <c r="AS9" t="s">
        <v>73</v>
      </c>
      <c r="AT9">
        <f>$AP$9</f>
        <v>0.48531965762206358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f t="shared" si="0"/>
        <v>6.5996168080274185</v>
      </c>
      <c r="H10">
        <f t="shared" si="1"/>
        <v>2.7868294391394235</v>
      </c>
      <c r="I10">
        <f t="shared" si="2"/>
        <v>6.2426220761135447</v>
      </c>
      <c r="J10">
        <f t="shared" si="3"/>
        <v>3.066920031450846</v>
      </c>
      <c r="K10">
        <f t="shared" si="4"/>
        <v>29.485406831172789</v>
      </c>
      <c r="L10">
        <f t="shared" si="5"/>
        <v>6.7235429761955456E-2</v>
      </c>
      <c r="M10">
        <f t="shared" si="32"/>
        <v>4.6607098325774393E-2</v>
      </c>
      <c r="N10">
        <f t="shared" si="33"/>
        <v>0.36157283591777534</v>
      </c>
      <c r="O10">
        <f t="shared" si="6"/>
        <v>0.69692465506566248</v>
      </c>
      <c r="P10">
        <f t="shared" si="7"/>
        <v>0.60089952503530841</v>
      </c>
      <c r="Q10">
        <f t="shared" si="8"/>
        <v>6.277370810997974</v>
      </c>
      <c r="R10">
        <f t="shared" si="9"/>
        <v>-1.0203771921884486E-2</v>
      </c>
      <c r="S10">
        <f t="shared" si="10"/>
        <v>6.533289300426218</v>
      </c>
      <c r="T10">
        <f t="shared" si="11"/>
        <v>2.7588212295441426</v>
      </c>
      <c r="U10">
        <f t="shared" si="12"/>
        <v>6.1798824390635252</v>
      </c>
      <c r="V10">
        <f t="shared" si="13"/>
        <v>3.0360968537398461</v>
      </c>
      <c r="W10">
        <f t="shared" si="14"/>
        <v>239.73873569512941</v>
      </c>
      <c r="X10">
        <f t="shared" si="15"/>
        <v>57.86407662170329</v>
      </c>
      <c r="Y10">
        <f t="shared" si="16"/>
        <v>267.94247388248294</v>
      </c>
      <c r="Z10">
        <f t="shared" si="17"/>
        <v>138.11245154539961</v>
      </c>
      <c r="AA10">
        <f t="shared" si="18"/>
        <v>43.762207528026522</v>
      </c>
      <c r="AB10">
        <f t="shared" si="19"/>
        <v>5.2102248041470558</v>
      </c>
      <c r="AC10">
        <f t="shared" si="20"/>
        <v>268.17236312389969</v>
      </c>
      <c r="AD10">
        <f t="shared" si="21"/>
        <v>138.36816219219224</v>
      </c>
      <c r="AE10">
        <f t="shared" si="22"/>
        <v>43.519426958501533</v>
      </c>
      <c r="AF10">
        <f t="shared" si="23"/>
        <v>8.7952782081932135E-2</v>
      </c>
      <c r="AG10">
        <f t="shared" si="24"/>
        <v>0.22988924141674261</v>
      </c>
      <c r="AH10">
        <f t="shared" si="25"/>
        <v>0.255710646792636</v>
      </c>
      <c r="AI10">
        <f t="shared" si="26"/>
        <v>-0.24278056952498872</v>
      </c>
      <c r="AJ10">
        <f t="shared" si="27"/>
        <v>0.18491509501710335</v>
      </c>
      <c r="AK10">
        <f t="shared" si="28"/>
        <v>181.63622916942805</v>
      </c>
      <c r="AL10">
        <f t="shared" si="29"/>
        <v>52.072496361442404</v>
      </c>
      <c r="AM10">
        <f t="shared" si="30"/>
        <v>50.125124911616226</v>
      </c>
      <c r="AN10">
        <f t="shared" si="31"/>
        <v>51.098810636529315</v>
      </c>
      <c r="AS10" t="s">
        <v>74</v>
      </c>
      <c r="AT10">
        <f>$AP$11</f>
        <v>162.50021350819682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f t="shared" si="0"/>
        <v>6.6494850504177183</v>
      </c>
      <c r="H11">
        <f t="shared" si="1"/>
        <v>2.7923563004623602</v>
      </c>
      <c r="I11">
        <f t="shared" si="2"/>
        <v>6.2747882086785065</v>
      </c>
      <c r="J11">
        <f t="shared" si="3"/>
        <v>3.0819748511723697</v>
      </c>
      <c r="K11">
        <f t="shared" si="4"/>
        <v>29.936664667397487</v>
      </c>
      <c r="L11">
        <f t="shared" si="5"/>
        <v>6.6221939619045184E-2</v>
      </c>
      <c r="M11">
        <f t="shared" si="32"/>
        <v>4.3084345545297928E-2</v>
      </c>
      <c r="N11">
        <f t="shared" si="33"/>
        <v>0.40465718146307328</v>
      </c>
      <c r="O11">
        <f t="shared" si="6"/>
        <v>0.6960910416264311</v>
      </c>
      <c r="P11">
        <f t="shared" si="7"/>
        <v>0.60018077026597116</v>
      </c>
      <c r="Q11">
        <f t="shared" si="8"/>
        <v>6.2999504863213742</v>
      </c>
      <c r="R11">
        <f t="shared" si="9"/>
        <v>-1.1426506780208179E-2</v>
      </c>
      <c r="S11">
        <f t="shared" si="10"/>
        <v>6.5747826349781979</v>
      </c>
      <c r="T11">
        <f t="shared" si="11"/>
        <v>2.7609860877570624</v>
      </c>
      <c r="U11">
        <f t="shared" si="12"/>
        <v>6.204295255915155</v>
      </c>
      <c r="V11">
        <f t="shared" si="13"/>
        <v>3.0473509721861363</v>
      </c>
      <c r="W11">
        <f t="shared" si="14"/>
        <v>242.50575567832271</v>
      </c>
      <c r="X11">
        <f t="shared" si="15"/>
        <v>58.50353226915999</v>
      </c>
      <c r="Y11">
        <f t="shared" si="16"/>
        <v>272.33278982668043</v>
      </c>
      <c r="Z11">
        <f t="shared" si="17"/>
        <v>140.41220821418162</v>
      </c>
      <c r="AA11">
        <f t="shared" si="18"/>
        <v>43.590015194981135</v>
      </c>
      <c r="AB11">
        <f t="shared" si="19"/>
        <v>5.8666514094319977</v>
      </c>
      <c r="AC11">
        <f t="shared" si="20"/>
        <v>271.53090105028593</v>
      </c>
      <c r="AD11">
        <f t="shared" si="21"/>
        <v>140.24908536105028</v>
      </c>
      <c r="AE11">
        <f t="shared" si="22"/>
        <v>43.78448556945466</v>
      </c>
      <c r="AF11">
        <f t="shared" si="23"/>
        <v>9.8714846770413978E-2</v>
      </c>
      <c r="AG11">
        <f t="shared" si="24"/>
        <v>-0.80188877639449174</v>
      </c>
      <c r="AH11">
        <f t="shared" si="25"/>
        <v>-0.16312285313134112</v>
      </c>
      <c r="AI11">
        <f t="shared" si="26"/>
        <v>0.194470374473525</v>
      </c>
      <c r="AJ11">
        <f t="shared" si="27"/>
        <v>0.71719802244194353</v>
      </c>
      <c r="AK11">
        <f t="shared" si="28"/>
        <v>184.00969059079549</v>
      </c>
      <c r="AL11">
        <f t="shared" si="29"/>
        <v>52.527054479519926</v>
      </c>
      <c r="AM11">
        <f t="shared" si="30"/>
        <v>50.512078842836836</v>
      </c>
      <c r="AN11">
        <f t="shared" si="31"/>
        <v>51.519566661178381</v>
      </c>
      <c r="AO11" t="s">
        <v>74</v>
      </c>
      <c r="AP11">
        <f>($AP$4+2*$AP$5)/3</f>
        <v>162.50021350819682</v>
      </c>
      <c r="AS11" t="s">
        <v>75</v>
      </c>
      <c r="AT11">
        <f>$AP$12</f>
        <v>3.7277272616080688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f t="shared" si="0"/>
        <v>6.6810372216725451</v>
      </c>
      <c r="H12">
        <f t="shared" si="1"/>
        <v>2.7923563004623602</v>
      </c>
      <c r="I12">
        <f t="shared" si="2"/>
        <v>6.3144708422254601</v>
      </c>
      <c r="J12">
        <f t="shared" si="3"/>
        <v>3.0991282954377302</v>
      </c>
      <c r="K12">
        <f t="shared" si="4"/>
        <v>30.242224655244147</v>
      </c>
      <c r="L12">
        <f t="shared" si="5"/>
        <v>6.5552849454685563E-2</v>
      </c>
      <c r="M12">
        <f t="shared" si="32"/>
        <v>5.3885462144674101E-2</v>
      </c>
      <c r="N12">
        <f t="shared" si="33"/>
        <v>0.45854264360774738</v>
      </c>
      <c r="O12">
        <f t="shared" si="6"/>
        <v>0.69505124640607863</v>
      </c>
      <c r="P12">
        <f t="shared" si="7"/>
        <v>0.59928424228478649</v>
      </c>
      <c r="Q12">
        <f t="shared" si="8"/>
        <v>6.3282669439763861</v>
      </c>
      <c r="R12">
        <f t="shared" si="9"/>
        <v>-1.2957837340598188E-2</v>
      </c>
      <c r="S12">
        <f t="shared" si="10"/>
        <v>6.5961125684785618</v>
      </c>
      <c r="T12">
        <f t="shared" si="11"/>
        <v>2.7568618281906678</v>
      </c>
      <c r="U12">
        <f t="shared" si="12"/>
        <v>6.2342057234142709</v>
      </c>
      <c r="V12">
        <f t="shared" si="13"/>
        <v>3.0597343530061649</v>
      </c>
      <c r="W12">
        <f t="shared" si="14"/>
        <v>245.95012616304646</v>
      </c>
      <c r="X12">
        <f t="shared" si="15"/>
        <v>59.245072562442587</v>
      </c>
      <c r="Y12">
        <f t="shared" si="16"/>
        <v>275.33467441516314</v>
      </c>
      <c r="Z12">
        <f t="shared" si="17"/>
        <v>142.15225516421964</v>
      </c>
      <c r="AA12">
        <f t="shared" si="18"/>
        <v>44.552798436384251</v>
      </c>
      <c r="AB12">
        <f t="shared" si="19"/>
        <v>6.6985753289810095</v>
      </c>
      <c r="AC12">
        <f t="shared" si="20"/>
        <v>275.76710040171315</v>
      </c>
      <c r="AD12">
        <f t="shared" si="21"/>
        <v>142.62649077916447</v>
      </c>
      <c r="AE12">
        <f t="shared" si="22"/>
        <v>44.112084491763937</v>
      </c>
      <c r="AF12">
        <f t="shared" si="23"/>
        <v>0.11279701489724658</v>
      </c>
      <c r="AG12">
        <f t="shared" si="24"/>
        <v>0.4324259865500153</v>
      </c>
      <c r="AH12">
        <f t="shared" si="25"/>
        <v>0.47423561494483124</v>
      </c>
      <c r="AI12">
        <f t="shared" si="26"/>
        <v>-0.44071394462031321</v>
      </c>
      <c r="AJ12">
        <f t="shared" si="27"/>
        <v>0.61884359987838244</v>
      </c>
      <c r="AK12">
        <f t="shared" si="28"/>
        <v>187.00669398668069</v>
      </c>
      <c r="AL12">
        <f t="shared" si="29"/>
        <v>53.095372619568096</v>
      </c>
      <c r="AM12">
        <f t="shared" si="30"/>
        <v>50.993350230631485</v>
      </c>
      <c r="AN12">
        <f t="shared" si="31"/>
        <v>52.044361425099794</v>
      </c>
      <c r="AO12" t="s">
        <v>75</v>
      </c>
      <c r="AP12">
        <f>($AP$7+2*$AP$8)/3</f>
        <v>3.7277272616080688</v>
      </c>
      <c r="AS12" t="s">
        <v>81</v>
      </c>
      <c r="AT12">
        <f>AL4</f>
        <v>48.259626215731075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f t="shared" si="0"/>
        <v>6.7321482821897369</v>
      </c>
      <c r="H13">
        <f t="shared" si="1"/>
        <v>2.7901429273991463</v>
      </c>
      <c r="I13">
        <f t="shared" si="2"/>
        <v>6.3471675146608604</v>
      </c>
      <c r="J13">
        <f t="shared" si="3"/>
        <v>3.1122734108188288</v>
      </c>
      <c r="K13">
        <f t="shared" si="4"/>
        <v>30.728397770395702</v>
      </c>
      <c r="L13">
        <f t="shared" si="5"/>
        <v>6.4515697004870906E-2</v>
      </c>
      <c r="M13">
        <f t="shared" si="32"/>
        <v>4.4789679091121942E-2</v>
      </c>
      <c r="N13">
        <f t="shared" si="33"/>
        <v>0.50333232269886929</v>
      </c>
      <c r="O13">
        <f t="shared" si="6"/>
        <v>0.69418932822036039</v>
      </c>
      <c r="P13">
        <f t="shared" si="7"/>
        <v>0.59854108271272555</v>
      </c>
      <c r="Q13">
        <f t="shared" si="8"/>
        <v>6.3518680998295656</v>
      </c>
      <c r="R13">
        <f t="shared" si="9"/>
        <v>-1.4232423818506423E-2</v>
      </c>
      <c r="S13">
        <f t="shared" si="10"/>
        <v>6.6383316668936745</v>
      </c>
      <c r="T13">
        <f t="shared" si="11"/>
        <v>2.7512605744460275</v>
      </c>
      <c r="U13">
        <f t="shared" si="12"/>
        <v>6.2587158424780078</v>
      </c>
      <c r="V13">
        <f t="shared" si="13"/>
        <v>3.0689019720091086</v>
      </c>
      <c r="W13">
        <f t="shared" si="14"/>
        <v>248.81235369752341</v>
      </c>
      <c r="X13">
        <f t="shared" si="15"/>
        <v>59.822905704447805</v>
      </c>
      <c r="Y13">
        <f t="shared" si="16"/>
        <v>279.91061287081658</v>
      </c>
      <c r="Z13">
        <f t="shared" si="17"/>
        <v>144.71567187527438</v>
      </c>
      <c r="AA13">
        <f t="shared" si="18"/>
        <v>44.273776117801219</v>
      </c>
      <c r="AB13">
        <f t="shared" si="19"/>
        <v>7.3993900558606089</v>
      </c>
      <c r="AC13">
        <f t="shared" si="20"/>
        <v>279.31854854712219</v>
      </c>
      <c r="AD13">
        <f t="shared" si="21"/>
        <v>144.62385180456886</v>
      </c>
      <c r="AE13">
        <f t="shared" si="22"/>
        <v>44.380970315247502</v>
      </c>
      <c r="AF13">
        <f t="shared" si="23"/>
        <v>0.12490289847399794</v>
      </c>
      <c r="AG13">
        <f t="shared" si="24"/>
        <v>-0.59206432369438744</v>
      </c>
      <c r="AH13">
        <f t="shared" si="25"/>
        <v>-9.1820070705523449E-2</v>
      </c>
      <c r="AI13">
        <f t="shared" si="26"/>
        <v>0.10719419744628311</v>
      </c>
      <c r="AJ13">
        <f t="shared" si="27"/>
        <v>0.38606241878941827</v>
      </c>
      <c r="AK13">
        <f t="shared" si="28"/>
        <v>189.52208405208663</v>
      </c>
      <c r="AL13">
        <f t="shared" si="29"/>
        <v>53.567521537659175</v>
      </c>
      <c r="AM13">
        <f t="shared" si="30"/>
        <v>51.39098525809306</v>
      </c>
      <c r="AN13">
        <f t="shared" si="31"/>
        <v>52.479253397876121</v>
      </c>
      <c r="AS13" t="s">
        <v>82</v>
      </c>
      <c r="AT13">
        <f>AM4</f>
        <v>46.814848831273437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f t="shared" si="0"/>
        <v>6.7644917206250303</v>
      </c>
      <c r="H14">
        <f t="shared" si="1"/>
        <v>2.7945731879761522</v>
      </c>
      <c r="I14">
        <f t="shared" si="2"/>
        <v>6.3732885126850904</v>
      </c>
      <c r="J14">
        <f t="shared" si="3"/>
        <v>3.1223067040716872</v>
      </c>
      <c r="K14">
        <f t="shared" si="4"/>
        <v>31.046768775189634</v>
      </c>
      <c r="L14">
        <f t="shared" si="5"/>
        <v>6.3854116811803099E-2</v>
      </c>
      <c r="M14">
        <f t="shared" si="32"/>
        <v>3.5916329307906787E-2</v>
      </c>
      <c r="N14">
        <f t="shared" si="33"/>
        <v>0.53924865200677607</v>
      </c>
      <c r="O14">
        <f t="shared" si="6"/>
        <v>0.6934997087817798</v>
      </c>
      <c r="P14">
        <f t="shared" si="7"/>
        <v>0.59794648186156296</v>
      </c>
      <c r="Q14">
        <f t="shared" si="8"/>
        <v>6.3708359334013824</v>
      </c>
      <c r="R14">
        <f t="shared" si="9"/>
        <v>-1.5255642692747706E-2</v>
      </c>
      <c r="S14">
        <f t="shared" si="10"/>
        <v>6.663598065781561</v>
      </c>
      <c r="T14">
        <f t="shared" si="11"/>
        <v>2.7528916079983401</v>
      </c>
      <c r="U14">
        <f t="shared" si="12"/>
        <v>6.2782297266042226</v>
      </c>
      <c r="V14">
        <f t="shared" si="13"/>
        <v>3.0757369176152185</v>
      </c>
      <c r="W14">
        <f t="shared" si="14"/>
        <v>251.11394263691153</v>
      </c>
      <c r="X14">
        <f t="shared" si="15"/>
        <v>60.269111886956814</v>
      </c>
      <c r="Y14">
        <f t="shared" si="16"/>
        <v>282.88766299271509</v>
      </c>
      <c r="Z14">
        <f t="shared" si="17"/>
        <v>146.46257904089967</v>
      </c>
      <c r="AA14">
        <f t="shared" si="18"/>
        <v>44.382251709055026</v>
      </c>
      <c r="AB14">
        <f t="shared" si="19"/>
        <v>7.9675211352974973</v>
      </c>
      <c r="AC14">
        <f t="shared" si="20"/>
        <v>282.18637494983113</v>
      </c>
      <c r="AD14">
        <f t="shared" si="21"/>
        <v>146.23955693559401</v>
      </c>
      <c r="AE14">
        <f t="shared" si="22"/>
        <v>44.594278601756244</v>
      </c>
      <c r="AF14">
        <f t="shared" si="23"/>
        <v>0.13345804272725825</v>
      </c>
      <c r="AG14">
        <f t="shared" si="24"/>
        <v>-0.70128804288395941</v>
      </c>
      <c r="AH14">
        <f t="shared" si="25"/>
        <v>-0.22302210530565958</v>
      </c>
      <c r="AI14">
        <f t="shared" si="26"/>
        <v>0.21202689270121766</v>
      </c>
      <c r="AJ14">
        <f t="shared" si="27"/>
        <v>0.60431023094410707</v>
      </c>
      <c r="AK14">
        <f t="shared" si="28"/>
        <v>191.55516294033973</v>
      </c>
      <c r="AL14">
        <f t="shared" si="29"/>
        <v>53.945930763901174</v>
      </c>
      <c r="AM14">
        <f t="shared" si="30"/>
        <v>51.708193372482953</v>
      </c>
      <c r="AN14">
        <f t="shared" si="31"/>
        <v>52.827062068192063</v>
      </c>
      <c r="AO14" t="s">
        <v>76</v>
      </c>
      <c r="AP14">
        <f>3*$AP$11*($AP$7-3)-7*$AP$4</f>
        <v>-555.71082510278666</v>
      </c>
      <c r="AS14" t="s">
        <v>83</v>
      </c>
      <c r="AT14">
        <f>AN4</f>
        <v>47.537237523502256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f t="shared" si="0"/>
        <v>6.7905910940533678</v>
      </c>
      <c r="H15">
        <f t="shared" si="1"/>
        <v>2.7934643043899849</v>
      </c>
      <c r="I15">
        <f t="shared" si="2"/>
        <v>6.4048282781186456</v>
      </c>
      <c r="J15">
        <f t="shared" si="3"/>
        <v>3.1340873000010268</v>
      </c>
      <c r="K15">
        <f t="shared" si="4"/>
        <v>31.318689089783724</v>
      </c>
      <c r="L15">
        <f t="shared" si="5"/>
        <v>6.3299712012744716E-2</v>
      </c>
      <c r="M15">
        <f t="shared" si="32"/>
        <v>4.3785983185641281E-2</v>
      </c>
      <c r="N15">
        <f t="shared" si="33"/>
        <v>0.58303463519241738</v>
      </c>
      <c r="O15">
        <f t="shared" si="6"/>
        <v>0.69266083744297058</v>
      </c>
      <c r="P15">
        <f t="shared" si="7"/>
        <v>0.59722319364756127</v>
      </c>
      <c r="Q15">
        <f t="shared" si="8"/>
        <v>6.3940108542699052</v>
      </c>
      <c r="R15">
        <f t="shared" si="9"/>
        <v>-1.6504435472882606E-2</v>
      </c>
      <c r="S15">
        <f t="shared" si="10"/>
        <v>6.6812166391190111</v>
      </c>
      <c r="T15">
        <f t="shared" si="11"/>
        <v>2.7484706313150742</v>
      </c>
      <c r="U15">
        <f t="shared" si="12"/>
        <v>6.3016672142046604</v>
      </c>
      <c r="V15">
        <f t="shared" si="13"/>
        <v>3.0836072923836499</v>
      </c>
      <c r="W15">
        <f t="shared" si="14"/>
        <v>253.91262691887007</v>
      </c>
      <c r="X15">
        <f t="shared" si="15"/>
        <v>60.798308580983694</v>
      </c>
      <c r="Y15">
        <f t="shared" si="16"/>
        <v>285.42004956992571</v>
      </c>
      <c r="Z15">
        <f t="shared" si="17"/>
        <v>148.0697210824305</v>
      </c>
      <c r="AA15">
        <f t="shared" si="18"/>
        <v>45.044597255455869</v>
      </c>
      <c r="AB15">
        <f t="shared" si="19"/>
        <v>8.6675966456165074</v>
      </c>
      <c r="AC15">
        <f t="shared" si="20"/>
        <v>285.70669366996418</v>
      </c>
      <c r="AD15">
        <f t="shared" si="21"/>
        <v>148.22630317825346</v>
      </c>
      <c r="AE15">
        <f t="shared" si="22"/>
        <v>44.85146886959074</v>
      </c>
      <c r="AF15">
        <f t="shared" si="23"/>
        <v>0.14482470974342121</v>
      </c>
      <c r="AG15">
        <f t="shared" si="24"/>
        <v>0.28664410003847252</v>
      </c>
      <c r="AH15">
        <f t="shared" si="25"/>
        <v>0.15658209582295513</v>
      </c>
      <c r="AI15">
        <f t="shared" si="26"/>
        <v>-0.19312838586512981</v>
      </c>
      <c r="AJ15">
        <f t="shared" si="27"/>
        <v>0.16495556279831164</v>
      </c>
      <c r="AK15">
        <f t="shared" si="28"/>
        <v>194.05310000882369</v>
      </c>
      <c r="AL15">
        <f t="shared" si="29"/>
        <v>54.406959420096584</v>
      </c>
      <c r="AM15">
        <f t="shared" si="30"/>
        <v>52.092829440126074</v>
      </c>
      <c r="AN15">
        <f t="shared" si="31"/>
        <v>53.249894430111326</v>
      </c>
      <c r="AO15" t="s">
        <v>77</v>
      </c>
      <c r="AP15">
        <f>3*$AP$11*($AP$8-1)-7*$AP$5</f>
        <v>78.755711006217439</v>
      </c>
      <c r="AS15" t="s">
        <v>84</v>
      </c>
      <c r="AT15">
        <f>$AP$18</f>
        <v>3.6179982526934609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f t="shared" si="0"/>
        <v>6.8234998991995166</v>
      </c>
      <c r="H16">
        <f t="shared" si="1"/>
        <v>2.791249175146965</v>
      </c>
      <c r="I16">
        <f t="shared" si="2"/>
        <v>6.4317582118421823</v>
      </c>
      <c r="J16">
        <f t="shared" si="3"/>
        <v>3.1440360659657141</v>
      </c>
      <c r="K16">
        <f t="shared" si="4"/>
        <v>31.649321435992775</v>
      </c>
      <c r="L16">
        <f t="shared" si="5"/>
        <v>6.2638436151287238E-2</v>
      </c>
      <c r="M16">
        <f t="shared" si="32"/>
        <v>3.7946438403020248E-2</v>
      </c>
      <c r="N16">
        <f t="shared" si="33"/>
        <v>0.62098107359543764</v>
      </c>
      <c r="O16">
        <f t="shared" si="6"/>
        <v>0.69193548247630343</v>
      </c>
      <c r="P16">
        <f t="shared" si="7"/>
        <v>0.59659778105556271</v>
      </c>
      <c r="Q16">
        <f t="shared" si="8"/>
        <v>6.4141404383682703</v>
      </c>
      <c r="R16">
        <f t="shared" si="9"/>
        <v>-1.7587904782094044E-2</v>
      </c>
      <c r="S16">
        <f t="shared" si="10"/>
        <v>6.706564907570491</v>
      </c>
      <c r="T16">
        <f t="shared" si="11"/>
        <v>2.7434152623819594</v>
      </c>
      <c r="U16">
        <f t="shared" si="12"/>
        <v>6.3215365361959472</v>
      </c>
      <c r="V16">
        <f t="shared" si="13"/>
        <v>3.090156409413189</v>
      </c>
      <c r="W16">
        <f t="shared" si="14"/>
        <v>256.32075245402478</v>
      </c>
      <c r="X16">
        <f t="shared" si="15"/>
        <v>61.249054449901038</v>
      </c>
      <c r="Y16">
        <f t="shared" si="16"/>
        <v>288.49529111928473</v>
      </c>
      <c r="Z16">
        <f t="shared" si="17"/>
        <v>149.90991288685268</v>
      </c>
      <c r="AA16">
        <f t="shared" si="18"/>
        <v>45.161785117271052</v>
      </c>
      <c r="AB16">
        <f t="shared" si="19"/>
        <v>9.2809783926598577</v>
      </c>
      <c r="AC16">
        <f t="shared" si="20"/>
        <v>288.77903354775719</v>
      </c>
      <c r="AD16">
        <f t="shared" si="21"/>
        <v>149.96331039180421</v>
      </c>
      <c r="AE16">
        <f t="shared" si="22"/>
        <v>45.071754864112634</v>
      </c>
      <c r="AF16">
        <f t="shared" si="23"/>
        <v>0.15558621889672786</v>
      </c>
      <c r="AG16">
        <f t="shared" si="24"/>
        <v>0.28374242847246478</v>
      </c>
      <c r="AH16">
        <f t="shared" si="25"/>
        <v>5.3397504951533392E-2</v>
      </c>
      <c r="AI16">
        <f t="shared" si="26"/>
        <v>-9.0030253158417395E-2</v>
      </c>
      <c r="AJ16">
        <f t="shared" si="27"/>
        <v>0.11567357724485007</v>
      </c>
      <c r="AK16">
        <f t="shared" si="28"/>
        <v>196.23521811045521</v>
      </c>
      <c r="AL16">
        <f t="shared" si="29"/>
        <v>54.806197549658179</v>
      </c>
      <c r="AM16">
        <f t="shared" si="30"/>
        <v>52.424248195399116</v>
      </c>
      <c r="AN16">
        <f t="shared" si="31"/>
        <v>53.615222872528648</v>
      </c>
      <c r="AO16" t="s">
        <v>78</v>
      </c>
      <c r="AP16">
        <f>3*$AP$11*($AP$9-1)-7*$AP$6</f>
        <v>-539.28416866323096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f t="shared" si="0"/>
        <v>6.8500574938693628</v>
      </c>
      <c r="H17">
        <f t="shared" si="1"/>
        <v>2.7945731879761522</v>
      </c>
      <c r="I17">
        <f t="shared" si="2"/>
        <v>6.4505411182666661</v>
      </c>
      <c r="J17">
        <f t="shared" si="3"/>
        <v>3.1509958953724793</v>
      </c>
      <c r="K17">
        <f t="shared" si="4"/>
        <v>31.913651842154579</v>
      </c>
      <c r="L17">
        <f t="shared" si="5"/>
        <v>6.2119622342353603E-2</v>
      </c>
      <c r="M17">
        <f t="shared" si="32"/>
        <v>2.6850618174335521E-2</v>
      </c>
      <c r="N17">
        <f t="shared" si="33"/>
        <v>0.64783169176977318</v>
      </c>
      <c r="O17">
        <f t="shared" si="6"/>
        <v>0.69142314380595771</v>
      </c>
      <c r="P17">
        <f t="shared" si="7"/>
        <v>0.59615603450314825</v>
      </c>
      <c r="Q17">
        <f t="shared" si="8"/>
        <v>6.4284094769583247</v>
      </c>
      <c r="R17">
        <f t="shared" si="9"/>
        <v>-1.8355245445978108E-2</v>
      </c>
      <c r="S17">
        <f t="shared" si="10"/>
        <v>6.7276822267936289</v>
      </c>
      <c r="T17">
        <f t="shared" si="11"/>
        <v>2.7446485500373705</v>
      </c>
      <c r="U17">
        <f t="shared" si="12"/>
        <v>6.3353031523317282</v>
      </c>
      <c r="V17">
        <f t="shared" si="13"/>
        <v>3.0947038183211766</v>
      </c>
      <c r="W17">
        <f t="shared" si="14"/>
        <v>258.01106724757602</v>
      </c>
      <c r="X17">
        <f t="shared" si="15"/>
        <v>61.566110035626451</v>
      </c>
      <c r="Y17">
        <f t="shared" si="16"/>
        <v>290.96079358080692</v>
      </c>
      <c r="Z17">
        <f t="shared" si="17"/>
        <v>151.35371034293857</v>
      </c>
      <c r="AA17">
        <f t="shared" si="18"/>
        <v>45.091246869011002</v>
      </c>
      <c r="AB17">
        <f t="shared" si="19"/>
        <v>9.7187674256001397</v>
      </c>
      <c r="AC17">
        <f t="shared" si="20"/>
        <v>290.96510379144257</v>
      </c>
      <c r="AD17">
        <f t="shared" si="21"/>
        <v>151.20099454928848</v>
      </c>
      <c r="AE17">
        <f t="shared" si="22"/>
        <v>45.226132510814821</v>
      </c>
      <c r="AF17">
        <f t="shared" si="23"/>
        <v>0.16293222477268365</v>
      </c>
      <c r="AG17">
        <f t="shared" si="24"/>
        <v>4.3102106356514014E-3</v>
      </c>
      <c r="AH17">
        <f t="shared" si="25"/>
        <v>-0.15271579365008847</v>
      </c>
      <c r="AI17">
        <f t="shared" si="26"/>
        <v>0.13488564180381957</v>
      </c>
      <c r="AJ17">
        <f t="shared" si="27"/>
        <v>6.8081737780104706E-2</v>
      </c>
      <c r="AK17">
        <f t="shared" si="28"/>
        <v>197.78903096333985</v>
      </c>
      <c r="AL17">
        <f t="shared" si="29"/>
        <v>55.088501354919707</v>
      </c>
      <c r="AM17">
        <f t="shared" si="30"/>
        <v>52.657640930759776</v>
      </c>
      <c r="AN17">
        <f t="shared" si="31"/>
        <v>53.873071142839741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f t="shared" si="0"/>
        <v>6.8768226247527133</v>
      </c>
      <c r="H18">
        <f t="shared" si="1"/>
        <v>2.7979051271739794</v>
      </c>
      <c r="I18">
        <f t="shared" si="2"/>
        <v>6.4743351034350258</v>
      </c>
      <c r="J18">
        <f t="shared" si="3"/>
        <v>3.1599017904456828</v>
      </c>
      <c r="K18">
        <f t="shared" si="4"/>
        <v>32.186158851715099</v>
      </c>
      <c r="L18">
        <f t="shared" si="5"/>
        <v>6.1593680971171884E-2</v>
      </c>
      <c r="M18">
        <f t="shared" si="32"/>
        <v>3.4613493698157465E-2</v>
      </c>
      <c r="N18">
        <f t="shared" si="33"/>
        <v>0.68244518546793065</v>
      </c>
      <c r="O18">
        <f t="shared" si="6"/>
        <v>0.69076379951107192</v>
      </c>
      <c r="P18">
        <f t="shared" si="7"/>
        <v>0.59558753736252934</v>
      </c>
      <c r="Q18">
        <f t="shared" si="8"/>
        <v>6.4468350899481006</v>
      </c>
      <c r="R18">
        <f t="shared" si="9"/>
        <v>-1.9345273263016605E-2</v>
      </c>
      <c r="S18">
        <f t="shared" si="10"/>
        <v>6.7475285864174532</v>
      </c>
      <c r="T18">
        <f t="shared" si="11"/>
        <v>2.745300534542908</v>
      </c>
      <c r="U18">
        <f t="shared" si="12"/>
        <v>6.352608402495294</v>
      </c>
      <c r="V18">
        <f t="shared" si="13"/>
        <v>3.1004911460938902</v>
      </c>
      <c r="W18">
        <f t="shared" si="14"/>
        <v>260.16611422451325</v>
      </c>
      <c r="X18">
        <f t="shared" si="15"/>
        <v>61.973718064344496</v>
      </c>
      <c r="Y18">
        <f t="shared" si="16"/>
        <v>293.51887041891086</v>
      </c>
      <c r="Z18">
        <f t="shared" si="17"/>
        <v>152.89505619302309</v>
      </c>
      <c r="AA18">
        <f t="shared" si="18"/>
        <v>45.297339967145689</v>
      </c>
      <c r="AB18">
        <f t="shared" si="19"/>
        <v>10.287754985891604</v>
      </c>
      <c r="AC18">
        <f t="shared" si="20"/>
        <v>293.7980417614848</v>
      </c>
      <c r="AD18">
        <f t="shared" si="21"/>
        <v>152.80707102030365</v>
      </c>
      <c r="AE18">
        <f t="shared" si="22"/>
        <v>45.423275764969745</v>
      </c>
      <c r="AF18">
        <f t="shared" si="23"/>
        <v>0.17234384988057627</v>
      </c>
      <c r="AG18">
        <f t="shared" si="24"/>
        <v>0.27917134257393172</v>
      </c>
      <c r="AH18">
        <f t="shared" si="25"/>
        <v>-8.7985172719442062E-2</v>
      </c>
      <c r="AI18">
        <f t="shared" si="26"/>
        <v>0.12593579782405584</v>
      </c>
      <c r="AJ18">
        <f t="shared" si="27"/>
        <v>0.13124025689824168</v>
      </c>
      <c r="AK18">
        <f t="shared" si="28"/>
        <v>199.80406126736406</v>
      </c>
      <c r="AL18">
        <f t="shared" si="29"/>
        <v>55.452159607218071</v>
      </c>
      <c r="AM18">
        <f t="shared" si="30"/>
        <v>52.957100138541819</v>
      </c>
      <c r="AN18">
        <f t="shared" si="31"/>
        <v>54.204629872879948</v>
      </c>
      <c r="AO18" t="s">
        <v>79</v>
      </c>
      <c r="AP18">
        <f>SUM(AJ4:AJ25)</f>
        <v>3.6179982526934609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f t="shared" si="0"/>
        <v>6.9037977341019108</v>
      </c>
      <c r="H19">
        <f t="shared" si="1"/>
        <v>2.791249175146965</v>
      </c>
      <c r="I19">
        <f t="shared" si="2"/>
        <v>6.495675063314672</v>
      </c>
      <c r="J19">
        <f t="shared" si="3"/>
        <v>3.1679974302242808</v>
      </c>
      <c r="K19">
        <f t="shared" si="4"/>
        <v>32.457936654439614</v>
      </c>
      <c r="L19">
        <f t="shared" si="5"/>
        <v>6.1077942849729401E-2</v>
      </c>
      <c r="M19">
        <f t="shared" si="32"/>
        <v>3.1681887055415199E-2</v>
      </c>
      <c r="N19">
        <f t="shared" si="33"/>
        <v>0.71412707252334584</v>
      </c>
      <c r="O19">
        <f t="shared" si="6"/>
        <v>0.69016139999984505</v>
      </c>
      <c r="P19">
        <f t="shared" si="7"/>
        <v>0.59506813892032095</v>
      </c>
      <c r="Q19">
        <f t="shared" si="8"/>
        <v>6.4637309683185125</v>
      </c>
      <c r="R19">
        <f t="shared" si="9"/>
        <v>-2.0252278128855328E-2</v>
      </c>
      <c r="S19">
        <f t="shared" si="10"/>
        <v>6.768089075970928</v>
      </c>
      <c r="T19">
        <f t="shared" si="11"/>
        <v>2.7363813046418213</v>
      </c>
      <c r="U19">
        <f t="shared" si="12"/>
        <v>6.367988914263262</v>
      </c>
      <c r="V19">
        <f t="shared" si="13"/>
        <v>3.1057237807379279</v>
      </c>
      <c r="W19">
        <f t="shared" si="14"/>
        <v>262.11258251812876</v>
      </c>
      <c r="X19">
        <f t="shared" si="15"/>
        <v>62.346047636767565</v>
      </c>
      <c r="Y19">
        <f t="shared" si="16"/>
        <v>296.08431669891559</v>
      </c>
      <c r="Z19">
        <f t="shared" si="17"/>
        <v>154.40635433498707</v>
      </c>
      <c r="AA19">
        <f t="shared" si="18"/>
        <v>45.360180546374153</v>
      </c>
      <c r="AB19">
        <f t="shared" si="19"/>
        <v>10.813143295427267</v>
      </c>
      <c r="AC19">
        <f t="shared" si="20"/>
        <v>296.40573832199908</v>
      </c>
      <c r="AD19">
        <f t="shared" si="21"/>
        <v>154.28759887458506</v>
      </c>
      <c r="AE19">
        <f t="shared" si="22"/>
        <v>45.601842352792886</v>
      </c>
      <c r="AF19">
        <f t="shared" si="23"/>
        <v>0.18120052693910971</v>
      </c>
      <c r="AG19">
        <f t="shared" si="24"/>
        <v>0.32142162308349498</v>
      </c>
      <c r="AH19">
        <f t="shared" si="25"/>
        <v>-0.11875546040201357</v>
      </c>
      <c r="AI19">
        <f t="shared" si="26"/>
        <v>0.24166180641873325</v>
      </c>
      <c r="AJ19">
        <f t="shared" si="27"/>
        <v>0</v>
      </c>
      <c r="AK19">
        <f t="shared" si="28"/>
        <v>201.66031202372309</v>
      </c>
      <c r="AL19">
        <f t="shared" si="29"/>
        <v>55.784733301158532</v>
      </c>
      <c r="AM19">
        <f t="shared" si="30"/>
        <v>53.229761796237753</v>
      </c>
      <c r="AN19">
        <f t="shared" si="31"/>
        <v>54.507247548698146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f t="shared" si="0"/>
        <v>6.9241683553243671</v>
      </c>
      <c r="H20">
        <f t="shared" si="1"/>
        <v>2.7868294391394235</v>
      </c>
      <c r="I20">
        <f t="shared" si="2"/>
        <v>6.5078826571499011</v>
      </c>
      <c r="J20">
        <f t="shared" si="3"/>
        <v>3.1726655186940942</v>
      </c>
      <c r="K20">
        <f t="shared" si="4"/>
        <v>32.659175176980433</v>
      </c>
      <c r="L20">
        <f t="shared" si="5"/>
        <v>6.0701594245935644E-2</v>
      </c>
      <c r="M20">
        <f t="shared" si="32"/>
        <v>1.8346703403682267E-2</v>
      </c>
      <c r="N20">
        <f t="shared" si="33"/>
        <v>0.73247377592702811</v>
      </c>
      <c r="O20">
        <f t="shared" si="6"/>
        <v>0.68981303586461884</v>
      </c>
      <c r="P20">
        <f t="shared" si="7"/>
        <v>0.59476777382077228</v>
      </c>
      <c r="Q20">
        <f t="shared" si="8"/>
        <v>6.4735287074565475</v>
      </c>
      <c r="R20">
        <f t="shared" si="9"/>
        <v>-2.0777878513509873E-2</v>
      </c>
      <c r="S20">
        <f t="shared" si="10"/>
        <v>6.7846329460568562</v>
      </c>
      <c r="T20">
        <f t="shared" si="11"/>
        <v>2.7306694259228106</v>
      </c>
      <c r="U20">
        <f t="shared" si="12"/>
        <v>6.3767362113341992</v>
      </c>
      <c r="V20">
        <f t="shared" si="13"/>
        <v>3.1087301608428537</v>
      </c>
      <c r="W20">
        <f t="shared" si="14"/>
        <v>263.2315746678795</v>
      </c>
      <c r="X20">
        <f t="shared" si="15"/>
        <v>62.56149693362228</v>
      </c>
      <c r="Y20">
        <f t="shared" si="16"/>
        <v>297.98458085098684</v>
      </c>
      <c r="Z20">
        <f t="shared" si="17"/>
        <v>155.48508389218858</v>
      </c>
      <c r="AA20">
        <f t="shared" si="18"/>
        <v>45.184993842068593</v>
      </c>
      <c r="AB20">
        <f t="shared" si="19"/>
        <v>11.119406523884933</v>
      </c>
      <c r="AC20">
        <f t="shared" si="20"/>
        <v>297.92227024944589</v>
      </c>
      <c r="AD20">
        <f t="shared" si="21"/>
        <v>155.14955968167959</v>
      </c>
      <c r="AE20">
        <f t="shared" si="22"/>
        <v>45.704412826479711</v>
      </c>
      <c r="AF20">
        <f t="shared" si="23"/>
        <v>0.18615363645175442</v>
      </c>
      <c r="AG20">
        <f t="shared" si="24"/>
        <v>-6.2310601540957578E-2</v>
      </c>
      <c r="AH20">
        <f t="shared" si="25"/>
        <v>-0.33552421050899284</v>
      </c>
      <c r="AI20">
        <f t="shared" si="26"/>
        <v>0.51941898441111789</v>
      </c>
      <c r="AJ20">
        <f t="shared" si="27"/>
        <v>0</v>
      </c>
      <c r="AK20">
        <f t="shared" si="28"/>
        <v>202.74046320426837</v>
      </c>
      <c r="AL20">
        <f t="shared" si="29"/>
        <v>55.977189809441086</v>
      </c>
      <c r="AM20">
        <f t="shared" si="30"/>
        <v>53.387013864693571</v>
      </c>
      <c r="AN20">
        <f t="shared" si="31"/>
        <v>54.682101837067329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f t="shared" si="0"/>
        <v>6.9583878503224321</v>
      </c>
      <c r="H21">
        <f t="shared" si="1"/>
        <v>2.7846248157265188</v>
      </c>
      <c r="I21">
        <f t="shared" si="2"/>
        <v>6.5165205211490527</v>
      </c>
      <c r="J21">
        <f t="shared" si="3"/>
        <v>3.1759745517259623</v>
      </c>
      <c r="K21">
        <f t="shared" si="4"/>
        <v>32.9853684135809</v>
      </c>
      <c r="L21">
        <f t="shared" si="5"/>
        <v>6.0101314472018136E-2</v>
      </c>
      <c r="M21">
        <f t="shared" si="32"/>
        <v>1.2999692426681215E-2</v>
      </c>
      <c r="N21">
        <f t="shared" si="33"/>
        <v>0.74547346835370931</v>
      </c>
      <c r="O21">
        <f t="shared" si="6"/>
        <v>0.68956641267639562</v>
      </c>
      <c r="P21">
        <f t="shared" si="7"/>
        <v>0.59455513138433547</v>
      </c>
      <c r="Q21">
        <f t="shared" si="8"/>
        <v>6.4804769577914385</v>
      </c>
      <c r="R21">
        <f t="shared" si="9"/>
        <v>-2.1150457183008231E-2</v>
      </c>
      <c r="S21">
        <f t="shared" si="10"/>
        <v>6.8157252101674093</v>
      </c>
      <c r="T21">
        <f t="shared" si="11"/>
        <v>2.7275337284519954</v>
      </c>
      <c r="U21">
        <f t="shared" si="12"/>
        <v>6.3829171575296426</v>
      </c>
      <c r="V21">
        <f t="shared" si="13"/>
        <v>3.1108599124789711</v>
      </c>
      <c r="W21">
        <f t="shared" si="14"/>
        <v>264.02520376901435</v>
      </c>
      <c r="X21">
        <f t="shared" si="15"/>
        <v>62.714487814935225</v>
      </c>
      <c r="Y21">
        <f t="shared" si="16"/>
        <v>301.04479036029085</v>
      </c>
      <c r="Z21">
        <f t="shared" si="17"/>
        <v>157.10602143478218</v>
      </c>
      <c r="AA21">
        <f t="shared" si="18"/>
        <v>44.204694519296964</v>
      </c>
      <c r="AB21">
        <f t="shared" si="19"/>
        <v>11.337309367067922</v>
      </c>
      <c r="AC21">
        <f t="shared" si="20"/>
        <v>298.99968341456918</v>
      </c>
      <c r="AD21">
        <f t="shared" si="21"/>
        <v>155.76235755759041</v>
      </c>
      <c r="AE21">
        <f t="shared" si="22"/>
        <v>45.776713965063621</v>
      </c>
      <c r="AF21">
        <f t="shared" si="23"/>
        <v>0.18883496610260764</v>
      </c>
      <c r="AG21">
        <f t="shared" si="24"/>
        <v>-2.0451069457216704</v>
      </c>
      <c r="AH21">
        <f t="shared" si="25"/>
        <v>-1.3436638771917728</v>
      </c>
      <c r="AI21">
        <f t="shared" si="26"/>
        <v>1.5720194457666565</v>
      </c>
      <c r="AJ21">
        <f t="shared" si="27"/>
        <v>0</v>
      </c>
      <c r="AK21">
        <f t="shared" si="28"/>
        <v>203.50813284325</v>
      </c>
      <c r="AL21">
        <f t="shared" si="29"/>
        <v>56.11349355043393</v>
      </c>
      <c r="AM21">
        <f t="shared" si="30"/>
        <v>53.498144452929587</v>
      </c>
      <c r="AN21">
        <f t="shared" si="31"/>
        <v>54.805819001681755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f t="shared" si="0"/>
        <v>6.9790823795993937</v>
      </c>
      <c r="H22">
        <f t="shared" si="1"/>
        <v>2.7868294391394235</v>
      </c>
      <c r="I22">
        <f t="shared" si="2"/>
        <v>6.5319776256720603</v>
      </c>
      <c r="J22">
        <f t="shared" si="3"/>
        <v>3.1818754438703651</v>
      </c>
      <c r="K22">
        <f t="shared" si="4"/>
        <v>33.194862687842985</v>
      </c>
      <c r="L22">
        <f t="shared" si="5"/>
        <v>5.9722012368077705E-2</v>
      </c>
      <c r="M22">
        <f t="shared" si="32"/>
        <v>2.3209701983085307E-2</v>
      </c>
      <c r="N22">
        <f t="shared" si="33"/>
        <v>0.76868317033679467</v>
      </c>
      <c r="O22">
        <f t="shared" si="6"/>
        <v>0.68912652887792558</v>
      </c>
      <c r="P22">
        <f t="shared" si="7"/>
        <v>0.59417585657514316</v>
      </c>
      <c r="Q22">
        <f t="shared" si="8"/>
        <v>6.4928947506985795</v>
      </c>
      <c r="R22">
        <f t="shared" si="9"/>
        <v>-2.1815991882955577E-2</v>
      </c>
      <c r="S22">
        <f t="shared" si="10"/>
        <v>6.831634680406852</v>
      </c>
      <c r="T22">
        <f t="shared" si="11"/>
        <v>2.7279518437059189</v>
      </c>
      <c r="U22">
        <f t="shared" si="12"/>
        <v>6.3939759487040631</v>
      </c>
      <c r="V22">
        <f t="shared" si="13"/>
        <v>3.1146516760742804</v>
      </c>
      <c r="W22">
        <f t="shared" si="14"/>
        <v>265.44855141325337</v>
      </c>
      <c r="X22">
        <f t="shared" si="15"/>
        <v>62.987929496558749</v>
      </c>
      <c r="Y22">
        <f t="shared" si="16"/>
        <v>303.03139990104165</v>
      </c>
      <c r="Z22">
        <f t="shared" si="17"/>
        <v>158.26411666403004</v>
      </c>
      <c r="AA22">
        <f t="shared" si="18"/>
        <v>44.196505252664593</v>
      </c>
      <c r="AB22">
        <f t="shared" si="19"/>
        <v>11.728210838467797</v>
      </c>
      <c r="AC22">
        <f t="shared" si="20"/>
        <v>300.92921546027713</v>
      </c>
      <c r="AD22">
        <f t="shared" si="21"/>
        <v>156.86068784389667</v>
      </c>
      <c r="AE22">
        <f t="shared" si="22"/>
        <v>45.905016707018014</v>
      </c>
      <c r="AF22">
        <f t="shared" si="23"/>
        <v>0.19233771314460135</v>
      </c>
      <c r="AG22">
        <f t="shared" si="24"/>
        <v>-2.1021844407645176</v>
      </c>
      <c r="AH22">
        <f t="shared" si="25"/>
        <v>-1.4034288201333709</v>
      </c>
      <c r="AI22">
        <f t="shared" si="26"/>
        <v>1.7085114543534203</v>
      </c>
      <c r="AJ22">
        <f t="shared" si="27"/>
        <v>0</v>
      </c>
      <c r="AK22">
        <f t="shared" si="28"/>
        <v>204.88353038269017</v>
      </c>
      <c r="AL22">
        <f t="shared" si="29"/>
        <v>56.3567155474869</v>
      </c>
      <c r="AM22">
        <f t="shared" si="30"/>
        <v>53.695946008841119</v>
      </c>
      <c r="AN22">
        <f t="shared" si="31"/>
        <v>55.026330778164009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f t="shared" si="0"/>
        <v>7.0068673252162164</v>
      </c>
      <c r="H23">
        <f t="shared" si="1"/>
        <v>2.7835238115389078</v>
      </c>
      <c r="I23">
        <f t="shared" si="2"/>
        <v>6.552704603478948</v>
      </c>
      <c r="J23">
        <f t="shared" si="3"/>
        <v>3.1896287273231541</v>
      </c>
      <c r="K23">
        <f t="shared" si="4"/>
        <v>33.478463791386339</v>
      </c>
      <c r="L23">
        <f t="shared" si="5"/>
        <v>5.9216098216252899E-2</v>
      </c>
      <c r="M23">
        <f t="shared" si="32"/>
        <v>3.0717648211936371E-2</v>
      </c>
      <c r="N23">
        <f t="shared" si="33"/>
        <v>0.79940081854873102</v>
      </c>
      <c r="O23">
        <f t="shared" si="6"/>
        <v>0.6885452122736323</v>
      </c>
      <c r="P23">
        <f t="shared" si="7"/>
        <v>0.59367463615070282</v>
      </c>
      <c r="Q23">
        <f t="shared" si="8"/>
        <v>6.5093538661751333</v>
      </c>
      <c r="R23">
        <f t="shared" si="9"/>
        <v>-2.2697468786123332E-2</v>
      </c>
      <c r="S23">
        <f t="shared" si="10"/>
        <v>6.8530468037133208</v>
      </c>
      <c r="T23">
        <f t="shared" si="11"/>
        <v>2.7224176046658628</v>
      </c>
      <c r="U23">
        <f t="shared" si="12"/>
        <v>6.4088542360352552</v>
      </c>
      <c r="V23">
        <f t="shared" si="13"/>
        <v>3.1196073709215861</v>
      </c>
      <c r="W23">
        <f t="shared" si="14"/>
        <v>267.36137722684754</v>
      </c>
      <c r="X23">
        <f t="shared" si="15"/>
        <v>63.348707325917978</v>
      </c>
      <c r="Y23">
        <f t="shared" si="16"/>
        <v>305.7069255243901</v>
      </c>
      <c r="Z23">
        <f t="shared" si="17"/>
        <v>159.83673672378288</v>
      </c>
      <c r="AA23">
        <f t="shared" si="18"/>
        <v>44.175933177146703</v>
      </c>
      <c r="AB23">
        <f t="shared" si="19"/>
        <v>12.249235326785568</v>
      </c>
      <c r="AC23">
        <f t="shared" si="20"/>
        <v>303.4945984502852</v>
      </c>
      <c r="AD23">
        <f t="shared" si="21"/>
        <v>158.32269395180688</v>
      </c>
      <c r="AE23">
        <f t="shared" si="22"/>
        <v>46.073256767721652</v>
      </c>
      <c r="AF23">
        <f t="shared" si="23"/>
        <v>0.19683056898521656</v>
      </c>
      <c r="AG23">
        <f t="shared" si="24"/>
        <v>-2.2123270741049055</v>
      </c>
      <c r="AH23">
        <f t="shared" si="25"/>
        <v>-1.5140427719759941</v>
      </c>
      <c r="AI23">
        <f t="shared" si="26"/>
        <v>1.897323590574949</v>
      </c>
      <c r="AJ23">
        <f t="shared" si="27"/>
        <v>0</v>
      </c>
      <c r="AK23">
        <f t="shared" si="28"/>
        <v>206.71332878463298</v>
      </c>
      <c r="AL23">
        <f t="shared" si="29"/>
        <v>56.678334960328655</v>
      </c>
      <c r="AM23">
        <f t="shared" si="30"/>
        <v>53.956502979501472</v>
      </c>
      <c r="AN23">
        <f t="shared" si="31"/>
        <v>55.317418969915067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f t="shared" si="0"/>
        <v>7.0278516536758504</v>
      </c>
      <c r="H24">
        <f t="shared" si="1"/>
        <v>2.7769360266922449</v>
      </c>
      <c r="I24">
        <f t="shared" si="2"/>
        <v>6.5633034361324292</v>
      </c>
      <c r="J24">
        <f t="shared" si="3"/>
        <v>3.1934567836651317</v>
      </c>
      <c r="K24">
        <f t="shared" si="4"/>
        <v>33.688561603449706</v>
      </c>
      <c r="L24">
        <f t="shared" si="5"/>
        <v>5.8846798605880386E-2</v>
      </c>
      <c r="M24">
        <f t="shared" si="32"/>
        <v>1.5245805207629675E-2</v>
      </c>
      <c r="N24">
        <f t="shared" si="33"/>
        <v>0.81464662375636065</v>
      </c>
      <c r="O24">
        <f t="shared" si="6"/>
        <v>0.68825705682484528</v>
      </c>
      <c r="P24">
        <f t="shared" si="7"/>
        <v>0.59342618393846747</v>
      </c>
      <c r="Q24">
        <f t="shared" si="8"/>
        <v>6.5175331845787623</v>
      </c>
      <c r="R24">
        <f t="shared" si="9"/>
        <v>-2.3135240261657586E-2</v>
      </c>
      <c r="S24">
        <f t="shared" si="10"/>
        <v>6.8706938848871637</v>
      </c>
      <c r="T24">
        <f t="shared" si="11"/>
        <v>2.7148378078438702</v>
      </c>
      <c r="U24">
        <f t="shared" si="12"/>
        <v>6.4165339573876423</v>
      </c>
      <c r="V24">
        <f t="shared" si="13"/>
        <v>3.122044271339063</v>
      </c>
      <c r="W24">
        <f t="shared" si="14"/>
        <v>268.3392768338918</v>
      </c>
      <c r="X24">
        <f t="shared" si="15"/>
        <v>63.527441572283493</v>
      </c>
      <c r="Y24">
        <f t="shared" si="16"/>
        <v>307.6695031175575</v>
      </c>
      <c r="Z24">
        <f t="shared" si="17"/>
        <v>160.94950683115766</v>
      </c>
      <c r="AA24">
        <f t="shared" si="18"/>
        <v>43.862328430450646</v>
      </c>
      <c r="AB24">
        <f t="shared" si="19"/>
        <v>12.509390007754895</v>
      </c>
      <c r="AC24">
        <f t="shared" si="20"/>
        <v>304.77280179743173</v>
      </c>
      <c r="AD24">
        <f t="shared" si="21"/>
        <v>159.05187788501101</v>
      </c>
      <c r="AE24">
        <f t="shared" si="22"/>
        <v>46.156085857776546</v>
      </c>
      <c r="AF24">
        <f t="shared" si="23"/>
        <v>0.19871943371596501</v>
      </c>
      <c r="AG24">
        <f t="shared" si="24"/>
        <v>-2.8967013201257714</v>
      </c>
      <c r="AH24">
        <f t="shared" si="25"/>
        <v>-1.8976289461466536</v>
      </c>
      <c r="AI24">
        <f t="shared" si="26"/>
        <v>2.2937574273259003</v>
      </c>
      <c r="AJ24">
        <f t="shared" si="27"/>
        <v>0</v>
      </c>
      <c r="AK24">
        <f t="shared" si="28"/>
        <v>207.62551918915128</v>
      </c>
      <c r="AL24">
        <f t="shared" si="29"/>
        <v>56.837836297150076</v>
      </c>
      <c r="AM24">
        <f t="shared" si="30"/>
        <v>54.085291503306273</v>
      </c>
      <c r="AN24">
        <f t="shared" si="31"/>
        <v>55.461563900228171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f t="shared" si="0"/>
        <v>7.0489620483868389</v>
      </c>
      <c r="H25">
        <f t="shared" si="1"/>
        <v>2.7780318245128113</v>
      </c>
      <c r="I25">
        <f t="shared" si="2"/>
        <v>6.5705299787912459</v>
      </c>
      <c r="J25">
        <f t="shared" si="3"/>
        <v>3.1959920966074797</v>
      </c>
      <c r="K25">
        <f t="shared" si="4"/>
        <v>33.896711398360182</v>
      </c>
      <c r="L25">
        <f t="shared" si="5"/>
        <v>5.8485437619647827E-2</v>
      </c>
      <c r="M25">
        <f t="shared" si="32"/>
        <v>1.0100968586627925E-2</v>
      </c>
      <c r="N25">
        <f t="shared" si="33"/>
        <v>0.82474759234298856</v>
      </c>
      <c r="O25">
        <f t="shared" si="6"/>
        <v>0.68806627486803695</v>
      </c>
      <c r="P25">
        <f t="shared" si="7"/>
        <v>0.59326168870013984</v>
      </c>
      <c r="Q25">
        <f t="shared" si="8"/>
        <v>6.5229560889426734</v>
      </c>
      <c r="R25">
        <f t="shared" si="9"/>
        <v>-2.3425382665155814E-2</v>
      </c>
      <c r="S25">
        <f t="shared" si="10"/>
        <v>6.8894219578404829</v>
      </c>
      <c r="T25">
        <f t="shared" si="11"/>
        <v>2.7151562627235601</v>
      </c>
      <c r="U25">
        <f t="shared" si="12"/>
        <v>6.421818304567692</v>
      </c>
      <c r="V25">
        <f t="shared" si="13"/>
        <v>3.1236567846880625</v>
      </c>
      <c r="W25">
        <f t="shared" si="14"/>
        <v>269.00508056643145</v>
      </c>
      <c r="X25">
        <f t="shared" si="15"/>
        <v>63.64599398436571</v>
      </c>
      <c r="Y25">
        <f t="shared" si="16"/>
        <v>309.60646783828872</v>
      </c>
      <c r="Z25">
        <f t="shared" si="17"/>
        <v>162.01378623362862</v>
      </c>
      <c r="AA25">
        <f t="shared" si="18"/>
        <v>43.345300348437064</v>
      </c>
      <c r="AB25">
        <f t="shared" si="19"/>
        <v>12.682324545156268</v>
      </c>
      <c r="AC25">
        <f t="shared" si="20"/>
        <v>305.62147535335276</v>
      </c>
      <c r="AD25">
        <f t="shared" si="21"/>
        <v>159.5362966126568</v>
      </c>
      <c r="AE25">
        <f t="shared" si="22"/>
        <v>46.210715245912915</v>
      </c>
      <c r="AF25">
        <f t="shared" si="23"/>
        <v>0.19947676029161876</v>
      </c>
      <c r="AG25">
        <f t="shared" si="24"/>
        <v>-3.9849924849359581</v>
      </c>
      <c r="AH25">
        <f t="shared" si="25"/>
        <v>-2.4774896209718236</v>
      </c>
      <c r="AI25">
        <f t="shared" si="26"/>
        <v>2.8654148974758513</v>
      </c>
      <c r="AJ25">
        <f t="shared" si="27"/>
        <v>0</v>
      </c>
      <c r="AK25">
        <f t="shared" si="28"/>
        <v>208.2313561928888</v>
      </c>
      <c r="AL25">
        <f t="shared" si="29"/>
        <v>56.943464895686944</v>
      </c>
      <c r="AM25">
        <f t="shared" si="30"/>
        <v>54.170421772129771</v>
      </c>
      <c r="AN25">
        <f t="shared" si="31"/>
        <v>55.556943333908357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6633-3BBB-4D28-8D52-4A5EB310F0DD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94</v>
      </c>
      <c r="Z3" t="s">
        <v>95</v>
      </c>
      <c r="AA3" t="s">
        <v>96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5.9552663945054363</v>
      </c>
      <c r="J4">
        <f t="shared" ref="J4:J25" si="3">2*Lfin_111/F4</f>
        <v>2.8978863432718183</v>
      </c>
      <c r="K4">
        <f t="shared" ref="K4:K25" si="4">I4^2-(4/3)*H4^2</f>
        <v>25.339464642259905</v>
      </c>
      <c r="L4">
        <f t="shared" ref="L4:L25" si="5">4*Lfin_100^2/K4</f>
        <v>7.8236222745359213E-2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5.9552663945054363</v>
      </c>
      <c r="V4">
        <f t="shared" ref="V4:V25" si="13">2*P4/F4</f>
        <v>2.8978863432718183</v>
      </c>
      <c r="W4">
        <f t="shared" ref="W4:W25" si="14">Q4*U4^2</f>
        <v>215.98305478181197</v>
      </c>
      <c r="X4">
        <f t="shared" ref="X4:X25" si="15">Q4*V4^2</f>
        <v>51.142268624394774</v>
      </c>
      <c r="Y4">
        <f t="shared" ref="Y4:Y25" si="16">3*X4+Z4-AA4</f>
        <v>225.76901936492774</v>
      </c>
      <c r="Z4">
        <f t="shared" ref="Z4:Z25" si="17">W4-X4-AA4</f>
        <v>118.59149982458032</v>
      </c>
      <c r="AA4">
        <f t="shared" ref="AA4:AA25" si="18">Q4*T4^2</f>
        <v>46.249286332836874</v>
      </c>
      <c r="AB4">
        <f t="shared" ref="AB4:AB25" si="19">-3*$AP$11*((1-2*R4)^2.5)*(1+1.5*(4-$AP$12)*R4)*R4</f>
        <v>0</v>
      </c>
      <c r="AC4">
        <f t="shared" ref="AC4:AC25" si="20">((1-2*R4)^3.5)*($AP$4-$AP$14*R4)+3*AB4</f>
        <v>229.5456018448867</v>
      </c>
      <c r="AD4">
        <f t="shared" ref="AD4:AD25" si="21">((1-2*R4)^3.5)*($AP$5-$AP$15*R4)+1*AB4</f>
        <v>117.51639686958849</v>
      </c>
      <c r="AE4">
        <f t="shared" ref="AE4:AE25" si="22">((1-2*R4)^3.5)*($AP$6-$AP$16*R4)+1*AB4</f>
        <v>46.789541236287278</v>
      </c>
      <c r="AF4">
        <f t="shared" ref="AF4:AF25" si="23">AB4-B4</f>
        <v>0</v>
      </c>
      <c r="AG4">
        <f t="shared" ref="AG4:AG25" si="24">AC4-Y4</f>
        <v>3.7765824799589609</v>
      </c>
      <c r="AH4">
        <f t="shared" ref="AH4:AH25" si="25">AD4-Z4</f>
        <v>-1.0751029549918343</v>
      </c>
      <c r="AI4">
        <f t="shared" ref="AI4:AI25" si="26">AE4-AA4</f>
        <v>0.54025490345040339</v>
      </c>
      <c r="AJ4">
        <f t="shared" ref="AJ4:AJ25" si="27">IF(AND(A4&gt;=CutoffLowBar,A4&lt;=CutoffOilBar),AF4^2+AG4^2+AH4^2+AI4^2,0)</f>
        <v>0</v>
      </c>
      <c r="AK4">
        <f t="shared" ref="AK4:AK25" si="28">(AC4+2*AD4)/3</f>
        <v>154.85946519468789</v>
      </c>
      <c r="AL4">
        <f t="shared" ref="AL4:AL25" si="29">(AC4-AD4+3*AE4)/5</f>
        <v>50.479565736832015</v>
      </c>
      <c r="AM4">
        <f t="shared" ref="AM4:AM25" si="30">5*(AC4-AD4)*AE4/(3*(AC4-AD4)+4*AE4)</f>
        <v>50.08922486820687</v>
      </c>
      <c r="AN4">
        <f t="shared" ref="AN4:AN25" si="31">(AL4+AM4)/2</f>
        <v>50.284395302519442</v>
      </c>
      <c r="AO4" t="s">
        <v>68</v>
      </c>
      <c r="AP4">
        <v>229.5456018448867</v>
      </c>
      <c r="AS4" t="s">
        <v>68</v>
      </c>
      <c r="AT4">
        <f>$AP$4</f>
        <v>229.5456018448867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f t="shared" si="0"/>
        <v>6.2648579009706697</v>
      </c>
      <c r="H5">
        <f t="shared" si="1"/>
        <v>2.7758410930082182</v>
      </c>
      <c r="I5">
        <f t="shared" si="2"/>
        <v>5.962002320164963</v>
      </c>
      <c r="J5">
        <f t="shared" si="3"/>
        <v>2.9022348252931329</v>
      </c>
      <c r="K5">
        <f t="shared" si="4"/>
        <v>25.271746634141653</v>
      </c>
      <c r="L5">
        <f t="shared" si="5"/>
        <v>7.844586401961344E-2</v>
      </c>
      <c r="M5">
        <f t="shared" ref="M5:M25" si="32">0.5*(B5-B4)*(L5+L4)</f>
        <v>1.0116406757078769E-2</v>
      </c>
      <c r="N5">
        <f t="shared" ref="N5:N25" si="33">N4+M5</f>
        <v>1.0116406757078769E-2</v>
      </c>
      <c r="O5">
        <f t="shared" si="6"/>
        <v>0.70380008674431116</v>
      </c>
      <c r="P5">
        <f t="shared" si="7"/>
        <v>0.6068276316105069</v>
      </c>
      <c r="Q5">
        <f t="shared" si="8"/>
        <v>6.0951910376412179</v>
      </c>
      <c r="R5">
        <f t="shared" si="9"/>
        <v>-2.8408869502882794E-4</v>
      </c>
      <c r="S5">
        <f t="shared" si="10"/>
        <v>6.2630788837271885</v>
      </c>
      <c r="T5">
        <f t="shared" si="11"/>
        <v>2.7750528438176247</v>
      </c>
      <c r="U5">
        <f t="shared" si="12"/>
        <v>5.9603093041219966</v>
      </c>
      <c r="V5">
        <f t="shared" si="13"/>
        <v>2.901410684366005</v>
      </c>
      <c r="W5">
        <f t="shared" si="14"/>
        <v>216.53341093692796</v>
      </c>
      <c r="X5">
        <f t="shared" si="15"/>
        <v>51.310439422264743</v>
      </c>
      <c r="Y5">
        <f t="shared" si="16"/>
        <v>225.27715354482862</v>
      </c>
      <c r="Z5">
        <f t="shared" si="17"/>
        <v>118.28440339634881</v>
      </c>
      <c r="AA5">
        <f t="shared" si="18"/>
        <v>46.938568118314407</v>
      </c>
      <c r="AB5">
        <f t="shared" si="19"/>
        <v>0.13217410378050337</v>
      </c>
      <c r="AC5">
        <f t="shared" si="20"/>
        <v>230.31898942280958</v>
      </c>
      <c r="AD5">
        <f t="shared" si="21"/>
        <v>117.94029893148924</v>
      </c>
      <c r="AE5">
        <f t="shared" si="22"/>
        <v>46.8231876900592</v>
      </c>
      <c r="AF5">
        <f t="shared" si="23"/>
        <v>3.0411956612280411E-3</v>
      </c>
      <c r="AG5">
        <f t="shared" si="24"/>
        <v>5.041835877980958</v>
      </c>
      <c r="AH5">
        <f t="shared" si="25"/>
        <v>-0.34410446485956925</v>
      </c>
      <c r="AI5">
        <f t="shared" si="26"/>
        <v>-0.11538042825520733</v>
      </c>
      <c r="AJ5">
        <f t="shared" si="27"/>
        <v>0</v>
      </c>
      <c r="AK5">
        <f t="shared" si="28"/>
        <v>155.39986242859604</v>
      </c>
      <c r="AL5">
        <f t="shared" si="29"/>
        <v>50.569650712299584</v>
      </c>
      <c r="AM5">
        <f t="shared" si="30"/>
        <v>50.168185787549142</v>
      </c>
      <c r="AN5">
        <f t="shared" si="31"/>
        <v>50.368918249924363</v>
      </c>
      <c r="AO5" t="s">
        <v>69</v>
      </c>
      <c r="AP5">
        <v>117.51639686958849</v>
      </c>
      <c r="AS5" t="s">
        <v>69</v>
      </c>
      <c r="AT5">
        <f>$AP$5</f>
        <v>117.51639686958849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f t="shared" si="0"/>
        <v>6.3726059035918201</v>
      </c>
      <c r="H6">
        <f t="shared" si="1"/>
        <v>2.7835238115389078</v>
      </c>
      <c r="I6">
        <f t="shared" si="2"/>
        <v>6.0488824627844204</v>
      </c>
      <c r="J6">
        <f t="shared" si="3"/>
        <v>2.9571677852614564</v>
      </c>
      <c r="K6">
        <f t="shared" si="4"/>
        <v>26.258305969375463</v>
      </c>
      <c r="L6">
        <f t="shared" si="5"/>
        <v>7.5498549004345814E-2</v>
      </c>
      <c r="M6">
        <f t="shared" si="32"/>
        <v>0.11596252349792047</v>
      </c>
      <c r="N6">
        <f t="shared" si="33"/>
        <v>0.12607893025499922</v>
      </c>
      <c r="O6">
        <f t="shared" si="6"/>
        <v>0.70151660123294335</v>
      </c>
      <c r="P6">
        <f t="shared" si="7"/>
        <v>0.60485877407442701</v>
      </c>
      <c r="Q6">
        <f t="shared" si="8"/>
        <v>6.1549058093101676</v>
      </c>
      <c r="R6">
        <f t="shared" si="9"/>
        <v>-3.5463087140066296E-3</v>
      </c>
      <c r="S6">
        <f t="shared" si="10"/>
        <v>6.3501261853476194</v>
      </c>
      <c r="T6">
        <f t="shared" si="11"/>
        <v>2.7737047780138391</v>
      </c>
      <c r="U6">
        <f t="shared" si="12"/>
        <v>6.0275446968040951</v>
      </c>
      <c r="V6">
        <f t="shared" si="13"/>
        <v>2.946736213057056</v>
      </c>
      <c r="W6">
        <f t="shared" si="14"/>
        <v>223.6156990982372</v>
      </c>
      <c r="X6">
        <f t="shared" si="15"/>
        <v>53.444612392285634</v>
      </c>
      <c r="Y6">
        <f t="shared" si="16"/>
        <v>235.80014899575968</v>
      </c>
      <c r="Z6">
        <f t="shared" si="17"/>
        <v>122.81869926242717</v>
      </c>
      <c r="AA6">
        <f t="shared" si="18"/>
        <v>47.352387443524385</v>
      </c>
      <c r="AB6">
        <f t="shared" si="19"/>
        <v>1.6777122101330815</v>
      </c>
      <c r="AC6">
        <f t="shared" si="20"/>
        <v>239.30687717408654</v>
      </c>
      <c r="AD6">
        <f t="shared" si="21"/>
        <v>122.87628321248904</v>
      </c>
      <c r="AE6">
        <f t="shared" si="22"/>
        <v>47.191787461908987</v>
      </c>
      <c r="AF6">
        <f t="shared" si="23"/>
        <v>4.2028707288779499E-2</v>
      </c>
      <c r="AG6">
        <f t="shared" si="24"/>
        <v>3.5067281783268527</v>
      </c>
      <c r="AH6">
        <f t="shared" si="25"/>
        <v>5.758395006186845E-2</v>
      </c>
      <c r="AI6">
        <f t="shared" si="26"/>
        <v>-0.16059998161539824</v>
      </c>
      <c r="AJ6">
        <f t="shared" si="27"/>
        <v>0</v>
      </c>
      <c r="AK6">
        <f t="shared" si="28"/>
        <v>161.68648119968819</v>
      </c>
      <c r="AL6">
        <f t="shared" si="29"/>
        <v>51.601191269464891</v>
      </c>
      <c r="AM6">
        <f t="shared" si="30"/>
        <v>51.059163971205379</v>
      </c>
      <c r="AN6">
        <f t="shared" si="31"/>
        <v>51.330177620335135</v>
      </c>
      <c r="AO6" t="s">
        <v>70</v>
      </c>
      <c r="AP6">
        <v>46.789541236287278</v>
      </c>
      <c r="AS6" t="s">
        <v>70</v>
      </c>
      <c r="AT6">
        <f>$AP$6</f>
        <v>46.789541236287278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f t="shared" si="0"/>
        <v>6.4366973655154416</v>
      </c>
      <c r="H7">
        <f t="shared" si="1"/>
        <v>2.7835238115389078</v>
      </c>
      <c r="I7">
        <f t="shared" si="2"/>
        <v>6.0998941707248395</v>
      </c>
      <c r="J7">
        <f t="shared" si="3"/>
        <v>2.9883719859043327</v>
      </c>
      <c r="K7">
        <f t="shared" si="4"/>
        <v>26.878035814837425</v>
      </c>
      <c r="L7">
        <f t="shared" si="5"/>
        <v>7.3757770607092668E-2</v>
      </c>
      <c r="M7">
        <f t="shared" si="32"/>
        <v>6.4246342022023839E-2</v>
      </c>
      <c r="N7">
        <f t="shared" si="33"/>
        <v>0.19032527227702306</v>
      </c>
      <c r="O7">
        <f t="shared" si="6"/>
        <v>0.70025785645407856</v>
      </c>
      <c r="P7">
        <f t="shared" si="7"/>
        <v>0.60377346430060475</v>
      </c>
      <c r="Q7">
        <f t="shared" si="8"/>
        <v>6.1881566620734496</v>
      </c>
      <c r="R7">
        <f t="shared" si="9"/>
        <v>-5.3582297247700694E-3</v>
      </c>
      <c r="S7">
        <f t="shared" si="10"/>
        <v>6.4024828122435489</v>
      </c>
      <c r="T7">
        <f t="shared" si="11"/>
        <v>2.7687278659902308</v>
      </c>
      <c r="U7">
        <f t="shared" si="12"/>
        <v>6.0674699099268548</v>
      </c>
      <c r="V7">
        <f t="shared" si="13"/>
        <v>2.9724871607056622</v>
      </c>
      <c r="W7">
        <f t="shared" si="14"/>
        <v>227.81198196299724</v>
      </c>
      <c r="X7">
        <f t="shared" si="15"/>
        <v>54.676571564362028</v>
      </c>
      <c r="Y7">
        <f t="shared" si="16"/>
        <v>242.29011414116545</v>
      </c>
      <c r="Z7">
        <f t="shared" si="17"/>
        <v>125.6979049233573</v>
      </c>
      <c r="AA7">
        <f t="shared" si="18"/>
        <v>47.437505475277895</v>
      </c>
      <c r="AB7">
        <f t="shared" si="19"/>
        <v>2.5584003281186996</v>
      </c>
      <c r="AC7">
        <f t="shared" si="20"/>
        <v>244.38453200730532</v>
      </c>
      <c r="AD7">
        <f t="shared" si="21"/>
        <v>125.67257980730591</v>
      </c>
      <c r="AE7">
        <f t="shared" si="22"/>
        <v>47.382040936335571</v>
      </c>
      <c r="AF7">
        <f t="shared" si="23"/>
        <v>6.1830771145802821E-2</v>
      </c>
      <c r="AG7">
        <f t="shared" si="24"/>
        <v>2.094417866139878</v>
      </c>
      <c r="AH7">
        <f t="shared" si="25"/>
        <v>-2.5325116051391205E-2</v>
      </c>
      <c r="AI7">
        <f t="shared" si="26"/>
        <v>-5.5464538942324282E-2</v>
      </c>
      <c r="AJ7">
        <f t="shared" si="27"/>
        <v>0</v>
      </c>
      <c r="AK7">
        <f t="shared" si="28"/>
        <v>165.24323054063905</v>
      </c>
      <c r="AL7">
        <f t="shared" si="29"/>
        <v>52.171615001801229</v>
      </c>
      <c r="AM7">
        <f t="shared" si="30"/>
        <v>51.541006636399111</v>
      </c>
      <c r="AN7">
        <f t="shared" si="31"/>
        <v>51.856310819100173</v>
      </c>
      <c r="AO7" t="s">
        <v>71</v>
      </c>
      <c r="AP7">
        <v>5.8541865490890084</v>
      </c>
      <c r="AS7" t="s">
        <v>71</v>
      </c>
      <c r="AT7">
        <f>$AP$7</f>
        <v>5.8541865490890084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f t="shared" si="0"/>
        <v>6.5020911040778779</v>
      </c>
      <c r="H8">
        <f t="shared" si="1"/>
        <v>2.7868294391394235</v>
      </c>
      <c r="I8">
        <f t="shared" si="2"/>
        <v>6.1538947107377258</v>
      </c>
      <c r="J8">
        <f t="shared" si="3"/>
        <v>3.0200017266953645</v>
      </c>
      <c r="K8">
        <f t="shared" si="4"/>
        <v>27.515195680373552</v>
      </c>
      <c r="L8">
        <f t="shared" si="5"/>
        <v>7.2049787434878443E-2</v>
      </c>
      <c r="M8">
        <f t="shared" si="32"/>
        <v>6.9038031317683171E-2</v>
      </c>
      <c r="N8">
        <f t="shared" si="33"/>
        <v>0.25936330359470622</v>
      </c>
      <c r="O8">
        <f t="shared" si="6"/>
        <v>0.698910256039601</v>
      </c>
      <c r="P8">
        <f t="shared" si="7"/>
        <v>0.60261154178414467</v>
      </c>
      <c r="Q8">
        <f t="shared" si="8"/>
        <v>6.2240207169805357</v>
      </c>
      <c r="R8">
        <f t="shared" si="9"/>
        <v>-7.3089165477878693E-3</v>
      </c>
      <c r="S8">
        <f t="shared" si="10"/>
        <v>6.455082611283923</v>
      </c>
      <c r="T8">
        <f t="shared" si="11"/>
        <v>2.7666813591585684</v>
      </c>
      <c r="U8">
        <f t="shared" si="12"/>
        <v>6.1094035907989355</v>
      </c>
      <c r="V8">
        <f t="shared" si="13"/>
        <v>2.9981678693816685</v>
      </c>
      <c r="W8">
        <f t="shared" si="14"/>
        <v>232.31040460970993</v>
      </c>
      <c r="X8">
        <f t="shared" si="15"/>
        <v>55.947788031463105</v>
      </c>
      <c r="Y8">
        <f t="shared" si="16"/>
        <v>248.92212706501272</v>
      </c>
      <c r="Z8">
        <f t="shared" si="17"/>
        <v>128.72068977443513</v>
      </c>
      <c r="AA8">
        <f t="shared" si="18"/>
        <v>47.641926803811721</v>
      </c>
      <c r="AB8">
        <f t="shared" si="19"/>
        <v>3.5245007936489201</v>
      </c>
      <c r="AC8">
        <f t="shared" si="20"/>
        <v>249.91989705089134</v>
      </c>
      <c r="AD8">
        <f t="shared" si="21"/>
        <v>128.72720759165711</v>
      </c>
      <c r="AE8">
        <f t="shared" si="22"/>
        <v>47.574930400734615</v>
      </c>
      <c r="AF8">
        <f t="shared" si="23"/>
        <v>8.0956577134569496E-2</v>
      </c>
      <c r="AG8">
        <f t="shared" si="24"/>
        <v>0.99776998587861954</v>
      </c>
      <c r="AH8">
        <f t="shared" si="25"/>
        <v>6.5178172219759745E-3</v>
      </c>
      <c r="AI8">
        <f t="shared" si="26"/>
        <v>-6.6996403077105526E-2</v>
      </c>
      <c r="AJ8">
        <f t="shared" si="27"/>
        <v>1.0066299120681752</v>
      </c>
      <c r="AK8">
        <f t="shared" si="28"/>
        <v>169.12477074473517</v>
      </c>
      <c r="AL8">
        <f t="shared" si="29"/>
        <v>52.78349613228761</v>
      </c>
      <c r="AM8">
        <f t="shared" si="30"/>
        <v>52.048790097743698</v>
      </c>
      <c r="AN8">
        <f t="shared" si="31"/>
        <v>52.416143115015657</v>
      </c>
      <c r="AO8" t="s">
        <v>72</v>
      </c>
      <c r="AP8">
        <v>3.2082418665593475</v>
      </c>
      <c r="AS8" t="s">
        <v>72</v>
      </c>
      <c r="AT8">
        <f>$AP$8</f>
        <v>3.2082418665593475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f t="shared" si="0"/>
        <v>6.5565916733293026</v>
      </c>
      <c r="H9">
        <f t="shared" si="1"/>
        <v>2.7868294391394235</v>
      </c>
      <c r="I9">
        <f t="shared" si="2"/>
        <v>6.207232819909267</v>
      </c>
      <c r="J9">
        <f t="shared" si="3"/>
        <v>3.0491087089152202</v>
      </c>
      <c r="K9">
        <f t="shared" si="4"/>
        <v>28.174514850086545</v>
      </c>
      <c r="L9">
        <f t="shared" si="5"/>
        <v>7.0363731569060547E-2</v>
      </c>
      <c r="M9">
        <f t="shared" si="32"/>
        <v>7.0496042147177473E-2</v>
      </c>
      <c r="N9">
        <f t="shared" si="33"/>
        <v>0.32985934574188369</v>
      </c>
      <c r="O9">
        <f t="shared" si="6"/>
        <v>0.69753953742253594</v>
      </c>
      <c r="P9">
        <f t="shared" si="7"/>
        <v>0.601429686385624</v>
      </c>
      <c r="Q9">
        <f t="shared" si="8"/>
        <v>6.2607848991226911</v>
      </c>
      <c r="R9">
        <f t="shared" si="9"/>
        <v>-9.3046772881261175E-3</v>
      </c>
      <c r="S9">
        <f t="shared" si="10"/>
        <v>6.4964231859127457</v>
      </c>
      <c r="T9">
        <f t="shared" si="11"/>
        <v>2.7612552810409356</v>
      </c>
      <c r="U9">
        <f t="shared" si="12"/>
        <v>6.1502703265248488</v>
      </c>
      <c r="V9">
        <f t="shared" si="13"/>
        <v>3.0211276681360064</v>
      </c>
      <c r="W9">
        <f t="shared" si="14"/>
        <v>236.81935451614643</v>
      </c>
      <c r="X9">
        <f t="shared" si="15"/>
        <v>57.143513484722732</v>
      </c>
      <c r="Y9">
        <f t="shared" si="16"/>
        <v>255.63528780763741</v>
      </c>
      <c r="Z9">
        <f t="shared" si="17"/>
        <v>131.94029419244649</v>
      </c>
      <c r="AA9">
        <f t="shared" si="18"/>
        <v>47.735546838977235</v>
      </c>
      <c r="AB9">
        <f t="shared" si="19"/>
        <v>4.5323768946111063</v>
      </c>
      <c r="AC9">
        <f t="shared" si="20"/>
        <v>255.6575135593821</v>
      </c>
      <c r="AD9">
        <f t="shared" si="21"/>
        <v>131.90025743152373</v>
      </c>
      <c r="AE9">
        <f t="shared" si="22"/>
        <v>47.759133496101377</v>
      </c>
      <c r="AF9">
        <f t="shared" si="23"/>
        <v>9.8813715848829808E-2</v>
      </c>
      <c r="AG9">
        <f t="shared" si="24"/>
        <v>2.2225751744684885E-2</v>
      </c>
      <c r="AH9">
        <f t="shared" si="25"/>
        <v>-4.0036760922760095E-2</v>
      </c>
      <c r="AI9">
        <f t="shared" si="26"/>
        <v>2.3586657124141652E-2</v>
      </c>
      <c r="AJ9">
        <f t="shared" si="27"/>
        <v>1.2417407099947715E-2</v>
      </c>
      <c r="AK9">
        <f t="shared" si="28"/>
        <v>173.15267614080986</v>
      </c>
      <c r="AL9">
        <f t="shared" si="29"/>
        <v>53.406931323232492</v>
      </c>
      <c r="AM9">
        <f t="shared" si="30"/>
        <v>52.556038134518566</v>
      </c>
      <c r="AN9">
        <f t="shared" si="31"/>
        <v>52.981484728875529</v>
      </c>
      <c r="AO9" t="s">
        <v>73</v>
      </c>
      <c r="AP9">
        <v>0.25585660615462691</v>
      </c>
      <c r="AS9" t="s">
        <v>73</v>
      </c>
      <c r="AT9">
        <f>$AP$9</f>
        <v>0.25585660615462691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f t="shared" si="0"/>
        <v>6.5996168080274185</v>
      </c>
      <c r="H10">
        <f t="shared" si="1"/>
        <v>2.7868294391394235</v>
      </c>
      <c r="I10">
        <f t="shared" si="2"/>
        <v>6.2426220761135447</v>
      </c>
      <c r="J10">
        <f t="shared" si="3"/>
        <v>3.066920031450846</v>
      </c>
      <c r="K10">
        <f t="shared" si="4"/>
        <v>28.615105954707978</v>
      </c>
      <c r="L10">
        <f t="shared" si="5"/>
        <v>6.9280330575670276E-2</v>
      </c>
      <c r="M10">
        <f t="shared" si="32"/>
        <v>4.808705025690424E-2</v>
      </c>
      <c r="N10">
        <f t="shared" si="33"/>
        <v>0.37794639599878793</v>
      </c>
      <c r="O10">
        <f t="shared" si="6"/>
        <v>0.69660761766426993</v>
      </c>
      <c r="P10">
        <f t="shared" si="7"/>
        <v>0.60062617034405097</v>
      </c>
      <c r="Q10">
        <f t="shared" si="8"/>
        <v>6.285945511465127</v>
      </c>
      <c r="R10">
        <f t="shared" si="9"/>
        <v>-1.066828158926858E-2</v>
      </c>
      <c r="S10">
        <f t="shared" si="10"/>
        <v>6.5303172473537696</v>
      </c>
      <c r="T10">
        <f t="shared" si="11"/>
        <v>2.7575662165277945</v>
      </c>
      <c r="U10">
        <f t="shared" si="12"/>
        <v>6.1770711540054482</v>
      </c>
      <c r="V10">
        <f t="shared" si="13"/>
        <v>3.0347157055054002</v>
      </c>
      <c r="W10">
        <f t="shared" si="14"/>
        <v>239.84784467391552</v>
      </c>
      <c r="X10">
        <f t="shared" si="15"/>
        <v>57.890411499503855</v>
      </c>
      <c r="Y10">
        <f t="shared" si="16"/>
        <v>260.0298530279772</v>
      </c>
      <c r="Z10">
        <f t="shared" si="17"/>
        <v>134.15802585193867</v>
      </c>
      <c r="AA10">
        <f t="shared" si="18"/>
        <v>47.799407322473009</v>
      </c>
      <c r="AB10">
        <f t="shared" si="19"/>
        <v>5.2324159226823008</v>
      </c>
      <c r="AC10">
        <f t="shared" si="20"/>
        <v>259.6212395354803</v>
      </c>
      <c r="AD10">
        <f t="shared" si="21"/>
        <v>134.0963024536903</v>
      </c>
      <c r="AE10">
        <f t="shared" si="22"/>
        <v>47.877163804632396</v>
      </c>
      <c r="AF10">
        <f t="shared" si="23"/>
        <v>0.11014390061717716</v>
      </c>
      <c r="AG10">
        <f t="shared" si="24"/>
        <v>-0.40861349249689738</v>
      </c>
      <c r="AH10">
        <f t="shared" si="25"/>
        <v>-6.1723398248375361E-2</v>
      </c>
      <c r="AI10">
        <f t="shared" si="26"/>
        <v>7.7756482159387019E-2</v>
      </c>
      <c r="AJ10">
        <f t="shared" si="27"/>
        <v>0.18895251350280923</v>
      </c>
      <c r="AK10">
        <f t="shared" si="28"/>
        <v>175.93794814762032</v>
      </c>
      <c r="AL10">
        <f t="shared" si="29"/>
        <v>53.831285699137439</v>
      </c>
      <c r="AM10">
        <f t="shared" si="30"/>
        <v>52.895202281097738</v>
      </c>
      <c r="AN10">
        <f t="shared" si="31"/>
        <v>53.363243990117589</v>
      </c>
      <c r="AS10" t="s">
        <v>74</v>
      </c>
      <c r="AT10">
        <f>$AP$11</f>
        <v>154.85946519468789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f t="shared" si="0"/>
        <v>6.6494850504177183</v>
      </c>
      <c r="H11">
        <f t="shared" si="1"/>
        <v>2.7923563004623602</v>
      </c>
      <c r="I11">
        <f t="shared" si="2"/>
        <v>6.2747882086785065</v>
      </c>
      <c r="J11">
        <f t="shared" si="3"/>
        <v>3.0819748511723697</v>
      </c>
      <c r="K11">
        <f t="shared" si="4"/>
        <v>28.976628785461706</v>
      </c>
      <c r="L11">
        <f t="shared" si="5"/>
        <v>6.8415964282037223E-2</v>
      </c>
      <c r="M11">
        <f t="shared" si="32"/>
        <v>4.4452807480568214E-2</v>
      </c>
      <c r="N11">
        <f t="shared" si="33"/>
        <v>0.42239920347935617</v>
      </c>
      <c r="O11">
        <f t="shared" si="6"/>
        <v>0.6957483411787414</v>
      </c>
      <c r="P11">
        <f t="shared" si="7"/>
        <v>0.59988528848792055</v>
      </c>
      <c r="Q11">
        <f t="shared" si="8"/>
        <v>6.3092644552180914</v>
      </c>
      <c r="R11">
        <f t="shared" si="9"/>
        <v>-1.193045123059211E-2</v>
      </c>
      <c r="S11">
        <f t="shared" si="10"/>
        <v>6.5715457294331925</v>
      </c>
      <c r="T11">
        <f t="shared" si="11"/>
        <v>2.7596267954924634</v>
      </c>
      <c r="U11">
        <f t="shared" si="12"/>
        <v>6.2012407491988597</v>
      </c>
      <c r="V11">
        <f t="shared" si="13"/>
        <v>3.0458506963888849</v>
      </c>
      <c r="W11">
        <f t="shared" si="14"/>
        <v>242.62520523518046</v>
      </c>
      <c r="X11">
        <f t="shared" si="15"/>
        <v>58.532348991404866</v>
      </c>
      <c r="Y11">
        <f t="shared" si="16"/>
        <v>263.59299092343315</v>
      </c>
      <c r="Z11">
        <f t="shared" si="17"/>
        <v>136.04440009649707</v>
      </c>
      <c r="AA11">
        <f t="shared" si="18"/>
        <v>48.048456147278529</v>
      </c>
      <c r="AB11">
        <f t="shared" si="19"/>
        <v>5.8886931962479014</v>
      </c>
      <c r="AC11">
        <f t="shared" si="20"/>
        <v>263.32174615848072</v>
      </c>
      <c r="AD11">
        <f t="shared" si="21"/>
        <v>136.14943668600856</v>
      </c>
      <c r="AE11">
        <f t="shared" si="22"/>
        <v>47.980636048988366</v>
      </c>
      <c r="AF11">
        <f t="shared" si="23"/>
        <v>0.12075663358631772</v>
      </c>
      <c r="AG11">
        <f t="shared" si="24"/>
        <v>-0.27124476495242789</v>
      </c>
      <c r="AH11">
        <f t="shared" si="25"/>
        <v>0.10503658951148509</v>
      </c>
      <c r="AI11">
        <f t="shared" si="26"/>
        <v>-6.7820098290162889E-2</v>
      </c>
      <c r="AJ11">
        <f t="shared" si="27"/>
        <v>0.10378813793748962</v>
      </c>
      <c r="AK11">
        <f t="shared" si="28"/>
        <v>178.54020651016594</v>
      </c>
      <c r="AL11">
        <f t="shared" si="29"/>
        <v>54.222843523887448</v>
      </c>
      <c r="AM11">
        <f t="shared" si="30"/>
        <v>53.203595041163346</v>
      </c>
      <c r="AN11">
        <f t="shared" si="31"/>
        <v>53.713219282525401</v>
      </c>
      <c r="AO11" t="s">
        <v>74</v>
      </c>
      <c r="AP11">
        <f>($AP$4+2*$AP$5)/3</f>
        <v>154.85946519468789</v>
      </c>
      <c r="AS11" t="s">
        <v>75</v>
      </c>
      <c r="AT11">
        <f>$AP$12</f>
        <v>4.0902234274025675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f t="shared" si="0"/>
        <v>6.6810372216725451</v>
      </c>
      <c r="H12">
        <f t="shared" si="1"/>
        <v>2.7923563004623602</v>
      </c>
      <c r="I12">
        <f t="shared" si="2"/>
        <v>6.3144708422254601</v>
      </c>
      <c r="J12">
        <f t="shared" si="3"/>
        <v>3.0991282954377302</v>
      </c>
      <c r="K12">
        <f t="shared" si="4"/>
        <v>29.476203739006394</v>
      </c>
      <c r="L12">
        <f t="shared" si="5"/>
        <v>6.72564220804516E-2</v>
      </c>
      <c r="M12">
        <f t="shared" si="32"/>
        <v>5.5479271041162216E-2</v>
      </c>
      <c r="N12">
        <f t="shared" si="33"/>
        <v>0.4778784745205184</v>
      </c>
      <c r="O12">
        <f t="shared" si="6"/>
        <v>0.69467889148108908</v>
      </c>
      <c r="P12">
        <f t="shared" si="7"/>
        <v>0.59896319194463221</v>
      </c>
      <c r="Q12">
        <f t="shared" si="8"/>
        <v>6.3384484450327028</v>
      </c>
      <c r="R12">
        <f t="shared" si="9"/>
        <v>-1.3507885914100015E-2</v>
      </c>
      <c r="S12">
        <f t="shared" si="10"/>
        <v>6.5925788793968456</v>
      </c>
      <c r="T12">
        <f t="shared" si="11"/>
        <v>2.7553849139565729</v>
      </c>
      <c r="U12">
        <f t="shared" si="12"/>
        <v>6.2308659161460822</v>
      </c>
      <c r="V12">
        <f t="shared" si="13"/>
        <v>3.058095183000511</v>
      </c>
      <c r="W12">
        <f t="shared" si="14"/>
        <v>246.08195792287353</v>
      </c>
      <c r="X12">
        <f t="shared" si="15"/>
        <v>59.276828521664207</v>
      </c>
      <c r="Y12">
        <f t="shared" si="16"/>
        <v>268.39076264488</v>
      </c>
      <c r="Z12">
        <f t="shared" si="17"/>
        <v>138.68270324054834</v>
      </c>
      <c r="AA12">
        <f t="shared" si="18"/>
        <v>48.122426160660964</v>
      </c>
      <c r="AB12">
        <f t="shared" si="19"/>
        <v>6.7202028399761442</v>
      </c>
      <c r="AC12">
        <f t="shared" si="20"/>
        <v>267.98951576162841</v>
      </c>
      <c r="AD12">
        <f t="shared" si="21"/>
        <v>138.74322037064431</v>
      </c>
      <c r="AE12">
        <f t="shared" si="22"/>
        <v>48.102000695723071</v>
      </c>
      <c r="AF12">
        <f t="shared" si="23"/>
        <v>0.1344245258923813</v>
      </c>
      <c r="AG12">
        <f t="shared" si="24"/>
        <v>-0.40124688325158786</v>
      </c>
      <c r="AH12">
        <f t="shared" si="25"/>
        <v>6.0517130095973926E-2</v>
      </c>
      <c r="AI12">
        <f t="shared" si="26"/>
        <v>-2.0425464937893878E-2</v>
      </c>
      <c r="AJ12">
        <f t="shared" si="27"/>
        <v>0.18314853713348703</v>
      </c>
      <c r="AK12">
        <f t="shared" si="28"/>
        <v>181.82531883430568</v>
      </c>
      <c r="AL12">
        <f t="shared" si="29"/>
        <v>54.710459495630666</v>
      </c>
      <c r="AM12">
        <f t="shared" si="30"/>
        <v>53.581304228022219</v>
      </c>
      <c r="AN12">
        <f t="shared" si="31"/>
        <v>54.145881861826439</v>
      </c>
      <c r="AO12" t="s">
        <v>75</v>
      </c>
      <c r="AP12">
        <f>($AP$7+2*$AP$8)/3</f>
        <v>4.0902234274025675</v>
      </c>
      <c r="AS12" t="s">
        <v>81</v>
      </c>
      <c r="AT12">
        <f>AL4</f>
        <v>50.479565736832015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f t="shared" si="0"/>
        <v>6.7321482821897369</v>
      </c>
      <c r="H13">
        <f t="shared" si="1"/>
        <v>2.7901429273991463</v>
      </c>
      <c r="I13">
        <f t="shared" si="2"/>
        <v>6.3471675146608604</v>
      </c>
      <c r="J13">
        <f t="shared" si="3"/>
        <v>3.1122734108188288</v>
      </c>
      <c r="K13">
        <f t="shared" si="4"/>
        <v>29.906672052078822</v>
      </c>
      <c r="L13">
        <f t="shared" si="5"/>
        <v>6.6288351861677572E-2</v>
      </c>
      <c r="M13">
        <f t="shared" si="32"/>
        <v>4.5986733395412052E-2</v>
      </c>
      <c r="N13">
        <f t="shared" si="33"/>
        <v>0.5238652079159305</v>
      </c>
      <c r="O13">
        <f t="shared" si="6"/>
        <v>0.69379491418772787</v>
      </c>
      <c r="P13">
        <f t="shared" si="7"/>
        <v>0.59820101265902115</v>
      </c>
      <c r="Q13">
        <f t="shared" si="8"/>
        <v>6.3627071403473794</v>
      </c>
      <c r="R13">
        <f t="shared" si="9"/>
        <v>-1.4817259856759635E-2</v>
      </c>
      <c r="S13">
        <f t="shared" si="10"/>
        <v>6.6345599996319438</v>
      </c>
      <c r="T13">
        <f t="shared" si="11"/>
        <v>2.7496974046681628</v>
      </c>
      <c r="U13">
        <f t="shared" si="12"/>
        <v>6.2551598596154356</v>
      </c>
      <c r="V13">
        <f t="shared" si="13"/>
        <v>3.0671583295281204</v>
      </c>
      <c r="W13">
        <f t="shared" si="14"/>
        <v>248.95380051672581</v>
      </c>
      <c r="X13">
        <f t="shared" si="15"/>
        <v>59.856914304107704</v>
      </c>
      <c r="Y13">
        <f t="shared" si="16"/>
        <v>272.45286104226176</v>
      </c>
      <c r="Z13">
        <f t="shared" si="17"/>
        <v>140.98950217127839</v>
      </c>
      <c r="AA13">
        <f t="shared" si="18"/>
        <v>48.107384041339721</v>
      </c>
      <c r="AB13">
        <f t="shared" si="19"/>
        <v>7.4200128955220208</v>
      </c>
      <c r="AC13">
        <f t="shared" si="20"/>
        <v>271.90047873346668</v>
      </c>
      <c r="AD13">
        <f t="shared" si="21"/>
        <v>140.91985647234725</v>
      </c>
      <c r="AE13">
        <f t="shared" si="22"/>
        <v>48.195909731168975</v>
      </c>
      <c r="AF13">
        <f t="shared" si="23"/>
        <v>0.14552573813540981</v>
      </c>
      <c r="AG13">
        <f t="shared" si="24"/>
        <v>-0.55238230879507455</v>
      </c>
      <c r="AH13">
        <f t="shared" si="25"/>
        <v>-6.9645698931140032E-2</v>
      </c>
      <c r="AI13">
        <f t="shared" si="26"/>
        <v>8.8525689829253906E-2</v>
      </c>
      <c r="AJ13">
        <f t="shared" si="27"/>
        <v>0.33899127666898526</v>
      </c>
      <c r="AK13">
        <f t="shared" si="28"/>
        <v>184.5800638927204</v>
      </c>
      <c r="AL13">
        <f t="shared" si="29"/>
        <v>55.113670290925278</v>
      </c>
      <c r="AM13">
        <f t="shared" si="30"/>
        <v>53.888128359702598</v>
      </c>
      <c r="AN13">
        <f t="shared" si="31"/>
        <v>54.500899325313938</v>
      </c>
      <c r="AS13" t="s">
        <v>82</v>
      </c>
      <c r="AT13">
        <f>AM4</f>
        <v>50.08922486820687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f t="shared" si="0"/>
        <v>6.7644917206250303</v>
      </c>
      <c r="H14">
        <f t="shared" si="1"/>
        <v>2.7945731879761522</v>
      </c>
      <c r="I14">
        <f t="shared" si="2"/>
        <v>6.3732885126850904</v>
      </c>
      <c r="J14">
        <f t="shared" si="3"/>
        <v>3.1223067040716872</v>
      </c>
      <c r="K14">
        <f t="shared" si="4"/>
        <v>30.205954061983476</v>
      </c>
      <c r="L14">
        <f t="shared" si="5"/>
        <v>6.5631563761632136E-2</v>
      </c>
      <c r="M14">
        <f t="shared" si="32"/>
        <v>3.6909605077129419E-2</v>
      </c>
      <c r="N14">
        <f t="shared" si="33"/>
        <v>0.56077481299305987</v>
      </c>
      <c r="O14">
        <f t="shared" si="6"/>
        <v>0.69308704725249171</v>
      </c>
      <c r="P14">
        <f t="shared" si="7"/>
        <v>0.59759067852594094</v>
      </c>
      <c r="Q14">
        <f t="shared" si="8"/>
        <v>6.3822222283119832</v>
      </c>
      <c r="R14">
        <f t="shared" si="9"/>
        <v>-1.5869388053484146E-2</v>
      </c>
      <c r="S14">
        <f t="shared" si="10"/>
        <v>6.6596329443351268</v>
      </c>
      <c r="T14">
        <f t="shared" si="11"/>
        <v>2.751253521570133</v>
      </c>
      <c r="U14">
        <f t="shared" si="12"/>
        <v>6.2744939155470654</v>
      </c>
      <c r="V14">
        <f t="shared" si="13"/>
        <v>3.0739067246331038</v>
      </c>
      <c r="W14">
        <f t="shared" si="14"/>
        <v>251.26345497306744</v>
      </c>
      <c r="X14">
        <f t="shared" si="15"/>
        <v>60.304995898898312</v>
      </c>
      <c r="Y14">
        <f t="shared" si="16"/>
        <v>275.25431272515107</v>
      </c>
      <c r="Z14">
        <f t="shared" si="17"/>
        <v>142.64889205131263</v>
      </c>
      <c r="AA14">
        <f t="shared" si="18"/>
        <v>48.309567022856506</v>
      </c>
      <c r="AB14">
        <f t="shared" si="19"/>
        <v>7.9886850647951642</v>
      </c>
      <c r="AC14">
        <f t="shared" si="20"/>
        <v>275.06711108293513</v>
      </c>
      <c r="AD14">
        <f t="shared" si="21"/>
        <v>142.68448550634878</v>
      </c>
      <c r="AE14">
        <f t="shared" si="22"/>
        <v>48.26680281784661</v>
      </c>
      <c r="AF14">
        <f t="shared" si="23"/>
        <v>0.15462197222492513</v>
      </c>
      <c r="AG14">
        <f t="shared" si="24"/>
        <v>-0.18720164221593905</v>
      </c>
      <c r="AH14">
        <f t="shared" si="25"/>
        <v>3.5593455036149635E-2</v>
      </c>
      <c r="AI14">
        <f t="shared" si="26"/>
        <v>-4.2764205009895306E-2</v>
      </c>
      <c r="AJ14">
        <f t="shared" si="27"/>
        <v>6.2048080414608735E-2</v>
      </c>
      <c r="AK14">
        <f t="shared" si="28"/>
        <v>186.81202736521087</v>
      </c>
      <c r="AL14">
        <f t="shared" si="29"/>
        <v>55.436606806025239</v>
      </c>
      <c r="AM14">
        <f t="shared" si="30"/>
        <v>54.130148611191643</v>
      </c>
      <c r="AN14">
        <f t="shared" si="31"/>
        <v>54.783377708608441</v>
      </c>
      <c r="AO14" t="s">
        <v>76</v>
      </c>
      <c r="AP14">
        <f>3*$AP$11*($AP$7-3)-7*$AP$4</f>
        <v>-280.82580524082005</v>
      </c>
      <c r="AS14" t="s">
        <v>83</v>
      </c>
      <c r="AT14">
        <f>AN4</f>
        <v>50.284395302519442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f t="shared" si="0"/>
        <v>6.7905910940533678</v>
      </c>
      <c r="H15">
        <f t="shared" si="1"/>
        <v>2.7934643043899849</v>
      </c>
      <c r="I15">
        <f t="shared" si="2"/>
        <v>6.4048282781186456</v>
      </c>
      <c r="J15">
        <f t="shared" si="3"/>
        <v>3.1340873000010268</v>
      </c>
      <c r="K15">
        <f t="shared" si="4"/>
        <v>30.617234845653556</v>
      </c>
      <c r="L15">
        <f t="shared" si="5"/>
        <v>6.4749936106050149E-2</v>
      </c>
      <c r="M15">
        <f t="shared" si="32"/>
        <v>4.4897445980980895E-2</v>
      </c>
      <c r="N15">
        <f t="shared" si="33"/>
        <v>0.60567225897404076</v>
      </c>
      <c r="O15">
        <f t="shared" si="6"/>
        <v>0.69222793112474035</v>
      </c>
      <c r="P15">
        <f t="shared" si="7"/>
        <v>0.59684993493283722</v>
      </c>
      <c r="Q15">
        <f t="shared" si="8"/>
        <v>6.4060144400566612</v>
      </c>
      <c r="R15">
        <f t="shared" si="9"/>
        <v>-1.7150661782033061E-2</v>
      </c>
      <c r="S15">
        <f t="shared" si="10"/>
        <v>6.6770409433958093</v>
      </c>
      <c r="T15">
        <f t="shared" si="11"/>
        <v>2.7467528637765501</v>
      </c>
      <c r="U15">
        <f t="shared" si="12"/>
        <v>6.2977287331978742</v>
      </c>
      <c r="V15">
        <f t="shared" si="13"/>
        <v>3.0816800676761851</v>
      </c>
      <c r="W15">
        <f t="shared" si="14"/>
        <v>254.07141909631511</v>
      </c>
      <c r="X15">
        <f t="shared" si="15"/>
        <v>60.83633069875588</v>
      </c>
      <c r="Y15">
        <f t="shared" si="16"/>
        <v>279.08179021619861</v>
      </c>
      <c r="Z15">
        <f t="shared" si="17"/>
        <v>144.9039432587451</v>
      </c>
      <c r="AA15">
        <f t="shared" si="18"/>
        <v>48.331145138814122</v>
      </c>
      <c r="AB15">
        <f t="shared" si="19"/>
        <v>8.6888932336750582</v>
      </c>
      <c r="AC15">
        <f t="shared" si="20"/>
        <v>278.95244882816371</v>
      </c>
      <c r="AD15">
        <f t="shared" si="21"/>
        <v>144.85234535584158</v>
      </c>
      <c r="AE15">
        <f t="shared" si="22"/>
        <v>48.347556690765899</v>
      </c>
      <c r="AF15">
        <f t="shared" si="23"/>
        <v>0.16612129780197193</v>
      </c>
      <c r="AG15">
        <f t="shared" si="24"/>
        <v>-0.12934138803490214</v>
      </c>
      <c r="AH15">
        <f t="shared" si="25"/>
        <v>-5.1597902903523618E-2</v>
      </c>
      <c r="AI15">
        <f t="shared" si="26"/>
        <v>1.641155195177646E-2</v>
      </c>
      <c r="AJ15">
        <f t="shared" si="27"/>
        <v>4.7257162863713884E-2</v>
      </c>
      <c r="AK15">
        <f t="shared" si="28"/>
        <v>189.55237984661562</v>
      </c>
      <c r="AL15">
        <f t="shared" si="29"/>
        <v>55.828554708923967</v>
      </c>
      <c r="AM15">
        <f t="shared" si="30"/>
        <v>54.419299537288495</v>
      </c>
      <c r="AN15">
        <f t="shared" si="31"/>
        <v>55.123927123106228</v>
      </c>
      <c r="AO15" t="s">
        <v>77</v>
      </c>
      <c r="AP15">
        <f>3*$AP$11*($AP$8-1)-7*$AP$5</f>
        <v>203.28668534058011</v>
      </c>
      <c r="AS15" t="s">
        <v>84</v>
      </c>
      <c r="AT15">
        <f>$AP$18</f>
        <v>2.76081742761993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f t="shared" si="0"/>
        <v>6.8234998991995166</v>
      </c>
      <c r="H16">
        <f t="shared" si="1"/>
        <v>2.791249175146965</v>
      </c>
      <c r="I16">
        <f t="shared" si="2"/>
        <v>6.4317582118421823</v>
      </c>
      <c r="J16">
        <f t="shared" si="3"/>
        <v>3.1440360659657141</v>
      </c>
      <c r="K16">
        <f t="shared" si="4"/>
        <v>30.979417751921201</v>
      </c>
      <c r="L16">
        <f t="shared" si="5"/>
        <v>6.3992939308133268E-2</v>
      </c>
      <c r="M16">
        <f t="shared" si="32"/>
        <v>3.8791531104371731E-2</v>
      </c>
      <c r="N16">
        <f t="shared" si="33"/>
        <v>0.64446379007841248</v>
      </c>
      <c r="O16">
        <f t="shared" si="6"/>
        <v>0.69148736537345612</v>
      </c>
      <c r="P16">
        <f t="shared" si="7"/>
        <v>0.59621140736035205</v>
      </c>
      <c r="Q16">
        <f t="shared" si="8"/>
        <v>6.4266185366790136</v>
      </c>
      <c r="R16">
        <f t="shared" si="9"/>
        <v>-1.8258965912401504E-2</v>
      </c>
      <c r="S16">
        <f t="shared" si="10"/>
        <v>6.702221545345906</v>
      </c>
      <c r="T16">
        <f t="shared" si="11"/>
        <v>2.7416385486125106</v>
      </c>
      <c r="U16">
        <f t="shared" si="12"/>
        <v>6.3174425292980709</v>
      </c>
      <c r="V16">
        <f t="shared" si="13"/>
        <v>3.0881551362127233</v>
      </c>
      <c r="W16">
        <f t="shared" si="14"/>
        <v>256.48686064159421</v>
      </c>
      <c r="X16">
        <f t="shared" si="15"/>
        <v>61.288746785880903</v>
      </c>
      <c r="Y16">
        <f t="shared" si="16"/>
        <v>282.45194466983321</v>
      </c>
      <c r="Z16">
        <f t="shared" si="17"/>
        <v>146.8919090839519</v>
      </c>
      <c r="AA16">
        <f t="shared" si="18"/>
        <v>48.306204771761401</v>
      </c>
      <c r="AB16">
        <f t="shared" si="19"/>
        <v>9.3014164574795917</v>
      </c>
      <c r="AC16">
        <f t="shared" si="20"/>
        <v>282.33909103510598</v>
      </c>
      <c r="AD16">
        <f t="shared" si="21"/>
        <v>146.7443865781058</v>
      </c>
      <c r="AE16">
        <f t="shared" si="22"/>
        <v>48.412395376206106</v>
      </c>
      <c r="AF16">
        <f t="shared" si="23"/>
        <v>0.17602428371646184</v>
      </c>
      <c r="AG16">
        <f t="shared" si="24"/>
        <v>-0.1128536347272302</v>
      </c>
      <c r="AH16">
        <f t="shared" si="25"/>
        <v>-0.14752250584609783</v>
      </c>
      <c r="AI16">
        <f t="shared" si="26"/>
        <v>0.10619060444470563</v>
      </c>
      <c r="AJ16">
        <f t="shared" si="27"/>
        <v>7.6759825532484449E-2</v>
      </c>
      <c r="AK16">
        <f t="shared" si="28"/>
        <v>191.94262139710585</v>
      </c>
      <c r="AL16">
        <f t="shared" si="29"/>
        <v>56.166378117123692</v>
      </c>
      <c r="AM16">
        <f t="shared" si="30"/>
        <v>54.664357606127503</v>
      </c>
      <c r="AN16">
        <f t="shared" si="31"/>
        <v>55.415367861625597</v>
      </c>
      <c r="AO16" t="s">
        <v>78</v>
      </c>
      <c r="AP16">
        <f>3*$AP$11*($AP$9-1)-7*$AP$6</f>
        <v>-673.23973265117434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f t="shared" si="0"/>
        <v>6.8500574938693628</v>
      </c>
      <c r="H17">
        <f t="shared" si="1"/>
        <v>2.7945731879761522</v>
      </c>
      <c r="I17">
        <f t="shared" si="2"/>
        <v>6.4505411182666661</v>
      </c>
      <c r="J17">
        <f t="shared" si="3"/>
        <v>3.1509958953724793</v>
      </c>
      <c r="K17">
        <f t="shared" si="4"/>
        <v>31.196628314508715</v>
      </c>
      <c r="L17">
        <f t="shared" si="5"/>
        <v>6.3547380185249344E-2</v>
      </c>
      <c r="M17">
        <f t="shared" si="32"/>
        <v>2.7449420597741456E-2</v>
      </c>
      <c r="N17">
        <f t="shared" si="33"/>
        <v>0.67191321067615395</v>
      </c>
      <c r="O17">
        <f t="shared" si="6"/>
        <v>0.69096428747982208</v>
      </c>
      <c r="P17">
        <f t="shared" si="7"/>
        <v>0.59576040127876706</v>
      </c>
      <c r="Q17">
        <f t="shared" si="8"/>
        <v>6.4412249394654841</v>
      </c>
      <c r="R17">
        <f t="shared" si="9"/>
        <v>-1.9043933888806763E-2</v>
      </c>
      <c r="S17">
        <f t="shared" si="10"/>
        <v>6.7232174651239491</v>
      </c>
      <c r="T17">
        <f t="shared" si="11"/>
        <v>2.7428270903979501</v>
      </c>
      <c r="U17">
        <f t="shared" si="12"/>
        <v>6.3310987892648036</v>
      </c>
      <c r="V17">
        <f t="shared" si="13"/>
        <v>3.0926500478663197</v>
      </c>
      <c r="W17">
        <f t="shared" si="14"/>
        <v>258.18240752168958</v>
      </c>
      <c r="X17">
        <f t="shared" si="15"/>
        <v>61.606994925883839</v>
      </c>
      <c r="Y17">
        <f t="shared" si="16"/>
        <v>284.48043292024158</v>
      </c>
      <c r="Z17">
        <f t="shared" si="17"/>
        <v>148.1174303691979</v>
      </c>
      <c r="AA17">
        <f t="shared" si="18"/>
        <v>48.457982226607832</v>
      </c>
      <c r="AB17">
        <f t="shared" si="19"/>
        <v>9.7391002578099766</v>
      </c>
      <c r="AC17">
        <f t="shared" si="20"/>
        <v>284.75225350369021</v>
      </c>
      <c r="AD17">
        <f t="shared" si="21"/>
        <v>148.0939398801506</v>
      </c>
      <c r="AE17">
        <f t="shared" si="22"/>
        <v>48.455467509444517</v>
      </c>
      <c r="AF17">
        <f t="shared" si="23"/>
        <v>0.18326505698252049</v>
      </c>
      <c r="AG17">
        <f t="shared" si="24"/>
        <v>0.2718205834486298</v>
      </c>
      <c r="AH17">
        <f t="shared" si="25"/>
        <v>-2.3490489047304663E-2</v>
      </c>
      <c r="AI17">
        <f t="shared" si="26"/>
        <v>-2.5147171633150833E-3</v>
      </c>
      <c r="AJ17">
        <f t="shared" si="27"/>
        <v>0.10803063757525302</v>
      </c>
      <c r="AK17">
        <f t="shared" si="28"/>
        <v>193.64671108799712</v>
      </c>
      <c r="AL17">
        <f t="shared" si="29"/>
        <v>56.404943230374627</v>
      </c>
      <c r="AM17">
        <f t="shared" si="30"/>
        <v>54.835023604368729</v>
      </c>
      <c r="AN17">
        <f t="shared" si="31"/>
        <v>55.619983417371678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f t="shared" si="0"/>
        <v>6.8768226247527133</v>
      </c>
      <c r="H18">
        <f t="shared" si="1"/>
        <v>2.7979051271739794</v>
      </c>
      <c r="I18">
        <f t="shared" si="2"/>
        <v>6.4743351034350258</v>
      </c>
      <c r="J18">
        <f t="shared" si="3"/>
        <v>3.1599017904456828</v>
      </c>
      <c r="K18">
        <f t="shared" si="4"/>
        <v>31.479317564015773</v>
      </c>
      <c r="L18">
        <f t="shared" si="5"/>
        <v>6.2976714662523955E-2</v>
      </c>
      <c r="M18">
        <f t="shared" si="32"/>
        <v>3.5399919348848861E-2</v>
      </c>
      <c r="N18">
        <f t="shared" si="33"/>
        <v>0.70731313002500285</v>
      </c>
      <c r="O18">
        <f t="shared" si="6"/>
        <v>0.69029087162351699</v>
      </c>
      <c r="P18">
        <f t="shared" si="7"/>
        <v>0.59517977141402678</v>
      </c>
      <c r="Q18">
        <f t="shared" si="8"/>
        <v>6.4600946195405227</v>
      </c>
      <c r="R18">
        <f t="shared" si="9"/>
        <v>-2.0057138389710683E-2</v>
      </c>
      <c r="S18">
        <f t="shared" si="10"/>
        <v>6.7429089256262396</v>
      </c>
      <c r="T18">
        <f t="shared" si="11"/>
        <v>2.7434209786318657</v>
      </c>
      <c r="U18">
        <f t="shared" si="12"/>
        <v>6.3482591217796838</v>
      </c>
      <c r="V18">
        <f t="shared" si="13"/>
        <v>3.0983684107549183</v>
      </c>
      <c r="W18">
        <f t="shared" si="14"/>
        <v>260.34435765184446</v>
      </c>
      <c r="X18">
        <f t="shared" si="15"/>
        <v>62.016177121494088</v>
      </c>
      <c r="Y18">
        <f t="shared" si="16"/>
        <v>287.13473364894838</v>
      </c>
      <c r="Z18">
        <f t="shared" si="17"/>
        <v>149.70719140740823</v>
      </c>
      <c r="AA18">
        <f t="shared" si="18"/>
        <v>48.620989122942142</v>
      </c>
      <c r="AB18">
        <f t="shared" si="19"/>
        <v>10.308794736089332</v>
      </c>
      <c r="AC18">
        <f t="shared" si="20"/>
        <v>287.88494287042863</v>
      </c>
      <c r="AD18">
        <f t="shared" si="21"/>
        <v>149.84758066167774</v>
      </c>
      <c r="AE18">
        <f t="shared" si="22"/>
        <v>48.507526788507391</v>
      </c>
      <c r="AF18">
        <f t="shared" si="23"/>
        <v>0.19338360007830424</v>
      </c>
      <c r="AG18">
        <f t="shared" si="24"/>
        <v>0.75020922148024738</v>
      </c>
      <c r="AH18">
        <f t="shared" si="25"/>
        <v>0.14038925426950755</v>
      </c>
      <c r="AI18">
        <f t="shared" si="26"/>
        <v>-0.11346233443475029</v>
      </c>
      <c r="AJ18">
        <f t="shared" si="27"/>
        <v>0.63279393682297602</v>
      </c>
      <c r="AK18">
        <f t="shared" si="28"/>
        <v>195.86003473126138</v>
      </c>
      <c r="AL18">
        <f t="shared" si="29"/>
        <v>56.71198851485461</v>
      </c>
      <c r="AM18">
        <f t="shared" si="30"/>
        <v>55.051689503187546</v>
      </c>
      <c r="AN18">
        <f t="shared" si="31"/>
        <v>55.881839009021078</v>
      </c>
      <c r="AO18" t="s">
        <v>79</v>
      </c>
      <c r="AP18">
        <f>SUM(AJ4:AJ25)</f>
        <v>2.76081742761993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f t="shared" si="0"/>
        <v>6.9037977341019108</v>
      </c>
      <c r="H19">
        <f t="shared" si="1"/>
        <v>2.791249175146965</v>
      </c>
      <c r="I19">
        <f t="shared" si="2"/>
        <v>6.495675063314672</v>
      </c>
      <c r="J19">
        <f t="shared" si="3"/>
        <v>3.1679974302242808</v>
      </c>
      <c r="K19">
        <f t="shared" si="4"/>
        <v>31.805698584489921</v>
      </c>
      <c r="L19">
        <f t="shared" si="5"/>
        <v>6.2330465552696591E-2</v>
      </c>
      <c r="M19">
        <f t="shared" si="32"/>
        <v>3.2362561178836832E-2</v>
      </c>
      <c r="N19">
        <f t="shared" si="33"/>
        <v>0.73967569120383969</v>
      </c>
      <c r="O19">
        <f t="shared" si="6"/>
        <v>0.68967638320342251</v>
      </c>
      <c r="P19">
        <f t="shared" si="7"/>
        <v>0.59464994972226914</v>
      </c>
      <c r="Q19">
        <f t="shared" si="8"/>
        <v>6.4773774700275784</v>
      </c>
      <c r="R19">
        <f t="shared" si="9"/>
        <v>-2.0984273092527261E-2</v>
      </c>
      <c r="S19">
        <f t="shared" si="10"/>
        <v>6.7633327437832245</v>
      </c>
      <c r="T19">
        <f t="shared" si="11"/>
        <v>2.7344582893961582</v>
      </c>
      <c r="U19">
        <f t="shared" si="12"/>
        <v>6.3635137558686443</v>
      </c>
      <c r="V19">
        <f t="shared" si="13"/>
        <v>3.1035412069244588</v>
      </c>
      <c r="W19">
        <f t="shared" si="14"/>
        <v>262.2969139062568</v>
      </c>
      <c r="X19">
        <f t="shared" si="15"/>
        <v>62.389892664712335</v>
      </c>
      <c r="Y19">
        <f t="shared" si="16"/>
        <v>290.21060063545264</v>
      </c>
      <c r="Z19">
        <f t="shared" si="17"/>
        <v>151.47397194143005</v>
      </c>
      <c r="AA19">
        <f t="shared" si="18"/>
        <v>48.433049300114426</v>
      </c>
      <c r="AB19">
        <f t="shared" si="19"/>
        <v>10.834804297753312</v>
      </c>
      <c r="AC19">
        <f t="shared" si="20"/>
        <v>290.76922086309054</v>
      </c>
      <c r="AD19">
        <f t="shared" si="21"/>
        <v>151.46384665968162</v>
      </c>
      <c r="AE19">
        <f t="shared" si="22"/>
        <v>48.551632831690213</v>
      </c>
      <c r="AF19">
        <f t="shared" si="23"/>
        <v>0.20286152926515477</v>
      </c>
      <c r="AG19">
        <f t="shared" si="24"/>
        <v>0.55862022763790264</v>
      </c>
      <c r="AH19">
        <f t="shared" si="25"/>
        <v>-1.0125281748429416E-2</v>
      </c>
      <c r="AI19">
        <f t="shared" si="26"/>
        <v>0.11858353157578705</v>
      </c>
      <c r="AJ19">
        <f t="shared" si="27"/>
        <v>0</v>
      </c>
      <c r="AK19">
        <f t="shared" si="28"/>
        <v>197.89897139415129</v>
      </c>
      <c r="AL19">
        <f t="shared" si="29"/>
        <v>56.992054539695914</v>
      </c>
      <c r="AM19">
        <f t="shared" si="30"/>
        <v>55.246308368954438</v>
      </c>
      <c r="AN19">
        <f t="shared" si="31"/>
        <v>56.119181454325172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f t="shared" si="0"/>
        <v>6.9241683553243671</v>
      </c>
      <c r="H20">
        <f t="shared" si="1"/>
        <v>2.7868294391394235</v>
      </c>
      <c r="I20">
        <f t="shared" si="2"/>
        <v>6.5078826571499011</v>
      </c>
      <c r="J20">
        <f t="shared" si="3"/>
        <v>3.1726655186940942</v>
      </c>
      <c r="K20">
        <f t="shared" si="4"/>
        <v>31.997312248760252</v>
      </c>
      <c r="L20">
        <f t="shared" si="5"/>
        <v>6.1957203923489267E-2</v>
      </c>
      <c r="M20">
        <f t="shared" si="32"/>
        <v>1.8724566236634557E-2</v>
      </c>
      <c r="N20">
        <f t="shared" si="33"/>
        <v>0.75840025744047423</v>
      </c>
      <c r="O20">
        <f t="shared" si="6"/>
        <v>0.68932134737471829</v>
      </c>
      <c r="P20">
        <f t="shared" si="7"/>
        <v>0.59434383218246312</v>
      </c>
      <c r="Q20">
        <f t="shared" si="8"/>
        <v>6.4873911701137077</v>
      </c>
      <c r="R20">
        <f t="shared" si="9"/>
        <v>-2.1521078510975511E-2</v>
      </c>
      <c r="S20">
        <f t="shared" si="10"/>
        <v>6.7797969604283805</v>
      </c>
      <c r="T20">
        <f t="shared" si="11"/>
        <v>2.7287230452998834</v>
      </c>
      <c r="U20">
        <f t="shared" si="12"/>
        <v>6.3721909684419487</v>
      </c>
      <c r="V20">
        <f t="shared" si="13"/>
        <v>3.1065143041413674</v>
      </c>
      <c r="W20">
        <f t="shared" si="14"/>
        <v>263.41933605947941</v>
      </c>
      <c r="X20">
        <f t="shared" si="15"/>
        <v>62.606121647582405</v>
      </c>
      <c r="Y20">
        <f t="shared" si="16"/>
        <v>292.02226531704679</v>
      </c>
      <c r="Z20">
        <f t="shared" si="17"/>
        <v>152.50855739309827</v>
      </c>
      <c r="AA20">
        <f t="shared" si="18"/>
        <v>48.304657018798721</v>
      </c>
      <c r="AB20">
        <f t="shared" si="19"/>
        <v>11.141425630400672</v>
      </c>
      <c r="AC20">
        <f t="shared" si="20"/>
        <v>292.44695510504846</v>
      </c>
      <c r="AD20">
        <f t="shared" si="21"/>
        <v>152.40473873722701</v>
      </c>
      <c r="AE20">
        <f t="shared" si="22"/>
        <v>48.575611986131918</v>
      </c>
      <c r="AF20">
        <f t="shared" si="23"/>
        <v>0.20817274296749311</v>
      </c>
      <c r="AG20">
        <f t="shared" si="24"/>
        <v>0.42468978800167179</v>
      </c>
      <c r="AH20">
        <f t="shared" si="25"/>
        <v>-0.10381865587126526</v>
      </c>
      <c r="AI20">
        <f t="shared" si="26"/>
        <v>0.27095496733319635</v>
      </c>
      <c r="AJ20">
        <f t="shared" si="27"/>
        <v>0</v>
      </c>
      <c r="AK20">
        <f t="shared" si="28"/>
        <v>199.0854775265008</v>
      </c>
      <c r="AL20">
        <f t="shared" si="29"/>
        <v>57.153810465243438</v>
      </c>
      <c r="AM20">
        <f t="shared" si="30"/>
        <v>55.357374810570576</v>
      </c>
      <c r="AN20">
        <f t="shared" si="31"/>
        <v>56.255592637907007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f t="shared" si="0"/>
        <v>6.9583878503224321</v>
      </c>
      <c r="H21">
        <f t="shared" si="1"/>
        <v>2.7846248157265188</v>
      </c>
      <c r="I21">
        <f t="shared" si="2"/>
        <v>6.5165205211490527</v>
      </c>
      <c r="J21">
        <f t="shared" si="3"/>
        <v>3.1759745517259623</v>
      </c>
      <c r="K21">
        <f t="shared" si="4"/>
        <v>32.126192550076794</v>
      </c>
      <c r="L21">
        <f t="shared" si="5"/>
        <v>6.1708650874510836E-2</v>
      </c>
      <c r="M21">
        <f t="shared" si="32"/>
        <v>1.3307776220935447E-2</v>
      </c>
      <c r="N21">
        <f t="shared" si="33"/>
        <v>0.77170803366140972</v>
      </c>
      <c r="O21">
        <f t="shared" si="6"/>
        <v>0.6890692412390188</v>
      </c>
      <c r="P21">
        <f t="shared" si="7"/>
        <v>0.59412646226148358</v>
      </c>
      <c r="Q21">
        <f t="shared" si="8"/>
        <v>6.4945142985436375</v>
      </c>
      <c r="R21">
        <f t="shared" si="9"/>
        <v>-2.190276066313801E-2</v>
      </c>
      <c r="S21">
        <f t="shared" si="10"/>
        <v>6.8108111310631907</v>
      </c>
      <c r="T21">
        <f t="shared" si="11"/>
        <v>2.7255672001534301</v>
      </c>
      <c r="U21">
        <f t="shared" si="12"/>
        <v>6.3783151292992519</v>
      </c>
      <c r="V21">
        <f t="shared" si="13"/>
        <v>3.1086170093071619</v>
      </c>
      <c r="W21">
        <f t="shared" si="14"/>
        <v>264.21570101109927</v>
      </c>
      <c r="X21">
        <f t="shared" si="15"/>
        <v>62.759737044163984</v>
      </c>
      <c r="Y21">
        <f t="shared" si="16"/>
        <v>293.24336322878071</v>
      </c>
      <c r="Z21">
        <f t="shared" si="17"/>
        <v>153.21005803161202</v>
      </c>
      <c r="AA21">
        <f t="shared" si="18"/>
        <v>48.245905935323258</v>
      </c>
      <c r="AB21">
        <f t="shared" si="19"/>
        <v>11.360364839589751</v>
      </c>
      <c r="AC21">
        <f t="shared" si="20"/>
        <v>293.64333254499178</v>
      </c>
      <c r="AD21">
        <f t="shared" si="21"/>
        <v>153.0760109595073</v>
      </c>
      <c r="AE21">
        <f t="shared" si="22"/>
        <v>48.591961561314818</v>
      </c>
      <c r="AF21">
        <f t="shared" si="23"/>
        <v>0.21189043862443668</v>
      </c>
      <c r="AG21">
        <f t="shared" si="24"/>
        <v>0.39996931621107024</v>
      </c>
      <c r="AH21">
        <f t="shared" si="25"/>
        <v>-0.13404707210472111</v>
      </c>
      <c r="AI21">
        <f t="shared" si="26"/>
        <v>0.34605562599156059</v>
      </c>
      <c r="AJ21">
        <f t="shared" si="27"/>
        <v>0</v>
      </c>
      <c r="AK21">
        <f t="shared" si="28"/>
        <v>199.93178482133544</v>
      </c>
      <c r="AL21">
        <f t="shared" si="29"/>
        <v>57.268641253885789</v>
      </c>
      <c r="AM21">
        <f t="shared" si="30"/>
        <v>55.435615942231678</v>
      </c>
      <c r="AN21">
        <f t="shared" si="31"/>
        <v>56.352128598058734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f t="shared" si="0"/>
        <v>6.9790823795993937</v>
      </c>
      <c r="H22">
        <f t="shared" si="1"/>
        <v>2.7868294391394235</v>
      </c>
      <c r="I22">
        <f t="shared" si="2"/>
        <v>6.5319776256720603</v>
      </c>
      <c r="J22">
        <f t="shared" si="3"/>
        <v>3.1818754438703651</v>
      </c>
      <c r="K22">
        <f t="shared" si="4"/>
        <v>32.311507271808203</v>
      </c>
      <c r="L22">
        <f t="shared" si="5"/>
        <v>6.1354736048779134E-2</v>
      </c>
      <c r="M22">
        <f t="shared" si="32"/>
        <v>2.3837299554621456E-2</v>
      </c>
      <c r="N22">
        <f t="shared" si="33"/>
        <v>0.79554533321603116</v>
      </c>
      <c r="O22">
        <f t="shared" si="6"/>
        <v>0.68861812163585789</v>
      </c>
      <c r="P22">
        <f t="shared" si="7"/>
        <v>0.59373749976273549</v>
      </c>
      <c r="Q22">
        <f t="shared" si="8"/>
        <v>6.5072864971490745</v>
      </c>
      <c r="R22">
        <f t="shared" si="9"/>
        <v>-2.2586790543968505E-2</v>
      </c>
      <c r="S22">
        <f t="shared" si="10"/>
        <v>6.8265946008262048</v>
      </c>
      <c r="T22">
        <f t="shared" si="11"/>
        <v>2.7259392808234391</v>
      </c>
      <c r="U22">
        <f t="shared" si="12"/>
        <v>6.389258754485434</v>
      </c>
      <c r="V22">
        <f t="shared" si="13"/>
        <v>3.112353823064308</v>
      </c>
      <c r="W22">
        <f t="shared" si="14"/>
        <v>265.64453226489621</v>
      </c>
      <c r="X22">
        <f t="shared" si="15"/>
        <v>63.034433529073659</v>
      </c>
      <c r="Y22">
        <f t="shared" si="16"/>
        <v>295.00542660349987</v>
      </c>
      <c r="Z22">
        <f t="shared" si="17"/>
        <v>154.25611237605074</v>
      </c>
      <c r="AA22">
        <f t="shared" si="18"/>
        <v>48.353986359771831</v>
      </c>
      <c r="AB22">
        <f t="shared" si="19"/>
        <v>11.754661134014967</v>
      </c>
      <c r="AC22">
        <f t="shared" si="20"/>
        <v>295.79463477405551</v>
      </c>
      <c r="AD22">
        <f t="shared" si="21"/>
        <v>154.28376909225273</v>
      </c>
      <c r="AE22">
        <f t="shared" si="22"/>
        <v>48.619796963392702</v>
      </c>
      <c r="AF22">
        <f t="shared" si="23"/>
        <v>0.21878800869177084</v>
      </c>
      <c r="AG22">
        <f t="shared" si="24"/>
        <v>0.7892081705556393</v>
      </c>
      <c r="AH22">
        <f t="shared" si="25"/>
        <v>2.7656716201988729E-2</v>
      </c>
      <c r="AI22">
        <f t="shared" si="26"/>
        <v>0.26581060362087072</v>
      </c>
      <c r="AJ22">
        <f t="shared" si="27"/>
        <v>0</v>
      </c>
      <c r="AK22">
        <f t="shared" si="28"/>
        <v>201.45405765285363</v>
      </c>
      <c r="AL22">
        <f t="shared" si="29"/>
        <v>57.474051314396185</v>
      </c>
      <c r="AM22">
        <f t="shared" si="30"/>
        <v>55.574301858291918</v>
      </c>
      <c r="AN22">
        <f t="shared" si="31"/>
        <v>56.524176586344055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f t="shared" si="0"/>
        <v>7.0068673252162164</v>
      </c>
      <c r="H23">
        <f t="shared" si="1"/>
        <v>2.7835238115389078</v>
      </c>
      <c r="I23">
        <f t="shared" si="2"/>
        <v>6.552704603478948</v>
      </c>
      <c r="J23">
        <f t="shared" si="3"/>
        <v>3.1896287273231541</v>
      </c>
      <c r="K23">
        <f t="shared" si="4"/>
        <v>32.607264541248746</v>
      </c>
      <c r="L23">
        <f t="shared" si="5"/>
        <v>6.0798230943051021E-2</v>
      </c>
      <c r="M23">
        <f t="shared" si="32"/>
        <v>3.1547935726109068E-2</v>
      </c>
      <c r="N23">
        <f t="shared" si="33"/>
        <v>0.82709326894214019</v>
      </c>
      <c r="O23">
        <f t="shared" si="6"/>
        <v>0.68802198605335252</v>
      </c>
      <c r="P23">
        <f t="shared" si="7"/>
        <v>0.59322350217952413</v>
      </c>
      <c r="Q23">
        <f t="shared" si="8"/>
        <v>6.5242158419569609</v>
      </c>
      <c r="R23">
        <f t="shared" si="9"/>
        <v>-2.3492771895055942E-2</v>
      </c>
      <c r="S23">
        <f t="shared" si="10"/>
        <v>6.8478391663460272</v>
      </c>
      <c r="T23">
        <f t="shared" si="11"/>
        <v>2.7203488367070983</v>
      </c>
      <c r="U23">
        <f t="shared" si="12"/>
        <v>6.4039841410604144</v>
      </c>
      <c r="V23">
        <f t="shared" si="13"/>
        <v>3.1172367780478747</v>
      </c>
      <c r="W23">
        <f t="shared" si="14"/>
        <v>267.56469991956806</v>
      </c>
      <c r="X23">
        <f t="shared" si="15"/>
        <v>63.396882682760719</v>
      </c>
      <c r="Y23">
        <f t="shared" si="16"/>
        <v>297.79618508763434</v>
      </c>
      <c r="Z23">
        <f t="shared" si="17"/>
        <v>155.88667713807973</v>
      </c>
      <c r="AA23">
        <f t="shared" si="18"/>
        <v>48.28114009872759</v>
      </c>
      <c r="AB23">
        <f t="shared" si="19"/>
        <v>12.280713202120008</v>
      </c>
      <c r="AC23">
        <f t="shared" si="20"/>
        <v>298.65828089682168</v>
      </c>
      <c r="AD23">
        <f t="shared" si="21"/>
        <v>155.89281241324667</v>
      </c>
      <c r="AE23">
        <f t="shared" si="22"/>
        <v>48.653745600996999</v>
      </c>
      <c r="AF23">
        <f t="shared" si="23"/>
        <v>0.2283084443196568</v>
      </c>
      <c r="AG23">
        <f t="shared" si="24"/>
        <v>0.86209580918733764</v>
      </c>
      <c r="AH23">
        <f t="shared" si="25"/>
        <v>6.135275166940346E-3</v>
      </c>
      <c r="AI23">
        <f t="shared" si="26"/>
        <v>0.37260550226940836</v>
      </c>
      <c r="AJ23">
        <f t="shared" si="27"/>
        <v>0</v>
      </c>
      <c r="AK23">
        <f t="shared" si="28"/>
        <v>203.48130190777169</v>
      </c>
      <c r="AL23">
        <f t="shared" si="29"/>
        <v>57.745341057313205</v>
      </c>
      <c r="AM23">
        <f t="shared" si="30"/>
        <v>55.75491891494449</v>
      </c>
      <c r="AN23">
        <f t="shared" si="31"/>
        <v>56.750129986128847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f t="shared" si="0"/>
        <v>7.0278516536758504</v>
      </c>
      <c r="H24">
        <f t="shared" si="1"/>
        <v>2.7769360266922449</v>
      </c>
      <c r="I24">
        <f t="shared" si="2"/>
        <v>6.5633034361324292</v>
      </c>
      <c r="J24">
        <f t="shared" si="3"/>
        <v>3.1934567836651317</v>
      </c>
      <c r="K24">
        <f t="shared" si="4"/>
        <v>32.795120399626001</v>
      </c>
      <c r="L24">
        <f t="shared" si="5"/>
        <v>6.0449968649074023E-2</v>
      </c>
      <c r="M24">
        <f t="shared" si="32"/>
        <v>1.565713261755914E-2</v>
      </c>
      <c r="N24">
        <f t="shared" si="33"/>
        <v>0.84275040155969938</v>
      </c>
      <c r="O24">
        <f t="shared" si="6"/>
        <v>0.68772650907755584</v>
      </c>
      <c r="P24">
        <f t="shared" si="7"/>
        <v>0.59296873723022225</v>
      </c>
      <c r="Q24">
        <f t="shared" si="8"/>
        <v>6.5326287091645172</v>
      </c>
      <c r="R24">
        <f t="shared" si="9"/>
        <v>-2.3942698683284469E-2</v>
      </c>
      <c r="S24">
        <f t="shared" si="10"/>
        <v>6.8653975626383819</v>
      </c>
      <c r="T24">
        <f t="shared" si="11"/>
        <v>2.7127450562056197</v>
      </c>
      <c r="U24">
        <f t="shared" si="12"/>
        <v>6.4115877274830728</v>
      </c>
      <c r="V24">
        <f t="shared" si="13"/>
        <v>3.1196376217614503</v>
      </c>
      <c r="W24">
        <f t="shared" si="14"/>
        <v>268.54628761063867</v>
      </c>
      <c r="X24">
        <f t="shared" si="15"/>
        <v>63.576449921638044</v>
      </c>
      <c r="Y24">
        <f t="shared" si="16"/>
        <v>299.55214442341992</v>
      </c>
      <c r="Z24">
        <f t="shared" si="17"/>
        <v>156.89631617375318</v>
      </c>
      <c r="AA24">
        <f t="shared" si="18"/>
        <v>48.073521515247442</v>
      </c>
      <c r="AB24">
        <f t="shared" si="19"/>
        <v>12.543581188192608</v>
      </c>
      <c r="AC24">
        <f t="shared" si="20"/>
        <v>300.08648763961872</v>
      </c>
      <c r="AD24">
        <f t="shared" si="21"/>
        <v>156.69588424794711</v>
      </c>
      <c r="AE24">
        <f t="shared" si="22"/>
        <v>48.669358973243192</v>
      </c>
      <c r="AF24">
        <f t="shared" si="23"/>
        <v>0.23291061415367764</v>
      </c>
      <c r="AG24">
        <f t="shared" si="24"/>
        <v>0.5343432161988062</v>
      </c>
      <c r="AH24">
        <f t="shared" si="25"/>
        <v>-0.20043192580607183</v>
      </c>
      <c r="AI24">
        <f t="shared" si="26"/>
        <v>0.59583745799574928</v>
      </c>
      <c r="AJ24">
        <f t="shared" si="27"/>
        <v>0</v>
      </c>
      <c r="AK24">
        <f t="shared" si="28"/>
        <v>204.49275204517099</v>
      </c>
      <c r="AL24">
        <f t="shared" si="29"/>
        <v>57.879736062280244</v>
      </c>
      <c r="AM24">
        <f t="shared" si="30"/>
        <v>55.843299754096833</v>
      </c>
      <c r="AN24">
        <f t="shared" si="31"/>
        <v>56.861517908188539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f t="shared" si="0"/>
        <v>7.0489620483868389</v>
      </c>
      <c r="H25">
        <f t="shared" si="1"/>
        <v>2.7780318245128113</v>
      </c>
      <c r="I25">
        <f t="shared" si="2"/>
        <v>6.5705299787912459</v>
      </c>
      <c r="J25">
        <f t="shared" si="3"/>
        <v>3.1959920966074797</v>
      </c>
      <c r="K25">
        <f t="shared" si="4"/>
        <v>32.881916444853189</v>
      </c>
      <c r="L25">
        <f t="shared" si="5"/>
        <v>6.0290403186347825E-2</v>
      </c>
      <c r="M25">
        <f t="shared" si="32"/>
        <v>1.0394370228341575E-2</v>
      </c>
      <c r="N25">
        <f t="shared" si="33"/>
        <v>0.85314477178804093</v>
      </c>
      <c r="O25">
        <f t="shared" si="6"/>
        <v>0.68753048959309659</v>
      </c>
      <c r="P25">
        <f t="shared" si="7"/>
        <v>0.59279972611222964</v>
      </c>
      <c r="Q25">
        <f t="shared" si="8"/>
        <v>6.5382177891453122</v>
      </c>
      <c r="R25">
        <f t="shared" si="9"/>
        <v>-2.4241500321569798E-2</v>
      </c>
      <c r="S25">
        <f t="shared" si="10"/>
        <v>6.8840572844468193</v>
      </c>
      <c r="T25">
        <f t="shared" si="11"/>
        <v>2.7130420176313872</v>
      </c>
      <c r="U25">
        <f t="shared" si="12"/>
        <v>6.4168177460290687</v>
      </c>
      <c r="V25">
        <f t="shared" si="13"/>
        <v>3.1212244473241593</v>
      </c>
      <c r="W25">
        <f t="shared" si="14"/>
        <v>269.21471339469605</v>
      </c>
      <c r="X25">
        <f t="shared" si="15"/>
        <v>63.695592637664625</v>
      </c>
      <c r="Y25">
        <f t="shared" si="16"/>
        <v>300.35552631993971</v>
      </c>
      <c r="Z25">
        <f t="shared" si="17"/>
        <v>157.39393458198862</v>
      </c>
      <c r="AA25">
        <f t="shared" si="18"/>
        <v>48.125186175042813</v>
      </c>
      <c r="AB25">
        <f t="shared" si="19"/>
        <v>12.718750798627426</v>
      </c>
      <c r="AC25">
        <f t="shared" si="20"/>
        <v>301.03720563721373</v>
      </c>
      <c r="AD25">
        <f t="shared" si="21"/>
        <v>157.23068116452805</v>
      </c>
      <c r="AE25">
        <f t="shared" si="22"/>
        <v>48.679268006561834</v>
      </c>
      <c r="AF25">
        <f t="shared" si="23"/>
        <v>0.23590301376277623</v>
      </c>
      <c r="AG25">
        <f t="shared" si="24"/>
        <v>0.68167931727401765</v>
      </c>
      <c r="AH25">
        <f t="shared" si="25"/>
        <v>-0.16325341746056665</v>
      </c>
      <c r="AI25">
        <f t="shared" si="26"/>
        <v>0.5540818315190208</v>
      </c>
      <c r="AJ25">
        <f t="shared" si="27"/>
        <v>0</v>
      </c>
      <c r="AK25">
        <f t="shared" si="28"/>
        <v>205.16618932208993</v>
      </c>
      <c r="AL25">
        <f t="shared" si="29"/>
        <v>57.968865698474232</v>
      </c>
      <c r="AM25">
        <f t="shared" si="30"/>
        <v>55.901506458950372</v>
      </c>
      <c r="AN25">
        <f t="shared" si="31"/>
        <v>56.935186078712306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C4B7-07BF-43B8-9CD7-4AB6107566FB}">
  <dimension ref="A3:AT25"/>
  <sheetViews>
    <sheetView workbookViewId="0"/>
  </sheetViews>
  <sheetFormatPr defaultRowHeight="15" x14ac:dyDescent="0.25"/>
  <sheetData>
    <row r="3" spans="1:46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 t="s">
        <v>108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109</v>
      </c>
      <c r="AJ3" t="s">
        <v>63</v>
      </c>
      <c r="AK3" t="s">
        <v>64</v>
      </c>
      <c r="AL3" t="s">
        <v>65</v>
      </c>
      <c r="AM3" t="s">
        <v>66</v>
      </c>
      <c r="AP3" t="s">
        <v>67</v>
      </c>
      <c r="AS3" t="s">
        <v>80</v>
      </c>
    </row>
    <row r="4" spans="1:46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>Lfin_100</f>
        <v>0.70399999999999996</v>
      </c>
      <c r="H4">
        <f t="shared" ref="H4:H25" si="0">G4*Lfin_111/Lfin_100</f>
        <v>0.60699999999999998</v>
      </c>
      <c r="I4">
        <f t="shared" ref="I4:I25" si="1">($G$4/G4)^3</f>
        <v>1</v>
      </c>
      <c r="J4">
        <f t="shared" ref="J4:J25" si="2">rho_100*I4</f>
        <v>6.09</v>
      </c>
      <c r="K4">
        <f t="shared" ref="K4:K25" si="3">0.5*(1-I4^(2/3))</f>
        <v>0</v>
      </c>
      <c r="L4">
        <f t="shared" ref="L4:L25" si="4">2*G4/C4</f>
        <v>6.1431082084309132</v>
      </c>
      <c r="M4">
        <f t="shared" ref="M4:M25" si="5">2*G4/D4</f>
        <v>2.7557757329741848</v>
      </c>
      <c r="N4">
        <f t="shared" ref="N4:N25" si="6">2*H4/E4</f>
        <v>5.9552663945054363</v>
      </c>
      <c r="O4">
        <f t="shared" ref="O4:O25" si="7">2*H4/F4</f>
        <v>2.8978863432718183</v>
      </c>
      <c r="P4">
        <f t="shared" ref="P4:P25" si="8">J4*N4^2</f>
        <v>215.98305478181197</v>
      </c>
      <c r="Q4">
        <f t="shared" ref="Q4:Q25" si="9">J4*O4^2</f>
        <v>51.142268624394774</v>
      </c>
      <c r="R4">
        <f t="shared" ref="R4:R25" si="10">J4*L4^2</f>
        <v>229.82307082439178</v>
      </c>
      <c r="S4">
        <f t="shared" ref="S4:S25" si="11">1.5*P4-0.5*R4-2*T4</f>
        <v>116.56447409484835</v>
      </c>
      <c r="T4">
        <f t="shared" ref="T4:T25" si="12">J4*M4^2</f>
        <v>46.249286332836874</v>
      </c>
      <c r="U4">
        <f t="shared" ref="U4:U25" si="13">J4*L4^2</f>
        <v>229.82307082439178</v>
      </c>
      <c r="V4">
        <f t="shared" ref="V4:V25" si="14">U4+W4-3*Q4</f>
        <v>122.64555128404436</v>
      </c>
      <c r="W4">
        <f t="shared" ref="W4:W25" si="15">J4*M4^2</f>
        <v>46.249286332836874</v>
      </c>
      <c r="X4">
        <f t="shared" ref="X4:X25" si="16">J4*L4^2</f>
        <v>229.82307082439178</v>
      </c>
      <c r="Y4">
        <f t="shared" ref="Y4:Y25" si="17">X4+Z4-3*Q4</f>
        <v>120.61852555431233</v>
      </c>
      <c r="Z4">
        <f t="shared" ref="Z4:Z25" si="18">Q4+0.5*P4-0.5*X4</f>
        <v>44.222260603104871</v>
      </c>
      <c r="AA4">
        <f t="shared" ref="AA4:AA25" si="19">3*Q4+AB4-AC4</f>
        <v>225.76901936492774</v>
      </c>
      <c r="AB4">
        <f t="shared" ref="AB4:AB25" si="20">P4-Q4-AC4</f>
        <v>118.59149982458032</v>
      </c>
      <c r="AC4">
        <f t="shared" ref="AC4:AC25" si="21">J4*M4^2</f>
        <v>46.249286332836874</v>
      </c>
      <c r="AD4">
        <f t="shared" ref="AD4:AD25" si="22">-3*$AP$11*((1-2*K4)^2.5)*(1+1.5*(4-$AP$12)*K4)*K4</f>
        <v>0</v>
      </c>
      <c r="AE4">
        <f t="shared" ref="AE4:AE25" si="23">((1-2*K4)^3.5)*($AP$4-$AP$14*K4)+3*AD4</f>
        <v>239.49929843444053</v>
      </c>
      <c r="AF4">
        <f t="shared" ref="AF4:AF25" si="24">((1-2*K4)^3.5)*($AP$5-$AP$15*K4)+1*AD4</f>
        <v>121.24044055266326</v>
      </c>
      <c r="AG4">
        <f t="shared" ref="AG4:AG25" si="25">((1-2*K4)^3.5)*($AP$6-$AP$16*K4)+1*AD4</f>
        <v>45.464390080738781</v>
      </c>
      <c r="AH4">
        <f t="shared" ref="AH4:AH25" si="26">AD4-B4</f>
        <v>0</v>
      </c>
      <c r="AI4">
        <f t="shared" ref="AI4:AI25" si="27">IF(AND(A4&gt;=CutoffLowBar,A4&lt;=CutoffOilBar),AH4^2+(AE4-R4)^2+(AF4-S4)^2+(AG4-T4)^2+(AE4-U4)^2+(AF4-V4)^2+(AG4-W4)^2+(AE4-X4)^2+(AF4-Y4)^2+(AG4-Z4)^2+(AE4-AA4)^2+(AF4-AB4)^2+(AG4-AC4)^2,0)</f>
        <v>0</v>
      </c>
      <c r="AJ4">
        <f t="shared" ref="AJ4:AJ25" si="28">(AE4+2*AF4)/3</f>
        <v>160.66005984658901</v>
      </c>
      <c r="AK4">
        <f t="shared" ref="AK4:AK25" si="29">(AE4-AF4+3*AG4)/5</f>
        <v>50.930405624798723</v>
      </c>
      <c r="AL4">
        <f t="shared" ref="AL4:AL25" si="30">5*(AE4-AF4)*AG4/(3*(AE4-AF4)+4*AG4)</f>
        <v>50.095274460844365</v>
      </c>
      <c r="AM4">
        <f t="shared" ref="AM4:AM25" si="31">(AK4+AL4)/2</f>
        <v>50.512840042821544</v>
      </c>
      <c r="AO4" t="s">
        <v>68</v>
      </c>
      <c r="AP4">
        <v>239.49929843444053</v>
      </c>
      <c r="AS4" t="s">
        <v>68</v>
      </c>
      <c r="AT4">
        <f>$AP$4</f>
        <v>239.49929843444053</v>
      </c>
    </row>
    <row r="5" spans="1:46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v>0.70328571428571429</v>
      </c>
      <c r="H5">
        <f t="shared" si="0"/>
        <v>0.60638413149350656</v>
      </c>
      <c r="I5">
        <f t="shared" si="1"/>
        <v>1.0030500182349524</v>
      </c>
      <c r="J5">
        <f t="shared" si="2"/>
        <v>6.1085746110508605</v>
      </c>
      <c r="K5">
        <f t="shared" si="3"/>
        <v>-1.0161566325762594E-3</v>
      </c>
      <c r="L5">
        <f t="shared" si="4"/>
        <v>6.258501511054912</v>
      </c>
      <c r="M5">
        <f t="shared" si="5"/>
        <v>2.7730246957953448</v>
      </c>
      <c r="N5">
        <f t="shared" si="6"/>
        <v>5.955953210668044</v>
      </c>
      <c r="O5">
        <f t="shared" si="7"/>
        <v>2.8992901876863018</v>
      </c>
      <c r="P5">
        <f t="shared" si="8"/>
        <v>216.69178017533224</v>
      </c>
      <c r="Q5">
        <f t="shared" si="9"/>
        <v>51.347967096069596</v>
      </c>
      <c r="R5">
        <f t="shared" si="10"/>
        <v>239.26578867794052</v>
      </c>
      <c r="S5">
        <f t="shared" si="11"/>
        <v>111.45897937994359</v>
      </c>
      <c r="T5">
        <f t="shared" si="12"/>
        <v>46.972898272042251</v>
      </c>
      <c r="U5">
        <f t="shared" si="13"/>
        <v>239.26578867794052</v>
      </c>
      <c r="V5">
        <f t="shared" si="14"/>
        <v>132.19478566177398</v>
      </c>
      <c r="W5">
        <f t="shared" si="15"/>
        <v>46.972898272042251</v>
      </c>
      <c r="X5">
        <f t="shared" si="16"/>
        <v>239.26578867794052</v>
      </c>
      <c r="Y5">
        <f t="shared" si="17"/>
        <v>125.2828502344972</v>
      </c>
      <c r="Z5">
        <f t="shared" si="18"/>
        <v>40.060962844765442</v>
      </c>
      <c r="AA5">
        <f t="shared" si="19"/>
        <v>225.44191782338692</v>
      </c>
      <c r="AB5">
        <f t="shared" si="20"/>
        <v>118.3709148072204</v>
      </c>
      <c r="AC5">
        <f t="shared" si="21"/>
        <v>46.972898272042251</v>
      </c>
      <c r="AD5">
        <f t="shared" si="22"/>
        <v>0.49218545120574764</v>
      </c>
      <c r="AE5">
        <f t="shared" si="23"/>
        <v>242.20913897589887</v>
      </c>
      <c r="AF5">
        <f t="shared" si="24"/>
        <v>122.76145783574835</v>
      </c>
      <c r="AG5">
        <f t="shared" si="25"/>
        <v>45.613264029242195</v>
      </c>
      <c r="AH5">
        <f t="shared" si="26"/>
        <v>0.36305254308647228</v>
      </c>
      <c r="AI5">
        <f t="shared" si="27"/>
        <v>0</v>
      </c>
      <c r="AJ5">
        <f t="shared" si="28"/>
        <v>162.57735154913186</v>
      </c>
      <c r="AK5">
        <f t="shared" si="29"/>
        <v>51.25749464557542</v>
      </c>
      <c r="AL5">
        <f t="shared" si="30"/>
        <v>50.373871244511612</v>
      </c>
      <c r="AM5">
        <f t="shared" si="31"/>
        <v>50.81568294504352</v>
      </c>
      <c r="AO5" t="s">
        <v>69</v>
      </c>
      <c r="AP5">
        <v>121.24044055266326</v>
      </c>
      <c r="AS5" t="s">
        <v>69</v>
      </c>
      <c r="AT5">
        <f>$AP$5</f>
        <v>121.24044055266326</v>
      </c>
    </row>
    <row r="6" spans="1:46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v>0.70257142857142851</v>
      </c>
      <c r="H6">
        <f t="shared" si="0"/>
        <v>0.60576826298701292</v>
      </c>
      <c r="I6">
        <f t="shared" si="1"/>
        <v>1.0061124525725225</v>
      </c>
      <c r="J6">
        <f t="shared" si="2"/>
        <v>6.1272248361666612</v>
      </c>
      <c r="K6">
        <f t="shared" si="3"/>
        <v>-2.0354141387647351E-3</v>
      </c>
      <c r="L6">
        <f t="shared" si="4"/>
        <v>6.3596744792744664</v>
      </c>
      <c r="M6">
        <f t="shared" si="5"/>
        <v>2.7778754271810775</v>
      </c>
      <c r="N6">
        <f t="shared" si="6"/>
        <v>6.0366079447998739</v>
      </c>
      <c r="O6">
        <f t="shared" si="7"/>
        <v>2.9511670389439613</v>
      </c>
      <c r="P6">
        <f t="shared" si="8"/>
        <v>223.27996675397867</v>
      </c>
      <c r="Q6">
        <f t="shared" si="9"/>
        <v>53.364371670910479</v>
      </c>
      <c r="R6">
        <f t="shared" si="10"/>
        <v>247.81842385033514</v>
      </c>
      <c r="S6">
        <f t="shared" si="11"/>
        <v>116.44815126089314</v>
      </c>
      <c r="T6">
        <f t="shared" si="12"/>
        <v>47.281293472453648</v>
      </c>
      <c r="U6">
        <f t="shared" si="13"/>
        <v>247.81842385033514</v>
      </c>
      <c r="V6">
        <f t="shared" si="14"/>
        <v>135.00660231005733</v>
      </c>
      <c r="W6">
        <f t="shared" si="15"/>
        <v>47.281293472453648</v>
      </c>
      <c r="X6">
        <f t="shared" si="16"/>
        <v>247.81842385033514</v>
      </c>
      <c r="Y6">
        <f t="shared" si="17"/>
        <v>128.82045196033599</v>
      </c>
      <c r="Z6">
        <f t="shared" si="18"/>
        <v>41.095143122732253</v>
      </c>
      <c r="AA6">
        <f t="shared" si="19"/>
        <v>235.4461231508923</v>
      </c>
      <c r="AB6">
        <f t="shared" si="20"/>
        <v>122.63430161061453</v>
      </c>
      <c r="AC6">
        <f t="shared" si="21"/>
        <v>47.281293472453648</v>
      </c>
      <c r="AD6">
        <f t="shared" si="22"/>
        <v>0.99074495600898049</v>
      </c>
      <c r="AE6">
        <f t="shared" si="23"/>
        <v>244.94380028516107</v>
      </c>
      <c r="AF6">
        <f t="shared" si="24"/>
        <v>124.2987523568758</v>
      </c>
      <c r="AG6">
        <f t="shared" si="25"/>
        <v>45.759575289151066</v>
      </c>
      <c r="AH6">
        <f t="shared" si="26"/>
        <v>-0.64493854683532148</v>
      </c>
      <c r="AI6">
        <f t="shared" si="27"/>
        <v>0</v>
      </c>
      <c r="AJ6">
        <f t="shared" si="28"/>
        <v>164.5137683329709</v>
      </c>
      <c r="AK6">
        <f t="shared" si="29"/>
        <v>51.5847547591477</v>
      </c>
      <c r="AL6">
        <f t="shared" si="30"/>
        <v>50.650781292018983</v>
      </c>
      <c r="AM6">
        <f t="shared" si="31"/>
        <v>51.117768025583345</v>
      </c>
      <c r="AO6" t="s">
        <v>70</v>
      </c>
      <c r="AP6">
        <v>45.464390080738781</v>
      </c>
      <c r="AS6" t="s">
        <v>70</v>
      </c>
      <c r="AT6">
        <f>$AP$6</f>
        <v>45.464390080738781</v>
      </c>
    </row>
    <row r="7" spans="1:46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v>0.70185714285714285</v>
      </c>
      <c r="H7">
        <f t="shared" si="0"/>
        <v>0.6051523944805195</v>
      </c>
      <c r="I7">
        <f t="shared" si="1"/>
        <v>1.0091873662568498</v>
      </c>
      <c r="J7">
        <f t="shared" si="2"/>
        <v>6.1459510605042151</v>
      </c>
      <c r="K7">
        <f t="shared" si="3"/>
        <v>-3.057785148123271E-3</v>
      </c>
      <c r="L7">
        <f t="shared" si="4"/>
        <v>6.4171051454499528</v>
      </c>
      <c r="M7">
        <f t="shared" si="5"/>
        <v>2.7750512350021621</v>
      </c>
      <c r="N7">
        <f t="shared" si="6"/>
        <v>6.0813271227214161</v>
      </c>
      <c r="O7">
        <f t="shared" si="7"/>
        <v>2.9792758861095754</v>
      </c>
      <c r="P7">
        <f t="shared" si="8"/>
        <v>227.29287831218113</v>
      </c>
      <c r="Q7">
        <f t="shared" si="9"/>
        <v>54.551982823819927</v>
      </c>
      <c r="R7">
        <f t="shared" si="10"/>
        <v>253.08558420876813</v>
      </c>
      <c r="S7">
        <f t="shared" si="11"/>
        <v>119.73770130627437</v>
      </c>
      <c r="T7">
        <f t="shared" si="12"/>
        <v>47.329412028806644</v>
      </c>
      <c r="U7">
        <f t="shared" si="13"/>
        <v>253.08558420876813</v>
      </c>
      <c r="V7">
        <f t="shared" si="14"/>
        <v>136.75904776611497</v>
      </c>
      <c r="W7">
        <f t="shared" si="15"/>
        <v>47.329412028806644</v>
      </c>
      <c r="X7">
        <f t="shared" si="16"/>
        <v>253.08558420876813</v>
      </c>
      <c r="Y7">
        <f t="shared" si="17"/>
        <v>131.0852656128348</v>
      </c>
      <c r="Z7">
        <f t="shared" si="18"/>
        <v>41.655629875526444</v>
      </c>
      <c r="AA7">
        <f t="shared" si="19"/>
        <v>241.73801990220772</v>
      </c>
      <c r="AB7">
        <f t="shared" si="20"/>
        <v>125.41148345955457</v>
      </c>
      <c r="AC7">
        <f t="shared" si="21"/>
        <v>47.329412028806644</v>
      </c>
      <c r="AD7">
        <f t="shared" si="22"/>
        <v>1.4957501370926716</v>
      </c>
      <c r="AE7">
        <f t="shared" si="23"/>
        <v>247.70350498096411</v>
      </c>
      <c r="AF7">
        <f t="shared" si="24"/>
        <v>125.85250215824946</v>
      </c>
      <c r="AG7">
        <f t="shared" si="25"/>
        <v>45.903250645394174</v>
      </c>
      <c r="AH7">
        <f t="shared" si="26"/>
        <v>-1.0008194198802252</v>
      </c>
      <c r="AI7">
        <f t="shared" si="27"/>
        <v>0</v>
      </c>
      <c r="AJ7">
        <f t="shared" si="28"/>
        <v>166.46950309915437</v>
      </c>
      <c r="AK7">
        <f t="shared" si="29"/>
        <v>51.912150951779438</v>
      </c>
      <c r="AL7">
        <f t="shared" si="30"/>
        <v>50.925922320575751</v>
      </c>
      <c r="AM7">
        <f t="shared" si="31"/>
        <v>51.419036636177594</v>
      </c>
      <c r="AO7" t="s">
        <v>71</v>
      </c>
      <c r="AP7">
        <v>5.5161185499618695</v>
      </c>
      <c r="AS7" t="s">
        <v>71</v>
      </c>
      <c r="AT7">
        <f>$AP$7</f>
        <v>5.5161185499618695</v>
      </c>
    </row>
    <row r="8" spans="1:46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v>0.69958265281687182</v>
      </c>
      <c r="H8">
        <f t="shared" si="0"/>
        <v>0.603191292982729</v>
      </c>
      <c r="I8">
        <f t="shared" si="1"/>
        <v>1.0190626432183287</v>
      </c>
      <c r="J8">
        <f t="shared" si="2"/>
        <v>6.2060914971996217</v>
      </c>
      <c r="K8">
        <f t="shared" si="3"/>
        <v>-6.3341955463436239E-3</v>
      </c>
      <c r="L8">
        <f t="shared" si="4"/>
        <v>6.461292817397422</v>
      </c>
      <c r="M8">
        <f t="shared" si="5"/>
        <v>2.7693430852007284</v>
      </c>
      <c r="N8">
        <f t="shared" si="6"/>
        <v>6.1152812313829754</v>
      </c>
      <c r="O8">
        <f t="shared" si="7"/>
        <v>3.0010523003878933</v>
      </c>
      <c r="P8">
        <f t="shared" si="8"/>
        <v>232.0871218185242</v>
      </c>
      <c r="Q8">
        <f t="shared" si="9"/>
        <v>55.894014381964617</v>
      </c>
      <c r="R8">
        <f t="shared" si="10"/>
        <v>259.09379988955703</v>
      </c>
      <c r="S8">
        <f t="shared" si="11"/>
        <v>123.39151028568453</v>
      </c>
      <c r="T8">
        <f t="shared" si="12"/>
        <v>47.596136248661615</v>
      </c>
      <c r="U8">
        <f t="shared" si="13"/>
        <v>259.09379988955703</v>
      </c>
      <c r="V8">
        <f t="shared" si="14"/>
        <v>139.00789299232477</v>
      </c>
      <c r="W8">
        <f t="shared" si="15"/>
        <v>47.596136248661615</v>
      </c>
      <c r="X8">
        <f t="shared" si="16"/>
        <v>259.09379988955703</v>
      </c>
      <c r="Y8">
        <f t="shared" si="17"/>
        <v>133.80243209011135</v>
      </c>
      <c r="Z8">
        <f t="shared" si="18"/>
        <v>42.390675346448205</v>
      </c>
      <c r="AA8">
        <f t="shared" si="19"/>
        <v>248.68287808513017</v>
      </c>
      <c r="AB8">
        <f t="shared" si="20"/>
        <v>128.59697118789796</v>
      </c>
      <c r="AC8">
        <f t="shared" si="21"/>
        <v>47.596136248661615</v>
      </c>
      <c r="AD8">
        <f t="shared" si="22"/>
        <v>3.1476111441866248</v>
      </c>
      <c r="AE8">
        <f t="shared" si="23"/>
        <v>256.66063158351665</v>
      </c>
      <c r="AF8">
        <f t="shared" si="24"/>
        <v>130.91179757173009</v>
      </c>
      <c r="AG8">
        <f t="shared" si="25"/>
        <v>46.342326184688858</v>
      </c>
      <c r="AH8">
        <f t="shared" si="26"/>
        <v>-0.29593307232772581</v>
      </c>
      <c r="AI8">
        <f t="shared" si="27"/>
        <v>237.64038568797474</v>
      </c>
      <c r="AJ8">
        <f t="shared" si="28"/>
        <v>172.82807557565897</v>
      </c>
      <c r="AK8">
        <f t="shared" si="29"/>
        <v>52.955162513170627</v>
      </c>
      <c r="AL8">
        <f t="shared" si="30"/>
        <v>51.789279762079211</v>
      </c>
      <c r="AM8">
        <f t="shared" si="31"/>
        <v>52.372221137624919</v>
      </c>
      <c r="AO8" t="s">
        <v>72</v>
      </c>
      <c r="AP8">
        <v>3.0938019068439409</v>
      </c>
      <c r="AS8" t="s">
        <v>72</v>
      </c>
      <c r="AT8">
        <f>$AP$8</f>
        <v>3.0938019068439409</v>
      </c>
    </row>
    <row r="9" spans="1:46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v>0.69829433158463883</v>
      </c>
      <c r="H9">
        <f t="shared" si="0"/>
        <v>0.60208048192027808</v>
      </c>
      <c r="I9">
        <f t="shared" si="1"/>
        <v>1.0247134283137875</v>
      </c>
      <c r="J9">
        <f t="shared" si="2"/>
        <v>6.2405047784309655</v>
      </c>
      <c r="K9">
        <f t="shared" si="3"/>
        <v>-8.2042460867756128E-3</v>
      </c>
      <c r="L9">
        <f t="shared" si="4"/>
        <v>6.5034528409103611</v>
      </c>
      <c r="M9">
        <f t="shared" si="5"/>
        <v>2.7642431824492295</v>
      </c>
      <c r="N9">
        <f t="shared" si="6"/>
        <v>6.1569254161488276</v>
      </c>
      <c r="O9">
        <f t="shared" si="7"/>
        <v>3.0243967724728051</v>
      </c>
      <c r="P9">
        <f t="shared" si="8"/>
        <v>236.56337382408478</v>
      </c>
      <c r="Q9">
        <f t="shared" si="9"/>
        <v>57.081746421137311</v>
      </c>
      <c r="R9">
        <f t="shared" si="10"/>
        <v>263.94151840129842</v>
      </c>
      <c r="S9">
        <f t="shared" si="11"/>
        <v>127.50640363170967</v>
      </c>
      <c r="T9">
        <f t="shared" si="12"/>
        <v>47.683948951884133</v>
      </c>
      <c r="U9">
        <f t="shared" si="13"/>
        <v>263.94151840129842</v>
      </c>
      <c r="V9">
        <f t="shared" si="14"/>
        <v>140.38022808977064</v>
      </c>
      <c r="W9">
        <f t="shared" si="15"/>
        <v>47.683948951884133</v>
      </c>
      <c r="X9">
        <f t="shared" si="16"/>
        <v>263.94151840129842</v>
      </c>
      <c r="Y9">
        <f t="shared" si="17"/>
        <v>136.08895327041699</v>
      </c>
      <c r="Z9">
        <f t="shared" si="18"/>
        <v>43.392674132530487</v>
      </c>
      <c r="AA9">
        <f t="shared" si="19"/>
        <v>255.35896876259113</v>
      </c>
      <c r="AB9">
        <f t="shared" si="20"/>
        <v>131.79767845106335</v>
      </c>
      <c r="AC9">
        <f t="shared" si="21"/>
        <v>47.683948951884133</v>
      </c>
      <c r="AD9">
        <f t="shared" si="22"/>
        <v>4.1134897717450238</v>
      </c>
      <c r="AE9">
        <f t="shared" si="23"/>
        <v>261.8506102096726</v>
      </c>
      <c r="AF9">
        <f t="shared" si="24"/>
        <v>133.85458358565674</v>
      </c>
      <c r="AG9">
        <f t="shared" si="25"/>
        <v>46.577886597226609</v>
      </c>
      <c r="AH9">
        <f t="shared" si="26"/>
        <v>-0.32007340701725262</v>
      </c>
      <c r="AI9">
        <f t="shared" si="27"/>
        <v>161.28193864585631</v>
      </c>
      <c r="AJ9">
        <f t="shared" si="28"/>
        <v>176.51992579366205</v>
      </c>
      <c r="AK9">
        <f t="shared" si="29"/>
        <v>53.545937283139139</v>
      </c>
      <c r="AL9">
        <f t="shared" si="30"/>
        <v>52.268878835465458</v>
      </c>
      <c r="AM9">
        <f t="shared" si="31"/>
        <v>52.907408059302298</v>
      </c>
      <c r="AO9" t="s">
        <v>73</v>
      </c>
      <c r="AP9">
        <v>0.30700295053614812</v>
      </c>
      <c r="AS9" t="s">
        <v>73</v>
      </c>
      <c r="AT9">
        <f>$AP$9</f>
        <v>0.30700295053614812</v>
      </c>
    </row>
    <row r="10" spans="1:46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v>0.69734043838552984</v>
      </c>
      <c r="H10">
        <f t="shared" si="0"/>
        <v>0.60125802002843276</v>
      </c>
      <c r="I10">
        <f t="shared" si="1"/>
        <v>1.0289243049751686</v>
      </c>
      <c r="J10">
        <f t="shared" si="2"/>
        <v>6.266149017298777</v>
      </c>
      <c r="K10">
        <f t="shared" si="3"/>
        <v>-9.5955439608740312E-3</v>
      </c>
      <c r="L10">
        <f t="shared" si="4"/>
        <v>6.5371870427362948</v>
      </c>
      <c r="M10">
        <f t="shared" si="5"/>
        <v>2.7604671346522527</v>
      </c>
      <c r="N10">
        <f t="shared" si="6"/>
        <v>6.183569339818475</v>
      </c>
      <c r="O10">
        <f t="shared" si="7"/>
        <v>3.0379081807177499</v>
      </c>
      <c r="P10">
        <f t="shared" si="8"/>
        <v>239.59579350801229</v>
      </c>
      <c r="Q10">
        <f t="shared" si="9"/>
        <v>57.829575656959975</v>
      </c>
      <c r="R10">
        <f t="shared" si="10"/>
        <v>267.78271545576348</v>
      </c>
      <c r="S10">
        <f t="shared" si="11"/>
        <v>130.00398071687621</v>
      </c>
      <c r="T10">
        <f t="shared" si="12"/>
        <v>47.749175908630235</v>
      </c>
      <c r="U10">
        <f t="shared" si="13"/>
        <v>267.78271545576348</v>
      </c>
      <c r="V10">
        <f t="shared" si="14"/>
        <v>142.04316439351376</v>
      </c>
      <c r="W10">
        <f t="shared" si="15"/>
        <v>47.749175908630235</v>
      </c>
      <c r="X10">
        <f t="shared" si="16"/>
        <v>267.78271545576348</v>
      </c>
      <c r="Y10">
        <f t="shared" si="17"/>
        <v>138.03010316796795</v>
      </c>
      <c r="Z10">
        <f t="shared" si="18"/>
        <v>43.736114683084367</v>
      </c>
      <c r="AA10">
        <f t="shared" si="19"/>
        <v>259.7565930046718</v>
      </c>
      <c r="AB10">
        <f t="shared" si="20"/>
        <v>134.01704194242208</v>
      </c>
      <c r="AC10">
        <f t="shared" si="21"/>
        <v>47.749175908630235</v>
      </c>
      <c r="AD10">
        <f t="shared" si="22"/>
        <v>4.8430621831276826</v>
      </c>
      <c r="AE10">
        <f t="shared" si="23"/>
        <v>265.74865093531554</v>
      </c>
      <c r="AF10">
        <f t="shared" si="24"/>
        <v>136.07022484707196</v>
      </c>
      <c r="AG10">
        <f t="shared" si="25"/>
        <v>46.745819804414722</v>
      </c>
      <c r="AH10">
        <f t="shared" si="26"/>
        <v>-0.27920983893744111</v>
      </c>
      <c r="AI10">
        <f t="shared" si="27"/>
        <v>141.00547487659446</v>
      </c>
      <c r="AJ10">
        <f t="shared" si="28"/>
        <v>179.29636687648647</v>
      </c>
      <c r="AK10">
        <f t="shared" si="29"/>
        <v>53.983177100297553</v>
      </c>
      <c r="AL10">
        <f t="shared" si="30"/>
        <v>52.619175716630231</v>
      </c>
      <c r="AM10">
        <f t="shared" si="31"/>
        <v>53.301176408463888</v>
      </c>
      <c r="AS10" t="s">
        <v>74</v>
      </c>
      <c r="AT10">
        <f>$AP$11</f>
        <v>160.66005984658901</v>
      </c>
    </row>
    <row r="11" spans="1:46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v>0.69634668834168856</v>
      </c>
      <c r="H11">
        <f t="shared" si="0"/>
        <v>0.60040119293097294</v>
      </c>
      <c r="I11">
        <f t="shared" si="1"/>
        <v>1.0333357000852184</v>
      </c>
      <c r="J11">
        <f t="shared" si="2"/>
        <v>6.2930144135189794</v>
      </c>
      <c r="K11">
        <f t="shared" si="3"/>
        <v>-1.1051060155953252E-2</v>
      </c>
      <c r="L11">
        <f t="shared" si="4"/>
        <v>6.5771972926646933</v>
      </c>
      <c r="M11">
        <f t="shared" si="5"/>
        <v>2.7620000887741671</v>
      </c>
      <c r="N11">
        <f t="shared" si="6"/>
        <v>6.2065738482368662</v>
      </c>
      <c r="O11">
        <f t="shared" si="7"/>
        <v>3.0484701437020569</v>
      </c>
      <c r="P11">
        <f t="shared" si="8"/>
        <v>242.41672560047752</v>
      </c>
      <c r="Q11">
        <f t="shared" si="9"/>
        <v>58.482054123135896</v>
      </c>
      <c r="R11">
        <f t="shared" si="10"/>
        <v>272.23280948019237</v>
      </c>
      <c r="S11">
        <f t="shared" si="11"/>
        <v>131.49434419336603</v>
      </c>
      <c r="T11">
        <f t="shared" si="12"/>
        <v>48.007169733627023</v>
      </c>
      <c r="U11">
        <f t="shared" si="13"/>
        <v>272.23280948019237</v>
      </c>
      <c r="V11">
        <f t="shared" si="14"/>
        <v>144.79381684441174</v>
      </c>
      <c r="W11">
        <f t="shared" si="15"/>
        <v>48.007169733627023</v>
      </c>
      <c r="X11">
        <f t="shared" si="16"/>
        <v>272.23280948019237</v>
      </c>
      <c r="Y11">
        <f t="shared" si="17"/>
        <v>140.36065929406314</v>
      </c>
      <c r="Z11">
        <f t="shared" si="18"/>
        <v>43.574012183278455</v>
      </c>
      <c r="AA11">
        <f t="shared" si="19"/>
        <v>263.36649437949529</v>
      </c>
      <c r="AB11">
        <f t="shared" si="20"/>
        <v>135.9275017437146</v>
      </c>
      <c r="AC11">
        <f t="shared" si="21"/>
        <v>48.007169733627023</v>
      </c>
      <c r="AD11">
        <f t="shared" si="22"/>
        <v>5.6163903302985805</v>
      </c>
      <c r="AE11">
        <f t="shared" si="23"/>
        <v>269.86028563384104</v>
      </c>
      <c r="AF11">
        <f t="shared" si="24"/>
        <v>138.41225808099733</v>
      </c>
      <c r="AG11">
        <f t="shared" si="25"/>
        <v>46.914667491819394</v>
      </c>
      <c r="AH11">
        <f t="shared" si="26"/>
        <v>-0.15154623236300324</v>
      </c>
      <c r="AI11">
        <f t="shared" si="27"/>
        <v>172.3716668059609</v>
      </c>
      <c r="AJ11">
        <f t="shared" si="28"/>
        <v>182.22826726527856</v>
      </c>
      <c r="AK11">
        <f t="shared" si="29"/>
        <v>54.438406005660383</v>
      </c>
      <c r="AL11">
        <f t="shared" si="30"/>
        <v>52.979478853616939</v>
      </c>
      <c r="AM11">
        <f t="shared" si="31"/>
        <v>53.708942429638661</v>
      </c>
      <c r="AO11" t="s">
        <v>74</v>
      </c>
      <c r="AP11">
        <f>($AP$4+2*$AP$5)/3</f>
        <v>160.66005984658901</v>
      </c>
      <c r="AS11" t="s">
        <v>75</v>
      </c>
      <c r="AT11">
        <f>$AP$12</f>
        <v>3.9012407878832502</v>
      </c>
    </row>
    <row r="12" spans="1:46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v>0.69551836520367971</v>
      </c>
      <c r="H12">
        <f t="shared" si="0"/>
        <v>0.59968699954351368</v>
      </c>
      <c r="I12">
        <f t="shared" si="1"/>
        <v>1.0370320322969557</v>
      </c>
      <c r="J12">
        <f t="shared" si="2"/>
        <v>6.3155250766884601</v>
      </c>
      <c r="K12">
        <f t="shared" si="3"/>
        <v>-1.2269050970900697E-2</v>
      </c>
      <c r="L12">
        <f t="shared" si="4"/>
        <v>6.6005455771059989</v>
      </c>
      <c r="M12">
        <f t="shared" si="5"/>
        <v>2.7587146152894544</v>
      </c>
      <c r="N12">
        <f t="shared" si="6"/>
        <v>6.2383955075439701</v>
      </c>
      <c r="O12">
        <f t="shared" si="7"/>
        <v>3.0617906897717568</v>
      </c>
      <c r="P12">
        <f t="shared" si="8"/>
        <v>245.78494299470648</v>
      </c>
      <c r="Q12">
        <f t="shared" si="9"/>
        <v>59.205282833739986</v>
      </c>
      <c r="R12">
        <f t="shared" si="10"/>
        <v>275.1497562181965</v>
      </c>
      <c r="S12">
        <f t="shared" si="11"/>
        <v>134.97384925367535</v>
      </c>
      <c r="T12">
        <f t="shared" si="12"/>
        <v>48.064343564643053</v>
      </c>
      <c r="U12">
        <f t="shared" si="13"/>
        <v>275.1497562181965</v>
      </c>
      <c r="V12">
        <f t="shared" si="14"/>
        <v>145.59825128161958</v>
      </c>
      <c r="W12">
        <f t="shared" si="15"/>
        <v>48.064343564643053</v>
      </c>
      <c r="X12">
        <f t="shared" si="16"/>
        <v>275.1497562181965</v>
      </c>
      <c r="Y12">
        <f t="shared" si="17"/>
        <v>142.05678393897153</v>
      </c>
      <c r="Z12">
        <f t="shared" si="18"/>
        <v>44.522876221994977</v>
      </c>
      <c r="AA12">
        <f t="shared" si="19"/>
        <v>268.06682153290035</v>
      </c>
      <c r="AB12">
        <f t="shared" si="20"/>
        <v>138.51531659632346</v>
      </c>
      <c r="AC12">
        <f t="shared" si="21"/>
        <v>48.064343564643053</v>
      </c>
      <c r="AD12">
        <f t="shared" si="22"/>
        <v>6.271484843207018</v>
      </c>
      <c r="AE12">
        <f t="shared" si="23"/>
        <v>273.32747954415055</v>
      </c>
      <c r="AF12">
        <f t="shared" si="24"/>
        <v>140.39116448623767</v>
      </c>
      <c r="AG12">
        <f t="shared" si="25"/>
        <v>47.050484895366395</v>
      </c>
      <c r="AH12">
        <f t="shared" si="26"/>
        <v>-0.31429347087674486</v>
      </c>
      <c r="AI12">
        <f t="shared" si="27"/>
        <v>109.96206442800074</v>
      </c>
      <c r="AJ12">
        <f t="shared" si="28"/>
        <v>184.70326950554195</v>
      </c>
      <c r="AK12">
        <f t="shared" si="29"/>
        <v>54.817553948802413</v>
      </c>
      <c r="AL12">
        <f t="shared" si="30"/>
        <v>53.275997482451679</v>
      </c>
      <c r="AM12">
        <f t="shared" si="31"/>
        <v>54.046775715627049</v>
      </c>
      <c r="AO12" t="s">
        <v>75</v>
      </c>
      <c r="AP12">
        <f>($AP$7+2*$AP$8)/3</f>
        <v>3.9012407878832502</v>
      </c>
      <c r="AS12" t="s">
        <v>81</v>
      </c>
      <c r="AT12">
        <f>AK4</f>
        <v>50.930405624798723</v>
      </c>
    </row>
    <row r="13" spans="1:46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v>0.69446614483165658</v>
      </c>
      <c r="H13">
        <f t="shared" si="0"/>
        <v>0.59877975839888575</v>
      </c>
      <c r="I13">
        <f t="shared" si="1"/>
        <v>1.041752955201984</v>
      </c>
      <c r="J13">
        <f t="shared" si="2"/>
        <v>6.3442754971800825</v>
      </c>
      <c r="K13">
        <f t="shared" si="3"/>
        <v>-1.3822555870814823E-2</v>
      </c>
      <c r="L13">
        <f t="shared" si="4"/>
        <v>6.6409787840445542</v>
      </c>
      <c r="M13">
        <f t="shared" si="5"/>
        <v>2.7523576737502813</v>
      </c>
      <c r="N13">
        <f t="shared" si="6"/>
        <v>6.2612115831068964</v>
      </c>
      <c r="O13">
        <f t="shared" si="7"/>
        <v>3.0701257347633844</v>
      </c>
      <c r="P13">
        <f t="shared" si="8"/>
        <v>248.71317623133339</v>
      </c>
      <c r="Q13">
        <f t="shared" si="9"/>
        <v>59.799060086978564</v>
      </c>
      <c r="R13">
        <f t="shared" si="10"/>
        <v>279.7990395307807</v>
      </c>
      <c r="S13">
        <f t="shared" si="11"/>
        <v>137.04847210601093</v>
      </c>
      <c r="T13">
        <f t="shared" si="12"/>
        <v>48.060886237799409</v>
      </c>
      <c r="U13">
        <f t="shared" si="13"/>
        <v>279.7990395307807</v>
      </c>
      <c r="V13">
        <f t="shared" si="14"/>
        <v>148.46274550764443</v>
      </c>
      <c r="W13">
        <f t="shared" si="15"/>
        <v>48.060886237799409</v>
      </c>
      <c r="X13">
        <f t="shared" si="16"/>
        <v>279.7990395307807</v>
      </c>
      <c r="Y13">
        <f t="shared" si="17"/>
        <v>144.65798770709992</v>
      </c>
      <c r="Z13">
        <f t="shared" si="18"/>
        <v>44.256128437254915</v>
      </c>
      <c r="AA13">
        <f t="shared" si="19"/>
        <v>272.18952392969175</v>
      </c>
      <c r="AB13">
        <f t="shared" si="20"/>
        <v>140.85322990655544</v>
      </c>
      <c r="AC13">
        <f t="shared" si="21"/>
        <v>48.060886237799409</v>
      </c>
      <c r="AD13">
        <f t="shared" si="22"/>
        <v>7.1176271984970496</v>
      </c>
      <c r="AE13">
        <f t="shared" si="23"/>
        <v>277.78495303365327</v>
      </c>
      <c r="AF13">
        <f t="shared" si="24"/>
        <v>142.94055656414574</v>
      </c>
      <c r="AG13">
        <f t="shared" si="25"/>
        <v>47.216331718140559</v>
      </c>
      <c r="AH13">
        <f t="shared" si="26"/>
        <v>-0.15685995888956139</v>
      </c>
      <c r="AI13">
        <f t="shared" si="27"/>
        <v>126.92341792785923</v>
      </c>
      <c r="AJ13">
        <f t="shared" si="28"/>
        <v>187.88868872064825</v>
      </c>
      <c r="AK13">
        <f t="shared" si="29"/>
        <v>55.29867832478584</v>
      </c>
      <c r="AL13">
        <f t="shared" si="30"/>
        <v>53.647402035471508</v>
      </c>
      <c r="AM13">
        <f t="shared" si="31"/>
        <v>54.473040180128677</v>
      </c>
      <c r="AS13" t="s">
        <v>82</v>
      </c>
      <c r="AT13">
        <f>AL4</f>
        <v>50.095274460844365</v>
      </c>
    </row>
    <row r="14" spans="1:46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v>0.6937808865798748</v>
      </c>
      <c r="H14">
        <f t="shared" si="0"/>
        <v>0.59818891783236372</v>
      </c>
      <c r="I14">
        <f t="shared" si="1"/>
        <v>1.0448428723007417</v>
      </c>
      <c r="J14">
        <f t="shared" si="2"/>
        <v>6.3630930923115168</v>
      </c>
      <c r="K14">
        <f t="shared" si="3"/>
        <v>-1.4838078324908799E-2</v>
      </c>
      <c r="L14">
        <f t="shared" si="4"/>
        <v>6.6662998056782055</v>
      </c>
      <c r="M14">
        <f t="shared" si="5"/>
        <v>2.7540077613159686</v>
      </c>
      <c r="N14">
        <f t="shared" si="6"/>
        <v>6.2807752198295379</v>
      </c>
      <c r="O14">
        <f t="shared" si="7"/>
        <v>3.0769839677913953</v>
      </c>
      <c r="P14">
        <f t="shared" si="8"/>
        <v>251.01217035285575</v>
      </c>
      <c r="Q14">
        <f t="shared" si="9"/>
        <v>60.244685823193322</v>
      </c>
      <c r="R14">
        <f t="shared" si="10"/>
        <v>282.77301335083672</v>
      </c>
      <c r="S14">
        <f t="shared" si="11"/>
        <v>138.60924208093439</v>
      </c>
      <c r="T14">
        <f t="shared" si="12"/>
        <v>48.261253386465434</v>
      </c>
      <c r="U14">
        <f t="shared" si="13"/>
        <v>282.77301335083672</v>
      </c>
      <c r="V14">
        <f t="shared" si="14"/>
        <v>150.30020926772221</v>
      </c>
      <c r="W14">
        <f t="shared" si="15"/>
        <v>48.261253386465434</v>
      </c>
      <c r="X14">
        <f t="shared" si="16"/>
        <v>282.77301335083672</v>
      </c>
      <c r="Y14">
        <f t="shared" si="17"/>
        <v>146.40322020545955</v>
      </c>
      <c r="Z14">
        <f t="shared" si="18"/>
        <v>44.364264324202821</v>
      </c>
      <c r="AA14">
        <f t="shared" si="19"/>
        <v>274.97903522631151</v>
      </c>
      <c r="AB14">
        <f t="shared" si="20"/>
        <v>142.506231143197</v>
      </c>
      <c r="AC14">
        <f t="shared" si="21"/>
        <v>48.261253386465434</v>
      </c>
      <c r="AD14">
        <f t="shared" si="22"/>
        <v>7.6771991687638055</v>
      </c>
      <c r="AE14">
        <f t="shared" si="23"/>
        <v>280.72017005912892</v>
      </c>
      <c r="AF14">
        <f t="shared" si="24"/>
        <v>144.62254128348567</v>
      </c>
      <c r="AG14">
        <f t="shared" si="25"/>
        <v>47.320193185277596</v>
      </c>
      <c r="AH14">
        <f t="shared" si="26"/>
        <v>-0.15686392380643355</v>
      </c>
      <c r="AI14">
        <f t="shared" si="27"/>
        <v>133.06729761030354</v>
      </c>
      <c r="AJ14">
        <f t="shared" si="28"/>
        <v>189.9884175420334</v>
      </c>
      <c r="AK14">
        <f t="shared" si="29"/>
        <v>55.611641666295213</v>
      </c>
      <c r="AL14">
        <f t="shared" si="30"/>
        <v>53.885960232630936</v>
      </c>
      <c r="AM14">
        <f t="shared" si="31"/>
        <v>54.748800949463075</v>
      </c>
      <c r="AO14" t="s">
        <v>76</v>
      </c>
      <c r="AP14">
        <f>3*$AP$11*($AP$7-3)-7*$AP$4</f>
        <v>-463.77581858712347</v>
      </c>
      <c r="AS14" t="s">
        <v>83</v>
      </c>
      <c r="AT14">
        <f>AM4</f>
        <v>50.512840042821544</v>
      </c>
    </row>
    <row r="15" spans="1:46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v>0.69310595762410598</v>
      </c>
      <c r="H15">
        <f t="shared" si="0"/>
        <v>0.59760698334919371</v>
      </c>
      <c r="I15">
        <f t="shared" si="1"/>
        <v>1.0478981697969665</v>
      </c>
      <c r="J15">
        <f t="shared" si="2"/>
        <v>6.3816998540635259</v>
      </c>
      <c r="K15">
        <f t="shared" si="3"/>
        <v>-1.5841238969939275E-2</v>
      </c>
      <c r="L15">
        <f t="shared" si="4"/>
        <v>6.6855101464170241</v>
      </c>
      <c r="M15">
        <f t="shared" si="5"/>
        <v>2.7502368633280936</v>
      </c>
      <c r="N15">
        <f t="shared" si="6"/>
        <v>6.3057168140957085</v>
      </c>
      <c r="O15">
        <f t="shared" si="7"/>
        <v>3.0855888911147167</v>
      </c>
      <c r="P15">
        <f t="shared" si="8"/>
        <v>253.7495614694341</v>
      </c>
      <c r="Q15">
        <f t="shared" si="9"/>
        <v>60.759263246239982</v>
      </c>
      <c r="R15">
        <f t="shared" si="10"/>
        <v>285.23674971112791</v>
      </c>
      <c r="S15">
        <f t="shared" si="11"/>
        <v>141.46612884246599</v>
      </c>
      <c r="T15">
        <f t="shared" si="12"/>
        <v>48.269919253060614</v>
      </c>
      <c r="U15">
        <f t="shared" si="13"/>
        <v>285.23674971112791</v>
      </c>
      <c r="V15">
        <f t="shared" si="14"/>
        <v>151.22887922546857</v>
      </c>
      <c r="W15">
        <f t="shared" si="15"/>
        <v>48.269919253060614</v>
      </c>
      <c r="X15">
        <f t="shared" si="16"/>
        <v>285.23674971112791</v>
      </c>
      <c r="Y15">
        <f t="shared" si="17"/>
        <v>147.97462909780103</v>
      </c>
      <c r="Z15">
        <f t="shared" si="18"/>
        <v>45.01566912539306</v>
      </c>
      <c r="AA15">
        <f t="shared" si="19"/>
        <v>278.72824945579282</v>
      </c>
      <c r="AB15">
        <f t="shared" si="20"/>
        <v>144.72037897013351</v>
      </c>
      <c r="AC15">
        <f t="shared" si="21"/>
        <v>48.269919253060614</v>
      </c>
      <c r="AD15">
        <f t="shared" si="22"/>
        <v>8.2349905169774189</v>
      </c>
      <c r="AE15">
        <f t="shared" si="23"/>
        <v>283.63629054160424</v>
      </c>
      <c r="AF15">
        <f t="shared" si="24"/>
        <v>146.29610727488341</v>
      </c>
      <c r="AG15">
        <f t="shared" si="25"/>
        <v>47.419199255081296</v>
      </c>
      <c r="AH15">
        <f t="shared" si="26"/>
        <v>-0.28778141889566733</v>
      </c>
      <c r="AI15">
        <f t="shared" si="27"/>
        <v>92.765510708714586</v>
      </c>
      <c r="AJ15">
        <f t="shared" si="28"/>
        <v>192.07616836379034</v>
      </c>
      <c r="AK15">
        <f t="shared" si="29"/>
        <v>55.91955620639294</v>
      </c>
      <c r="AL15">
        <f t="shared" si="30"/>
        <v>54.118250233842197</v>
      </c>
      <c r="AM15">
        <f t="shared" si="31"/>
        <v>55.018903220117565</v>
      </c>
      <c r="AO15" t="s">
        <v>77</v>
      </c>
      <c r="AP15">
        <f>3*$AP$11*($AP$8-1)-7*$AP$5</f>
        <v>160.4879351127064</v>
      </c>
      <c r="AS15" t="s">
        <v>84</v>
      </c>
      <c r="AT15">
        <f>$AP$18</f>
        <v>1452.0621619740145</v>
      </c>
    </row>
    <row r="16" spans="1:46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v>0.69237309889905496</v>
      </c>
      <c r="H16">
        <f t="shared" si="0"/>
        <v>0.59697510089733863</v>
      </c>
      <c r="I16">
        <f t="shared" si="1"/>
        <v>1.051229211131137</v>
      </c>
      <c r="J16">
        <f t="shared" si="2"/>
        <v>6.4019858957886244</v>
      </c>
      <c r="K16">
        <f t="shared" si="3"/>
        <v>-1.6933825684711801E-2</v>
      </c>
      <c r="L16">
        <f t="shared" si="4"/>
        <v>6.7108064922530666</v>
      </c>
      <c r="M16">
        <f t="shared" si="5"/>
        <v>2.7451503426078627</v>
      </c>
      <c r="N16">
        <f t="shared" si="6"/>
        <v>6.32553460866849</v>
      </c>
      <c r="O16">
        <f t="shared" si="7"/>
        <v>3.0921107869930045</v>
      </c>
      <c r="P16">
        <f t="shared" si="8"/>
        <v>256.15874417995383</v>
      </c>
      <c r="Q16">
        <f t="shared" si="9"/>
        <v>61.210341807616288</v>
      </c>
      <c r="R16">
        <f t="shared" si="10"/>
        <v>288.31294683485055</v>
      </c>
      <c r="S16">
        <f t="shared" si="11"/>
        <v>143.59282686028851</v>
      </c>
      <c r="T16">
        <f t="shared" si="12"/>
        <v>48.244407996108478</v>
      </c>
      <c r="U16">
        <f t="shared" si="13"/>
        <v>288.31294683485055</v>
      </c>
      <c r="V16">
        <f t="shared" si="14"/>
        <v>152.92632940811015</v>
      </c>
      <c r="W16">
        <f t="shared" si="15"/>
        <v>48.244407996108478</v>
      </c>
      <c r="X16">
        <f t="shared" si="16"/>
        <v>288.31294683485055</v>
      </c>
      <c r="Y16">
        <f t="shared" si="17"/>
        <v>149.81516189216964</v>
      </c>
      <c r="Z16">
        <f t="shared" si="18"/>
        <v>45.133240480167927</v>
      </c>
      <c r="AA16">
        <f t="shared" si="19"/>
        <v>282.09061180296948</v>
      </c>
      <c r="AB16">
        <f t="shared" si="20"/>
        <v>146.70399437622905</v>
      </c>
      <c r="AC16">
        <f t="shared" si="21"/>
        <v>48.244407996108478</v>
      </c>
      <c r="AD16">
        <f t="shared" si="22"/>
        <v>8.8482179180859433</v>
      </c>
      <c r="AE16">
        <f t="shared" si="23"/>
        <v>286.8312137856708</v>
      </c>
      <c r="AF16">
        <f t="shared" si="24"/>
        <v>148.13255405623579</v>
      </c>
      <c r="AG16">
        <f t="shared" si="25"/>
        <v>47.522913492917432</v>
      </c>
      <c r="AH16">
        <f t="shared" si="26"/>
        <v>-0.27717425567718657</v>
      </c>
      <c r="AI16">
        <f t="shared" si="27"/>
        <v>84.870288302512904</v>
      </c>
      <c r="AJ16">
        <f t="shared" si="28"/>
        <v>194.36544063271413</v>
      </c>
      <c r="AK16">
        <f t="shared" si="29"/>
        <v>56.253480041637452</v>
      </c>
      <c r="AL16">
        <f t="shared" si="30"/>
        <v>54.367361253689985</v>
      </c>
      <c r="AM16">
        <f t="shared" si="31"/>
        <v>55.310420647663719</v>
      </c>
      <c r="AO16" t="s">
        <v>78</v>
      </c>
      <c r="AP16">
        <f>3*$AP$11*($AP$9-1)-7*$AP$6</f>
        <v>-652.26157288628769</v>
      </c>
    </row>
    <row r="17" spans="1:42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v>0.69183832877526785</v>
      </c>
      <c r="H17">
        <f t="shared" si="0"/>
        <v>0.59651401358890288</v>
      </c>
      <c r="I17">
        <f t="shared" si="1"/>
        <v>1.0536688011389732</v>
      </c>
      <c r="J17">
        <f t="shared" si="2"/>
        <v>6.4168429989363469</v>
      </c>
      <c r="K17">
        <f t="shared" si="3"/>
        <v>-1.7733282999024991E-2</v>
      </c>
      <c r="L17">
        <f t="shared" si="4"/>
        <v>6.731722057632215</v>
      </c>
      <c r="M17">
        <f t="shared" si="5"/>
        <v>2.7462966534227182</v>
      </c>
      <c r="N17">
        <f t="shared" si="6"/>
        <v>6.339107367837725</v>
      </c>
      <c r="O17">
        <f t="shared" si="7"/>
        <v>3.0965621224889559</v>
      </c>
      <c r="P17">
        <f t="shared" si="8"/>
        <v>257.85623003694275</v>
      </c>
      <c r="Q17">
        <f t="shared" si="9"/>
        <v>61.529163074981881</v>
      </c>
      <c r="R17">
        <f t="shared" si="10"/>
        <v>290.78618263034525</v>
      </c>
      <c r="S17">
        <f t="shared" si="11"/>
        <v>144.59772909932991</v>
      </c>
      <c r="T17">
        <f t="shared" si="12"/>
        <v>48.3967623204558</v>
      </c>
      <c r="U17">
        <f t="shared" si="13"/>
        <v>290.78618263034525</v>
      </c>
      <c r="V17">
        <f t="shared" si="14"/>
        <v>154.59545572585543</v>
      </c>
      <c r="W17">
        <f t="shared" si="15"/>
        <v>48.3967623204558</v>
      </c>
      <c r="X17">
        <f t="shared" si="16"/>
        <v>290.78618263034525</v>
      </c>
      <c r="Y17">
        <f t="shared" si="17"/>
        <v>151.26288018368021</v>
      </c>
      <c r="Z17">
        <f t="shared" si="18"/>
        <v>45.064186778280629</v>
      </c>
      <c r="AA17">
        <f t="shared" si="19"/>
        <v>284.12103154599487</v>
      </c>
      <c r="AB17">
        <f t="shared" si="20"/>
        <v>147.93030464150507</v>
      </c>
      <c r="AC17">
        <f t="shared" si="21"/>
        <v>48.3967623204558</v>
      </c>
      <c r="AD17">
        <f t="shared" si="22"/>
        <v>9.3007107493921328</v>
      </c>
      <c r="AE17">
        <f t="shared" si="23"/>
        <v>289.18144747036024</v>
      </c>
      <c r="AF17">
        <f t="shared" si="24"/>
        <v>149.4853834174865</v>
      </c>
      <c r="AG17">
        <f t="shared" si="25"/>
        <v>47.596046926323098</v>
      </c>
      <c r="AH17">
        <f t="shared" si="26"/>
        <v>-0.25512445143532325</v>
      </c>
      <c r="AI17">
        <f t="shared" si="27"/>
        <v>97.311942334706785</v>
      </c>
      <c r="AJ17">
        <f t="shared" si="28"/>
        <v>196.05073810177774</v>
      </c>
      <c r="AK17">
        <f t="shared" si="29"/>
        <v>56.496840966368609</v>
      </c>
      <c r="AL17">
        <f t="shared" si="30"/>
        <v>54.547020010716778</v>
      </c>
      <c r="AM17">
        <f t="shared" si="31"/>
        <v>55.521930488542694</v>
      </c>
    </row>
    <row r="18" spans="1:42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v>0.69125429709280684</v>
      </c>
      <c r="H18">
        <f t="shared" si="0"/>
        <v>0.59601045218087179</v>
      </c>
      <c r="I18">
        <f t="shared" si="1"/>
        <v>1.0563417510277844</v>
      </c>
      <c r="J18">
        <f t="shared" si="2"/>
        <v>6.4331212637592063</v>
      </c>
      <c r="K18">
        <f t="shared" si="3"/>
        <v>-1.8608504685011296E-2</v>
      </c>
      <c r="L18">
        <f t="shared" si="4"/>
        <v>6.7523198717405508</v>
      </c>
      <c r="M18">
        <f t="shared" si="5"/>
        <v>2.7472499176377978</v>
      </c>
      <c r="N18">
        <f t="shared" si="6"/>
        <v>6.3571192628810556</v>
      </c>
      <c r="O18">
        <f t="shared" si="7"/>
        <v>3.1026927429500457</v>
      </c>
      <c r="P18">
        <f t="shared" si="8"/>
        <v>259.98150654769557</v>
      </c>
      <c r="Q18">
        <f t="shared" si="9"/>
        <v>61.929742990381797</v>
      </c>
      <c r="R18">
        <f t="shared" si="10"/>
        <v>293.31059642084728</v>
      </c>
      <c r="S18">
        <f t="shared" si="11"/>
        <v>146.21051293650936</v>
      </c>
      <c r="T18">
        <f t="shared" si="12"/>
        <v>48.553224337305203</v>
      </c>
      <c r="U18">
        <f t="shared" si="13"/>
        <v>293.31059642084728</v>
      </c>
      <c r="V18">
        <f t="shared" si="14"/>
        <v>156.07459178700708</v>
      </c>
      <c r="W18">
        <f t="shared" si="15"/>
        <v>48.553224337305203</v>
      </c>
      <c r="X18">
        <f t="shared" si="16"/>
        <v>293.31059642084728</v>
      </c>
      <c r="Y18">
        <f t="shared" si="17"/>
        <v>152.7865655035078</v>
      </c>
      <c r="Z18">
        <f t="shared" si="18"/>
        <v>45.26519805380596</v>
      </c>
      <c r="AA18">
        <f t="shared" si="19"/>
        <v>286.73454385384878</v>
      </c>
      <c r="AB18">
        <f t="shared" si="20"/>
        <v>149.49853922000858</v>
      </c>
      <c r="AC18">
        <f t="shared" si="21"/>
        <v>48.553224337305203</v>
      </c>
      <c r="AD18">
        <f t="shared" si="22"/>
        <v>9.7997700049076872</v>
      </c>
      <c r="AE18">
        <f t="shared" si="23"/>
        <v>291.76652213751845</v>
      </c>
      <c r="AF18">
        <f t="shared" si="24"/>
        <v>150.97525460013375</v>
      </c>
      <c r="AG18">
        <f t="shared" si="25"/>
        <v>47.673408386942825</v>
      </c>
      <c r="AH18">
        <f t="shared" si="26"/>
        <v>-0.31564113110334091</v>
      </c>
      <c r="AI18">
        <f t="shared" si="27"/>
        <v>94.86217464553026</v>
      </c>
      <c r="AJ18">
        <f t="shared" si="28"/>
        <v>197.90567711259533</v>
      </c>
      <c r="AK18">
        <f t="shared" si="29"/>
        <v>56.762298539642643</v>
      </c>
      <c r="AL18">
        <f t="shared" si="30"/>
        <v>54.74111980785559</v>
      </c>
      <c r="AM18">
        <f t="shared" si="31"/>
        <v>55.75170917374912</v>
      </c>
      <c r="AO18" t="s">
        <v>79</v>
      </c>
      <c r="AP18">
        <f>SUM(AI4:AI25)</f>
        <v>1452.0621619740145</v>
      </c>
    </row>
    <row r="19" spans="1:42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v>0.69328571428571428</v>
      </c>
      <c r="H19">
        <f t="shared" si="0"/>
        <v>0.59776197240259743</v>
      </c>
      <c r="I19">
        <f t="shared" si="1"/>
        <v>1.0470832770179086</v>
      </c>
      <c r="J19">
        <f t="shared" si="2"/>
        <v>6.376737157039063</v>
      </c>
      <c r="K19">
        <f t="shared" si="3"/>
        <v>-1.5573776721581889E-2</v>
      </c>
      <c r="L19">
        <f t="shared" si="4"/>
        <v>6.7987277604700846</v>
      </c>
      <c r="M19">
        <f t="shared" si="5"/>
        <v>2.7487687189505321</v>
      </c>
      <c r="N19">
        <f t="shared" si="6"/>
        <v>6.3968163722130891</v>
      </c>
      <c r="O19">
        <f t="shared" si="7"/>
        <v>3.1197831836198127</v>
      </c>
      <c r="P19">
        <f t="shared" si="8"/>
        <v>260.93136376633134</v>
      </c>
      <c r="Q19">
        <f t="shared" si="9"/>
        <v>62.065083175384238</v>
      </c>
      <c r="R19">
        <f t="shared" si="10"/>
        <v>294.75000323850139</v>
      </c>
      <c r="S19">
        <f t="shared" si="11"/>
        <v>147.66024230689513</v>
      </c>
      <c r="T19">
        <f t="shared" si="12"/>
        <v>48.18090086167561</v>
      </c>
      <c r="U19">
        <f t="shared" si="13"/>
        <v>294.75000323850139</v>
      </c>
      <c r="V19">
        <f t="shared" si="14"/>
        <v>156.73565457402432</v>
      </c>
      <c r="W19">
        <f t="shared" si="15"/>
        <v>48.18090086167561</v>
      </c>
      <c r="X19">
        <f t="shared" si="16"/>
        <v>294.75000323850139</v>
      </c>
      <c r="Y19">
        <f t="shared" si="17"/>
        <v>153.71051715164791</v>
      </c>
      <c r="Z19">
        <f t="shared" si="18"/>
        <v>45.155763439299221</v>
      </c>
      <c r="AA19">
        <f t="shared" si="19"/>
        <v>288.69972839374861</v>
      </c>
      <c r="AB19">
        <f t="shared" si="20"/>
        <v>150.68537972927149</v>
      </c>
      <c r="AC19">
        <f t="shared" si="21"/>
        <v>48.18090086167561</v>
      </c>
      <c r="AD19">
        <f t="shared" si="22"/>
        <v>8.0857824483475778</v>
      </c>
      <c r="AE19">
        <f t="shared" si="23"/>
        <v>282.85717763911163</v>
      </c>
      <c r="AF19">
        <f t="shared" si="24"/>
        <v>145.84872750235942</v>
      </c>
      <c r="AG19">
        <f t="shared" si="25"/>
        <v>47.393153998916283</v>
      </c>
      <c r="AH19">
        <f t="shared" si="26"/>
        <v>-2.5461603201405794</v>
      </c>
      <c r="AI19">
        <f t="shared" si="27"/>
        <v>0</v>
      </c>
      <c r="AJ19">
        <f t="shared" si="28"/>
        <v>191.51821088127681</v>
      </c>
      <c r="AK19">
        <f t="shared" si="29"/>
        <v>55.837582426700216</v>
      </c>
      <c r="AL19">
        <f t="shared" si="30"/>
        <v>54.056648038126944</v>
      </c>
      <c r="AM19">
        <f t="shared" si="31"/>
        <v>54.94711523241358</v>
      </c>
    </row>
    <row r="20" spans="1:42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v>0.6925714285714285</v>
      </c>
      <c r="H20">
        <f t="shared" si="0"/>
        <v>0.59714610389610379</v>
      </c>
      <c r="I20">
        <f t="shared" si="1"/>
        <v>1.0503263573424626</v>
      </c>
      <c r="J20">
        <f t="shared" si="2"/>
        <v>6.396487516215597</v>
      </c>
      <c r="K20">
        <f t="shared" si="3"/>
        <v>-1.6637802394100842E-2</v>
      </c>
      <c r="L20">
        <f t="shared" si="4"/>
        <v>6.811763024880789</v>
      </c>
      <c r="M20">
        <f t="shared" si="5"/>
        <v>2.741588701491056</v>
      </c>
      <c r="N20">
        <f t="shared" si="6"/>
        <v>6.4022352114169472</v>
      </c>
      <c r="O20">
        <f t="shared" si="7"/>
        <v>3.1211612083256832</v>
      </c>
      <c r="P20">
        <f t="shared" si="8"/>
        <v>262.18316864676535</v>
      </c>
      <c r="Q20">
        <f t="shared" si="9"/>
        <v>62.312325267351319</v>
      </c>
      <c r="R20">
        <f t="shared" si="10"/>
        <v>296.79775959233848</v>
      </c>
      <c r="S20">
        <f t="shared" si="11"/>
        <v>148.71992481395242</v>
      </c>
      <c r="T20">
        <f t="shared" si="12"/>
        <v>48.077974180013186</v>
      </c>
      <c r="U20">
        <f t="shared" si="13"/>
        <v>296.79775959233848</v>
      </c>
      <c r="V20">
        <f t="shared" si="14"/>
        <v>157.93875797029773</v>
      </c>
      <c r="W20">
        <f t="shared" si="15"/>
        <v>48.077974180013186</v>
      </c>
      <c r="X20">
        <f t="shared" si="16"/>
        <v>296.79775959233848</v>
      </c>
      <c r="Y20">
        <f t="shared" si="17"/>
        <v>154.86581358484926</v>
      </c>
      <c r="Z20">
        <f t="shared" si="18"/>
        <v>45.005029794564763</v>
      </c>
      <c r="AA20">
        <f t="shared" si="19"/>
        <v>290.65187082144161</v>
      </c>
      <c r="AB20">
        <f t="shared" si="20"/>
        <v>151.79286919940085</v>
      </c>
      <c r="AC20">
        <f t="shared" si="21"/>
        <v>48.077974180013186</v>
      </c>
      <c r="AD20">
        <f t="shared" si="22"/>
        <v>8.6814816620580135</v>
      </c>
      <c r="AE20">
        <f t="shared" si="23"/>
        <v>285.96364436266771</v>
      </c>
      <c r="AF20">
        <f t="shared" si="24"/>
        <v>147.63357721491809</v>
      </c>
      <c r="AG20">
        <f t="shared" si="25"/>
        <v>47.495240812098928</v>
      </c>
      <c r="AH20">
        <f t="shared" si="26"/>
        <v>-2.2517712253751654</v>
      </c>
      <c r="AI20">
        <f t="shared" si="27"/>
        <v>0</v>
      </c>
      <c r="AJ20">
        <f t="shared" si="28"/>
        <v>193.74359959750132</v>
      </c>
      <c r="AK20">
        <f t="shared" si="29"/>
        <v>56.163157916809283</v>
      </c>
      <c r="AL20">
        <f t="shared" si="30"/>
        <v>54.300272758330053</v>
      </c>
      <c r="AM20">
        <f t="shared" si="31"/>
        <v>55.231715337569668</v>
      </c>
    </row>
    <row r="21" spans="1:42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v>0.69185714285714284</v>
      </c>
      <c r="H21">
        <f t="shared" si="0"/>
        <v>0.59653023538961036</v>
      </c>
      <c r="I21">
        <f t="shared" si="1"/>
        <v>1.0535828443534312</v>
      </c>
      <c r="J21">
        <f t="shared" si="2"/>
        <v>6.4163195221123956</v>
      </c>
      <c r="K21">
        <f t="shared" si="3"/>
        <v>-1.7705125325047422E-2</v>
      </c>
      <c r="L21">
        <f t="shared" si="4"/>
        <v>6.8383669559885432</v>
      </c>
      <c r="M21">
        <f t="shared" si="5"/>
        <v>2.7365945581500672</v>
      </c>
      <c r="N21">
        <f t="shared" si="6"/>
        <v>6.4041211209263107</v>
      </c>
      <c r="O21">
        <f t="shared" si="7"/>
        <v>3.1211941465115332</v>
      </c>
      <c r="P21">
        <f t="shared" si="8"/>
        <v>263.15101968492144</v>
      </c>
      <c r="Q21">
        <f t="shared" si="9"/>
        <v>62.506840945215096</v>
      </c>
      <c r="R21">
        <f t="shared" si="10"/>
        <v>300.04803489689095</v>
      </c>
      <c r="S21">
        <f t="shared" si="11"/>
        <v>148.59952278709446</v>
      </c>
      <c r="T21">
        <f t="shared" si="12"/>
        <v>48.051494645921096</v>
      </c>
      <c r="U21">
        <f t="shared" si="13"/>
        <v>300.04803489689095</v>
      </c>
      <c r="V21">
        <f t="shared" si="14"/>
        <v>160.57900670716674</v>
      </c>
      <c r="W21">
        <f t="shared" si="15"/>
        <v>48.051494645921096</v>
      </c>
      <c r="X21">
        <f t="shared" si="16"/>
        <v>300.04803489689095</v>
      </c>
      <c r="Y21">
        <f t="shared" si="17"/>
        <v>156.58584540047599</v>
      </c>
      <c r="Z21">
        <f t="shared" si="18"/>
        <v>44.05833333923033</v>
      </c>
      <c r="AA21">
        <f t="shared" si="19"/>
        <v>292.06171228350945</v>
      </c>
      <c r="AB21">
        <f t="shared" si="20"/>
        <v>152.59268409378524</v>
      </c>
      <c r="AC21">
        <f t="shared" si="21"/>
        <v>48.051494645921096</v>
      </c>
      <c r="AD21">
        <f t="shared" si="22"/>
        <v>9.2847189870639681</v>
      </c>
      <c r="AE21">
        <f t="shared" si="23"/>
        <v>289.09849059598946</v>
      </c>
      <c r="AF21">
        <f t="shared" si="24"/>
        <v>149.43760469718939</v>
      </c>
      <c r="AG21">
        <f t="shared" si="25"/>
        <v>47.593510983914143</v>
      </c>
      <c r="AH21">
        <f t="shared" si="26"/>
        <v>-1.8637554139013464</v>
      </c>
      <c r="AI21">
        <f t="shared" si="27"/>
        <v>0</v>
      </c>
      <c r="AJ21">
        <f t="shared" si="28"/>
        <v>195.99123333012275</v>
      </c>
      <c r="AK21">
        <f t="shared" si="29"/>
        <v>56.488283770108502</v>
      </c>
      <c r="AL21">
        <f t="shared" si="30"/>
        <v>54.540730324660473</v>
      </c>
      <c r="AM21">
        <f t="shared" si="31"/>
        <v>55.514507047384484</v>
      </c>
    </row>
    <row r="22" spans="1:42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v>0.69114285714285706</v>
      </c>
      <c r="H22">
        <f t="shared" si="0"/>
        <v>0.59591436688311683</v>
      </c>
      <c r="I22">
        <f t="shared" si="1"/>
        <v>1.0568528074004548</v>
      </c>
      <c r="J22">
        <f t="shared" si="2"/>
        <v>6.4362335970687701</v>
      </c>
      <c r="K22">
        <f t="shared" si="3"/>
        <v>-1.87757591521307E-2</v>
      </c>
      <c r="L22">
        <f t="shared" si="4"/>
        <v>6.8516234887382037</v>
      </c>
      <c r="M22">
        <f t="shared" si="5"/>
        <v>2.7359336092850102</v>
      </c>
      <c r="N22">
        <f t="shared" si="6"/>
        <v>6.4126842031252895</v>
      </c>
      <c r="O22">
        <f t="shared" si="7"/>
        <v>3.1237648939620182</v>
      </c>
      <c r="P22">
        <f t="shared" si="8"/>
        <v>264.67413638231147</v>
      </c>
      <c r="Q22">
        <f t="shared" si="9"/>
        <v>62.8041695961549</v>
      </c>
      <c r="R22">
        <f t="shared" si="10"/>
        <v>302.14734131537085</v>
      </c>
      <c r="S22">
        <f t="shared" si="11"/>
        <v>149.58283411226631</v>
      </c>
      <c r="T22">
        <f t="shared" si="12"/>
        <v>48.177349901757744</v>
      </c>
      <c r="U22">
        <f t="shared" si="13"/>
        <v>302.14734131537085</v>
      </c>
      <c r="V22">
        <f t="shared" si="14"/>
        <v>161.9121824286639</v>
      </c>
      <c r="W22">
        <f t="shared" si="15"/>
        <v>48.177349901757744</v>
      </c>
      <c r="X22">
        <f t="shared" si="16"/>
        <v>302.14734131537085</v>
      </c>
      <c r="Y22">
        <f t="shared" si="17"/>
        <v>157.80239965653138</v>
      </c>
      <c r="Z22">
        <f t="shared" si="18"/>
        <v>44.067567129625218</v>
      </c>
      <c r="AA22">
        <f t="shared" si="19"/>
        <v>293.92777577110581</v>
      </c>
      <c r="AB22">
        <f t="shared" si="20"/>
        <v>153.69261688439883</v>
      </c>
      <c r="AC22">
        <f t="shared" si="21"/>
        <v>48.177349901757744</v>
      </c>
      <c r="AD22">
        <f t="shared" si="22"/>
        <v>9.8955792804350473</v>
      </c>
      <c r="AE22">
        <f t="shared" si="23"/>
        <v>292.26197106459506</v>
      </c>
      <c r="AF22">
        <f t="shared" si="24"/>
        <v>151.26102196768372</v>
      </c>
      <c r="AG22">
        <f t="shared" si="25"/>
        <v>47.687867994072505</v>
      </c>
      <c r="AH22">
        <f t="shared" si="26"/>
        <v>-1.6402938448881486</v>
      </c>
      <c r="AI22">
        <f t="shared" si="27"/>
        <v>0</v>
      </c>
      <c r="AJ22">
        <f t="shared" si="28"/>
        <v>198.26133833332082</v>
      </c>
      <c r="AK22">
        <f t="shared" si="29"/>
        <v>56.812910615825764</v>
      </c>
      <c r="AL22">
        <f t="shared" si="30"/>
        <v>54.777900835000402</v>
      </c>
      <c r="AM22">
        <f t="shared" si="31"/>
        <v>55.795405725413083</v>
      </c>
    </row>
    <row r="23" spans="1:42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v>0.69042857142857139</v>
      </c>
      <c r="H23">
        <f t="shared" si="0"/>
        <v>0.5952984983766233</v>
      </c>
      <c r="I23">
        <f t="shared" si="1"/>
        <v>1.0601363162640909</v>
      </c>
      <c r="J23">
        <f t="shared" si="2"/>
        <v>6.4562301660483135</v>
      </c>
      <c r="K23">
        <f t="shared" si="3"/>
        <v>-1.9849717583639515E-2</v>
      </c>
      <c r="L23">
        <f t="shared" si="4"/>
        <v>6.8717917578672836</v>
      </c>
      <c r="M23">
        <f t="shared" si="5"/>
        <v>2.7298641601395173</v>
      </c>
      <c r="N23">
        <f t="shared" si="6"/>
        <v>6.4263842022349333</v>
      </c>
      <c r="O23">
        <f t="shared" si="7"/>
        <v>3.1281403488540591</v>
      </c>
      <c r="P23">
        <f t="shared" si="8"/>
        <v>266.63206572625973</v>
      </c>
      <c r="Q23">
        <f t="shared" si="9"/>
        <v>63.175903979079443</v>
      </c>
      <c r="R23">
        <f t="shared" si="10"/>
        <v>304.87301458741479</v>
      </c>
      <c r="S23">
        <f t="shared" si="11"/>
        <v>151.28589243471509</v>
      </c>
      <c r="T23">
        <f t="shared" si="12"/>
        <v>48.11284943048355</v>
      </c>
      <c r="U23">
        <f t="shared" si="13"/>
        <v>304.87301458741479</v>
      </c>
      <c r="V23">
        <f t="shared" si="14"/>
        <v>163.45815208066</v>
      </c>
      <c r="W23">
        <f t="shared" si="15"/>
        <v>48.11284943048355</v>
      </c>
      <c r="X23">
        <f t="shared" si="16"/>
        <v>304.87301458741479</v>
      </c>
      <c r="Y23">
        <f t="shared" si="17"/>
        <v>159.40073219867838</v>
      </c>
      <c r="Z23">
        <f t="shared" si="18"/>
        <v>44.055429548501905</v>
      </c>
      <c r="AA23">
        <f t="shared" si="19"/>
        <v>296.7581748234515</v>
      </c>
      <c r="AB23">
        <f t="shared" si="20"/>
        <v>155.34331231669674</v>
      </c>
      <c r="AC23">
        <f t="shared" si="21"/>
        <v>48.11284943048355</v>
      </c>
      <c r="AD23">
        <f t="shared" si="22"/>
        <v>10.514148368091163</v>
      </c>
      <c r="AE23">
        <f t="shared" si="23"/>
        <v>295.45434278891952</v>
      </c>
      <c r="AF23">
        <f t="shared" si="24"/>
        <v>153.10404354560916</v>
      </c>
      <c r="AG23">
        <f t="shared" si="25"/>
        <v>47.778213546396564</v>
      </c>
      <c r="AH23">
        <f t="shared" si="26"/>
        <v>-1.5382563897091881</v>
      </c>
      <c r="AI23">
        <f t="shared" si="27"/>
        <v>0</v>
      </c>
      <c r="AJ23">
        <f t="shared" si="28"/>
        <v>200.55414329337927</v>
      </c>
      <c r="AK23">
        <f t="shared" si="29"/>
        <v>57.136987976500016</v>
      </c>
      <c r="AL23">
        <f t="shared" si="30"/>
        <v>55.011661348349669</v>
      </c>
      <c r="AM23">
        <f t="shared" si="31"/>
        <v>56.074324662424843</v>
      </c>
    </row>
    <row r="24" spans="1:42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v>0.68971428571428572</v>
      </c>
      <c r="H24">
        <f t="shared" si="0"/>
        <v>0.59468262987012988</v>
      </c>
      <c r="I24">
        <f t="shared" si="1"/>
        <v>1.0634334411589481</v>
      </c>
      <c r="J24">
        <f t="shared" si="2"/>
        <v>6.4763096566579934</v>
      </c>
      <c r="K24">
        <f t="shared" si="3"/>
        <v>-2.0927014398884114E-2</v>
      </c>
      <c r="L24">
        <f t="shared" si="4"/>
        <v>6.88524102758665</v>
      </c>
      <c r="M24">
        <f t="shared" si="5"/>
        <v>2.7205858638129383</v>
      </c>
      <c r="N24">
        <f t="shared" si="6"/>
        <v>6.4301195190031191</v>
      </c>
      <c r="O24">
        <f t="shared" si="7"/>
        <v>3.1286544950355637</v>
      </c>
      <c r="P24">
        <f t="shared" si="8"/>
        <v>267.77232939714412</v>
      </c>
      <c r="Q24">
        <f t="shared" si="9"/>
        <v>63.393220743385484</v>
      </c>
      <c r="R24">
        <f t="shared" si="10"/>
        <v>307.01945874754944</v>
      </c>
      <c r="S24">
        <f t="shared" si="11"/>
        <v>152.27882026658881</v>
      </c>
      <c r="T24">
        <f t="shared" si="12"/>
        <v>47.934972227676305</v>
      </c>
      <c r="U24">
        <f t="shared" si="13"/>
        <v>307.01945874754944</v>
      </c>
      <c r="V24">
        <f t="shared" si="14"/>
        <v>164.77476874506931</v>
      </c>
      <c r="W24">
        <f t="shared" si="15"/>
        <v>47.934972227676305</v>
      </c>
      <c r="X24">
        <f t="shared" si="16"/>
        <v>307.01945874754944</v>
      </c>
      <c r="Y24">
        <f t="shared" si="17"/>
        <v>160.60945258557581</v>
      </c>
      <c r="Z24">
        <f t="shared" si="18"/>
        <v>43.769656068182826</v>
      </c>
      <c r="AA24">
        <f t="shared" si="19"/>
        <v>298.68882642856249</v>
      </c>
      <c r="AB24">
        <f t="shared" si="20"/>
        <v>156.44413642608234</v>
      </c>
      <c r="AC24">
        <f t="shared" si="21"/>
        <v>47.934972227676305</v>
      </c>
      <c r="AD24">
        <f t="shared" si="22"/>
        <v>11.140513056411139</v>
      </c>
      <c r="AE24">
        <f t="shared" si="23"/>
        <v>298.6758651044986</v>
      </c>
      <c r="AF24">
        <f t="shared" si="24"/>
        <v>154.96688648263788</v>
      </c>
      <c r="AG24">
        <f t="shared" si="25"/>
        <v>47.864447538294741</v>
      </c>
      <c r="AH24">
        <f t="shared" si="26"/>
        <v>-1.170157517627791</v>
      </c>
      <c r="AI24">
        <f t="shared" si="27"/>
        <v>0</v>
      </c>
      <c r="AJ24">
        <f t="shared" si="28"/>
        <v>202.86987935659144</v>
      </c>
      <c r="AK24">
        <f t="shared" si="29"/>
        <v>57.460464247348987</v>
      </c>
      <c r="AL24">
        <f t="shared" si="30"/>
        <v>55.241885807367957</v>
      </c>
      <c r="AM24">
        <f t="shared" si="31"/>
        <v>56.351175027358472</v>
      </c>
    </row>
    <row r="25" spans="1:42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v>0.68899999999999995</v>
      </c>
      <c r="H25">
        <f t="shared" si="0"/>
        <v>0.59406676136363634</v>
      </c>
      <c r="I25">
        <f t="shared" si="1"/>
        <v>1.0667442527368352</v>
      </c>
      <c r="J25">
        <f t="shared" si="2"/>
        <v>6.4964724991673259</v>
      </c>
      <c r="K25">
        <f t="shared" si="3"/>
        <v>-2.2007663448636028E-2</v>
      </c>
      <c r="L25">
        <f t="shared" si="4"/>
        <v>6.8987710956513242</v>
      </c>
      <c r="M25">
        <f t="shared" si="5"/>
        <v>2.718840805524612</v>
      </c>
      <c r="N25">
        <f t="shared" si="6"/>
        <v>6.4305328911749555</v>
      </c>
      <c r="O25">
        <f t="shared" si="7"/>
        <v>3.1278956740945363</v>
      </c>
      <c r="P25">
        <f t="shared" si="8"/>
        <v>268.64052787506603</v>
      </c>
      <c r="Q25">
        <f t="shared" si="9"/>
        <v>63.559741641648742</v>
      </c>
      <c r="R25">
        <f t="shared" si="10"/>
        <v>309.18689259875458</v>
      </c>
      <c r="S25">
        <f t="shared" si="11"/>
        <v>152.3222575228412</v>
      </c>
      <c r="T25">
        <f t="shared" si="12"/>
        <v>48.022543995190276</v>
      </c>
      <c r="U25">
        <f t="shared" si="13"/>
        <v>309.18689259875458</v>
      </c>
      <c r="V25">
        <f t="shared" si="14"/>
        <v>166.53021166899865</v>
      </c>
      <c r="W25">
        <f t="shared" si="15"/>
        <v>48.022543995190276</v>
      </c>
      <c r="X25">
        <f t="shared" si="16"/>
        <v>309.18689259875458</v>
      </c>
      <c r="Y25">
        <f t="shared" si="17"/>
        <v>161.79422695361282</v>
      </c>
      <c r="Z25">
        <f t="shared" si="18"/>
        <v>43.286559279804464</v>
      </c>
      <c r="AA25">
        <f t="shared" si="19"/>
        <v>299.71492316798299</v>
      </c>
      <c r="AB25">
        <f t="shared" si="20"/>
        <v>157.05824223822702</v>
      </c>
      <c r="AC25">
        <f t="shared" si="21"/>
        <v>48.022543995190276</v>
      </c>
      <c r="AD25">
        <f t="shared" si="22"/>
        <v>11.774761143985884</v>
      </c>
      <c r="AE25">
        <f t="shared" si="23"/>
        <v>301.92679968229282</v>
      </c>
      <c r="AF25">
        <f t="shared" si="24"/>
        <v>156.84977039509857</v>
      </c>
      <c r="AG25">
        <f t="shared" si="25"/>
        <v>47.946468029710758</v>
      </c>
      <c r="AH25">
        <f t="shared" si="26"/>
        <v>-0.70808664087876494</v>
      </c>
      <c r="AI25">
        <f t="shared" si="27"/>
        <v>0</v>
      </c>
      <c r="AJ25">
        <f t="shared" si="28"/>
        <v>205.20878015749668</v>
      </c>
      <c r="AK25">
        <f t="shared" si="29"/>
        <v>57.783286675265302</v>
      </c>
      <c r="AL25">
        <f t="shared" si="30"/>
        <v>55.468444958658061</v>
      </c>
      <c r="AM25">
        <f t="shared" si="31"/>
        <v>56.625865816961678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5133-C2CC-45DF-B1AD-B7A7479904E6}">
  <dimension ref="A3:DA25"/>
  <sheetViews>
    <sheetView workbookViewId="0"/>
  </sheetViews>
  <sheetFormatPr defaultRowHeight="15" x14ac:dyDescent="0.25"/>
  <sheetData>
    <row r="3" spans="1:105" x14ac:dyDescent="0.25">
      <c r="A3" t="s">
        <v>1</v>
      </c>
      <c r="B3" t="s">
        <v>37</v>
      </c>
      <c r="C3" t="s">
        <v>29</v>
      </c>
      <c r="D3" t="s">
        <v>30</v>
      </c>
      <c r="E3" t="s">
        <v>38</v>
      </c>
      <c r="F3" t="s">
        <v>39</v>
      </c>
      <c r="G3" t="s">
        <v>85</v>
      </c>
      <c r="H3" t="s">
        <v>86</v>
      </c>
      <c r="I3" t="s">
        <v>87</v>
      </c>
      <c r="J3" t="s">
        <v>88</v>
      </c>
      <c r="K3" t="s">
        <v>110</v>
      </c>
      <c r="L3" t="s">
        <v>90</v>
      </c>
      <c r="M3" t="s">
        <v>91</v>
      </c>
      <c r="N3" t="s">
        <v>111</v>
      </c>
      <c r="O3" t="s">
        <v>93</v>
      </c>
      <c r="P3" t="s">
        <v>41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112</v>
      </c>
      <c r="Z3" t="s">
        <v>113</v>
      </c>
      <c r="AA3" t="s">
        <v>114</v>
      </c>
      <c r="AB3" t="s">
        <v>54</v>
      </c>
      <c r="AC3" t="s">
        <v>115</v>
      </c>
      <c r="AD3" t="s">
        <v>116</v>
      </c>
      <c r="AE3" t="s">
        <v>117</v>
      </c>
      <c r="AF3" t="s">
        <v>118</v>
      </c>
      <c r="AG3" t="s">
        <v>119</v>
      </c>
      <c r="AH3" t="s">
        <v>90</v>
      </c>
      <c r="AI3" t="s">
        <v>91</v>
      </c>
      <c r="AJ3" t="s">
        <v>111</v>
      </c>
      <c r="AK3" t="s">
        <v>93</v>
      </c>
      <c r="AL3" t="s">
        <v>41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112</v>
      </c>
      <c r="AV3" t="s">
        <v>113</v>
      </c>
      <c r="AW3" t="s">
        <v>114</v>
      </c>
      <c r="AX3" t="s">
        <v>54</v>
      </c>
      <c r="AY3" t="s">
        <v>115</v>
      </c>
      <c r="AZ3" t="s">
        <v>116</v>
      </c>
      <c r="BA3" t="s">
        <v>117</v>
      </c>
      <c r="BB3" t="s">
        <v>118</v>
      </c>
      <c r="BC3" t="s">
        <v>120</v>
      </c>
      <c r="BD3" t="s">
        <v>90</v>
      </c>
      <c r="BE3" t="s">
        <v>91</v>
      </c>
      <c r="BF3" t="s">
        <v>111</v>
      </c>
      <c r="BG3" t="s">
        <v>93</v>
      </c>
      <c r="BH3" t="s">
        <v>41</v>
      </c>
      <c r="BI3" t="s">
        <v>43</v>
      </c>
      <c r="BJ3" t="s">
        <v>44</v>
      </c>
      <c r="BK3" t="s">
        <v>45</v>
      </c>
      <c r="BL3" t="s">
        <v>46</v>
      </c>
      <c r="BM3" t="s">
        <v>47</v>
      </c>
      <c r="BN3" t="s">
        <v>48</v>
      </c>
      <c r="BO3" t="s">
        <v>49</v>
      </c>
      <c r="BP3" t="s">
        <v>50</v>
      </c>
      <c r="BQ3" t="s">
        <v>112</v>
      </c>
      <c r="BR3" t="s">
        <v>113</v>
      </c>
      <c r="BS3" t="s">
        <v>114</v>
      </c>
      <c r="BT3" t="s">
        <v>54</v>
      </c>
      <c r="BU3" t="s">
        <v>115</v>
      </c>
      <c r="BV3" t="s">
        <v>116</v>
      </c>
      <c r="BW3" t="s">
        <v>117</v>
      </c>
      <c r="BX3" t="s">
        <v>118</v>
      </c>
      <c r="BY3" t="s">
        <v>121</v>
      </c>
      <c r="BZ3" t="s">
        <v>90</v>
      </c>
      <c r="CA3" t="s">
        <v>91</v>
      </c>
      <c r="CB3" t="s">
        <v>111</v>
      </c>
      <c r="CC3" t="s">
        <v>93</v>
      </c>
      <c r="CD3" t="s">
        <v>41</v>
      </c>
      <c r="CE3" t="s">
        <v>43</v>
      </c>
      <c r="CF3" t="s">
        <v>44</v>
      </c>
      <c r="CG3" t="s">
        <v>45</v>
      </c>
      <c r="CH3" t="s">
        <v>46</v>
      </c>
      <c r="CI3" t="s">
        <v>47</v>
      </c>
      <c r="CJ3" t="s">
        <v>48</v>
      </c>
      <c r="CK3" t="s">
        <v>49</v>
      </c>
      <c r="CL3" t="s">
        <v>50</v>
      </c>
      <c r="CM3" t="s">
        <v>112</v>
      </c>
      <c r="CN3" t="s">
        <v>113</v>
      </c>
      <c r="CO3" t="s">
        <v>114</v>
      </c>
      <c r="CP3" t="s">
        <v>54</v>
      </c>
      <c r="CQ3" t="s">
        <v>115</v>
      </c>
      <c r="CR3" t="s">
        <v>116</v>
      </c>
      <c r="CS3" t="s">
        <v>117</v>
      </c>
      <c r="CT3" t="s">
        <v>118</v>
      </c>
      <c r="CW3" t="s">
        <v>122</v>
      </c>
      <c r="CZ3" t="s">
        <v>80</v>
      </c>
    </row>
    <row r="4" spans="1:105" x14ac:dyDescent="0.25">
      <c r="A4">
        <f>Align!A4</f>
        <v>0</v>
      </c>
      <c r="B4">
        <f>Align!B4</f>
        <v>0</v>
      </c>
      <c r="C4">
        <f>Align!C4</f>
        <v>0.229199934662983</v>
      </c>
      <c r="D4">
        <f>Align!D4</f>
        <v>0.51092691729323303</v>
      </c>
      <c r="E4">
        <f>Align!F4</f>
        <v>0.20385318129850316</v>
      </c>
      <c r="F4">
        <f>Align!G4</f>
        <v>0.41892602269188728</v>
      </c>
      <c r="G4">
        <f t="shared" ref="G4:G25" si="0">2*Lfin_100/C4</f>
        <v>6.1431082084309132</v>
      </c>
      <c r="H4">
        <f t="shared" ref="H4:H25" si="1">2*Lfin_100/D4</f>
        <v>2.7557757329741848</v>
      </c>
      <c r="I4">
        <f t="shared" ref="I4:I25" si="2">2*Lfin_111/E4</f>
        <v>5.9552663945054363</v>
      </c>
      <c r="J4">
        <f t="shared" ref="J4:J25" si="3">2*Lfin_111/F4</f>
        <v>2.8978863432718183</v>
      </c>
      <c r="K4">
        <f t="shared" ref="K4:K25" si="4">I4^2-(4/3)*H4^2</f>
        <v>25.339464642259905</v>
      </c>
      <c r="L4">
        <f t="shared" ref="L4:L25" si="5">4*Lfin_100^2/K4</f>
        <v>7.8236222745359213E-2</v>
      </c>
      <c r="M4">
        <v>0</v>
      </c>
      <c r="N4">
        <v>0</v>
      </c>
      <c r="O4">
        <f t="shared" ref="O4:O25" si="6">Lfin_100/(1+N4*scal_100)</f>
        <v>0.70399999999999996</v>
      </c>
      <c r="P4">
        <f t="shared" ref="P4:P25" si="7">O4*Lfin_111/Lfin_100</f>
        <v>0.60699999999999998</v>
      </c>
      <c r="Q4">
        <f t="shared" ref="Q4:Q25" si="8">rho_100*(Lfin_100/O4)^3</f>
        <v>6.09</v>
      </c>
      <c r="R4">
        <f t="shared" ref="R4:R25" si="9">0.5*(1-(Lfin_100/O4)^2)</f>
        <v>0</v>
      </c>
      <c r="S4">
        <f t="shared" ref="S4:S25" si="10">2*O4/C4</f>
        <v>6.1431082084309132</v>
      </c>
      <c r="T4">
        <f t="shared" ref="T4:T25" si="11">2*O4/D4</f>
        <v>2.7557757329741848</v>
      </c>
      <c r="U4">
        <f t="shared" ref="U4:U25" si="12">2*P4/E4</f>
        <v>5.9552663945054363</v>
      </c>
      <c r="V4">
        <f t="shared" ref="V4:V25" si="13">2*P4/F4</f>
        <v>2.8978863432718183</v>
      </c>
      <c r="W4">
        <f t="shared" ref="W4:W25" si="14">Q4*U4^2</f>
        <v>215.98305478181197</v>
      </c>
      <c r="X4">
        <f t="shared" ref="X4:X25" si="15">Q4*V4^2</f>
        <v>51.142268624394774</v>
      </c>
      <c r="Y4">
        <f t="shared" ref="Y4:Y25" si="16">Q4*S4^2</f>
        <v>229.82307082439178</v>
      </c>
      <c r="Z4">
        <f t="shared" ref="Z4:Z25" si="17">1.5*W4-0.5*Y4-2*AA4</f>
        <v>116.56447409484835</v>
      </c>
      <c r="AA4">
        <f t="shared" ref="AA4:AA25" si="18">Q4*T4^2</f>
        <v>46.249286332836874</v>
      </c>
      <c r="AB4">
        <f t="shared" ref="AB4:AB25" si="19">-3*_xlfn.SINGLE(gK0)*((1-2*R4)^2.5)*(1+1.5*(4-_xlfn.SINGLE(gK0p))*R4)*R4</f>
        <v>0</v>
      </c>
      <c r="AC4">
        <f t="shared" ref="AC4:AC25" si="20">((1-2*R4)^3.5)*(_xlfn.SINGLE(gC11_0)-_xlfn.SINGLE(gC11a)*R4)+3*AB4</f>
        <v>238.85608244795318</v>
      </c>
      <c r="AD4">
        <f t="shared" ref="AD4:AD25" si="21">((1-2*R4)^3.5)*(_xlfn.SINGLE(gC12_0)-_xlfn.SINGLE(gC12a)*R4)+1*AB4</f>
        <v>121.75226559311153</v>
      </c>
      <c r="AE4">
        <f t="shared" ref="AE4:AE25" si="22">((1-2*R4)^3.5)*(_xlfn.SINGLE(gC44_0)-_xlfn.SINGLE(gC44a)*R4)+1*AB4</f>
        <v>45.196512663027143</v>
      </c>
      <c r="AF4">
        <f t="shared" ref="AF4:AF25" si="23">IF(AND(A4&gt;=CutoffLowBar,A4&lt;=CutoffOilBar),(AB4-B4)^2+(AC4-Y4)^2+(AD4-Z4)^2+(AE4-AA4)^2,0)</f>
        <v>0</v>
      </c>
      <c r="AG4">
        <f t="shared" ref="AG4:AG25" si="24">G4^2+(2/3)*H4^2-2*J4^2</f>
        <v>26.005154537081584</v>
      </c>
      <c r="AH4">
        <f t="shared" ref="AH4:AH25" si="25">4*Lfin_100^2/AG4</f>
        <v>7.6233501984121682E-2</v>
      </c>
      <c r="AI4">
        <v>0</v>
      </c>
      <c r="AJ4">
        <v>0</v>
      </c>
      <c r="AK4">
        <f t="shared" ref="AK4:AK25" si="26">Lfin_100/(1+AJ4*scal_100)</f>
        <v>0.70399999999999996</v>
      </c>
      <c r="AL4">
        <f t="shared" ref="AL4:AL25" si="27">AK4*Lfin_111/Lfin_100</f>
        <v>0.60699999999999998</v>
      </c>
      <c r="AM4">
        <f t="shared" ref="AM4:AM25" si="28">rho_100*(Lfin_100/AK4)^3</f>
        <v>6.09</v>
      </c>
      <c r="AN4">
        <f t="shared" ref="AN4:AN25" si="29">0.5*(1-(Lfin_100/AK4)^2)</f>
        <v>0</v>
      </c>
      <c r="AO4">
        <f t="shared" ref="AO4:AO25" si="30">2*AK4/C4</f>
        <v>6.1431082084309132</v>
      </c>
      <c r="AP4">
        <f t="shared" ref="AP4:AP25" si="31">2*AK4/D4</f>
        <v>2.7557757329741848</v>
      </c>
      <c r="AQ4">
        <f t="shared" ref="AQ4:AQ25" si="32">2*AL4/E4</f>
        <v>5.9552663945054363</v>
      </c>
      <c r="AR4">
        <f t="shared" ref="AR4:AR25" si="33">2*AL4/F4</f>
        <v>2.8978863432718183</v>
      </c>
      <c r="AS4">
        <f t="shared" ref="AS4:AS25" si="34">AM4*AQ4^2</f>
        <v>215.98305478181197</v>
      </c>
      <c r="AT4">
        <f t="shared" ref="AT4:AT25" si="35">AM4*AR4^2</f>
        <v>51.142268624394774</v>
      </c>
      <c r="AU4">
        <f t="shared" ref="AU4:AU25" si="36">AM4*AO4^2</f>
        <v>229.82307082439178</v>
      </c>
      <c r="AV4">
        <f t="shared" ref="AV4:AV25" si="37">AU4+AW4-3*AT4</f>
        <v>122.64555128404436</v>
      </c>
      <c r="AW4">
        <f t="shared" ref="AW4:AW25" si="38">AM4*AP4^2</f>
        <v>46.249286332836874</v>
      </c>
      <c r="AX4">
        <f t="shared" ref="AX4:AX25" si="39">-3*_xlfn.SINGLE(gK0)*((1-2*AN4)^2.5)*(1+1.5*(4-_xlfn.SINGLE(gK0p))*AN4)*AN4</f>
        <v>0</v>
      </c>
      <c r="AY4">
        <f t="shared" ref="AY4:AY25" si="40">((1-2*AN4)^3.5)*(_xlfn.SINGLE(gC11_0)-_xlfn.SINGLE(gC11a)*AN4)+3*AX4</f>
        <v>238.85608244795318</v>
      </c>
      <c r="AZ4">
        <f t="shared" ref="AZ4:AZ25" si="41">((1-2*AN4)^3.5)*(_xlfn.SINGLE(gC12_0)-_xlfn.SINGLE(gC12a)*AN4)+1*AX4</f>
        <v>121.75226559311153</v>
      </c>
      <c r="BA4">
        <f t="shared" ref="BA4:BA25" si="42">((1-2*AN4)^3.5)*(_xlfn.SINGLE(gC44_0)-_xlfn.SINGLE(gC44a)*AN4)+1*AX4</f>
        <v>45.196512663027143</v>
      </c>
      <c r="BB4">
        <f t="shared" ref="BB4:BB25" si="43">IF(AND(A4&gt;=CutoffLowBar,A4&lt;=CutoffOilBar),(AX4-B4)^2+(AY4-AU4)^2+(AZ4-AV4)^2+(BA4-AW4)^2,0)</f>
        <v>0</v>
      </c>
      <c r="BC4">
        <f t="shared" ref="BC4:BC25" si="44">(1/3)*I4^2-(4/3)*J4^2+(2/3)*G4^2</f>
        <v>25.78325790547435</v>
      </c>
      <c r="BD4">
        <f t="shared" ref="BD4:BD25" si="45">4*Lfin_100^2/BC4</f>
        <v>7.6889584988368717E-2</v>
      </c>
      <c r="BE4">
        <v>0</v>
      </c>
      <c r="BF4">
        <v>0</v>
      </c>
      <c r="BG4">
        <f t="shared" ref="BG4:BG25" si="46">Lfin_100/(1+BF4*scal_100)</f>
        <v>0.70399999999999996</v>
      </c>
      <c r="BH4">
        <f t="shared" ref="BH4:BH25" si="47">BG4*Lfin_111/Lfin_100</f>
        <v>0.60699999999999998</v>
      </c>
      <c r="BI4">
        <f t="shared" ref="BI4:BI25" si="48">rho_100*(Lfin_100/BG4)^3</f>
        <v>6.09</v>
      </c>
      <c r="BJ4">
        <f t="shared" ref="BJ4:BJ25" si="49">0.5*(1-(Lfin_100/BG4)^2)</f>
        <v>0</v>
      </c>
      <c r="BK4">
        <f t="shared" ref="BK4:BK25" si="50">2*BG4/C4</f>
        <v>6.1431082084309132</v>
      </c>
      <c r="BL4">
        <f t="shared" ref="BL4:BL25" si="51">2*BG4/D4</f>
        <v>2.7557757329741848</v>
      </c>
      <c r="BM4">
        <f t="shared" ref="BM4:BM25" si="52">2*BH4/E4</f>
        <v>5.9552663945054363</v>
      </c>
      <c r="BN4">
        <f t="shared" ref="BN4:BN25" si="53">2*BH4/F4</f>
        <v>2.8978863432718183</v>
      </c>
      <c r="BO4">
        <f t="shared" ref="BO4:BO25" si="54">BI4*BM4^2</f>
        <v>215.98305478181197</v>
      </c>
      <c r="BP4">
        <f t="shared" ref="BP4:BP25" si="55">BI4*BN4^2</f>
        <v>51.142268624394774</v>
      </c>
      <c r="BQ4">
        <f t="shared" ref="BQ4:BQ25" si="56">BI4*BK4^2</f>
        <v>229.82307082439178</v>
      </c>
      <c r="BR4">
        <f t="shared" ref="BR4:BR25" si="57">BQ4+BS4-3*BP4</f>
        <v>120.61852555431233</v>
      </c>
      <c r="BS4">
        <f t="shared" ref="BS4:BS25" si="58">BP4+0.5*BO4-0.5*BQ4</f>
        <v>44.222260603104871</v>
      </c>
      <c r="BT4">
        <f t="shared" ref="BT4:BT25" si="59">-3*_xlfn.SINGLE(gK0)*((1-2*BJ4)^2.5)*(1+1.5*(4-_xlfn.SINGLE(gK0p))*BJ4)*BJ4</f>
        <v>0</v>
      </c>
      <c r="BU4">
        <f t="shared" ref="BU4:BU25" si="60">((1-2*BJ4)^3.5)*(_xlfn.SINGLE(gC11_0)-_xlfn.SINGLE(gC11a)*BJ4)+3*BT4</f>
        <v>238.85608244795318</v>
      </c>
      <c r="BV4">
        <f t="shared" ref="BV4:BV25" si="61">((1-2*BJ4)^3.5)*(_xlfn.SINGLE(gC12_0)-_xlfn.SINGLE(gC12a)*BJ4)+1*BT4</f>
        <v>121.75226559311153</v>
      </c>
      <c r="BW4">
        <f t="shared" ref="BW4:BW25" si="62">((1-2*BJ4)^3.5)*(_xlfn.SINGLE(gC44_0)-_xlfn.SINGLE(gC44a)*BJ4)+1*BT4</f>
        <v>45.196512663027143</v>
      </c>
      <c r="BX4">
        <f t="shared" ref="BX4:BX25" si="63">IF(AND(A4&gt;=CutoffLowBar,A4&lt;=CutoffOilBar),(BT4-B4)^2+(BU4-BQ4)^2+(BV4-BR4)^2+(BW4-BS4)^2,0)</f>
        <v>0</v>
      </c>
      <c r="BY4">
        <f t="shared" ref="BY4:BY25" si="64">I4^2-(4/3)*H4^2</f>
        <v>25.339464642259905</v>
      </c>
      <c r="BZ4">
        <f t="shared" ref="BZ4:BZ25" si="65">4*Lfin_100^2/BY4</f>
        <v>7.8236222745359213E-2</v>
      </c>
      <c r="CA4">
        <v>0</v>
      </c>
      <c r="CB4">
        <v>0</v>
      </c>
      <c r="CC4">
        <f t="shared" ref="CC4:CC25" si="66">Lfin_100/(1+CB4*scal_100)</f>
        <v>0.70399999999999996</v>
      </c>
      <c r="CD4">
        <f t="shared" ref="CD4:CD25" si="67">CC4*Lfin_111/Lfin_100</f>
        <v>0.60699999999999998</v>
      </c>
      <c r="CE4">
        <f t="shared" ref="CE4:CE25" si="68">rho_100*(Lfin_100/CC4)^3</f>
        <v>6.09</v>
      </c>
      <c r="CF4">
        <f t="shared" ref="CF4:CF25" si="69">0.5*(1-(Lfin_100/CC4)^2)</f>
        <v>0</v>
      </c>
      <c r="CG4">
        <f t="shared" ref="CG4:CG25" si="70">2*CC4/C4</f>
        <v>6.1431082084309132</v>
      </c>
      <c r="CH4">
        <f t="shared" ref="CH4:CH25" si="71">2*CC4/D4</f>
        <v>2.7557757329741848</v>
      </c>
      <c r="CI4">
        <f t="shared" ref="CI4:CI25" si="72">2*CD4/E4</f>
        <v>5.9552663945054363</v>
      </c>
      <c r="CJ4">
        <f t="shared" ref="CJ4:CJ25" si="73">2*CD4/F4</f>
        <v>2.8978863432718183</v>
      </c>
      <c r="CK4">
        <f t="shared" ref="CK4:CK25" si="74">CE4*CI4^2</f>
        <v>215.98305478181197</v>
      </c>
      <c r="CL4">
        <f t="shared" ref="CL4:CL25" si="75">CE4*CJ4^2</f>
        <v>51.142268624394774</v>
      </c>
      <c r="CM4">
        <f t="shared" ref="CM4:CM25" si="76">3*CL4+CN4-CO4</f>
        <v>225.76901936492774</v>
      </c>
      <c r="CN4">
        <f t="shared" ref="CN4:CN25" si="77">CK4-CL4-CO4</f>
        <v>118.59149982458032</v>
      </c>
      <c r="CO4">
        <f t="shared" ref="CO4:CO25" si="78">CE4*CH4^2</f>
        <v>46.249286332836874</v>
      </c>
      <c r="CP4">
        <f t="shared" ref="CP4:CP25" si="79">-3*_xlfn.SINGLE(gK0)*((1-2*CF4)^2.5)*(1+1.5*(4-_xlfn.SINGLE(gK0p))*CF4)*CF4</f>
        <v>0</v>
      </c>
      <c r="CQ4">
        <f t="shared" ref="CQ4:CQ25" si="80">((1-2*CF4)^3.5)*(_xlfn.SINGLE(gC11_0)-_xlfn.SINGLE(gC11a)*CF4)+3*CP4</f>
        <v>238.85608244795318</v>
      </c>
      <c r="CR4">
        <f t="shared" ref="CR4:CR25" si="81">((1-2*CF4)^3.5)*(_xlfn.SINGLE(gC12_0)-_xlfn.SINGLE(gC12a)*CF4)+1*CP4</f>
        <v>121.75226559311153</v>
      </c>
      <c r="CS4">
        <f t="shared" ref="CS4:CS25" si="82">((1-2*CF4)^3.5)*(_xlfn.SINGLE(gC44_0)-_xlfn.SINGLE(gC44a)*CF4)+1*CP4</f>
        <v>45.196512663027143</v>
      </c>
      <c r="CT4">
        <f t="shared" ref="CT4:CT25" si="83">IF(AND(A4&gt;=CutoffLowBar,A4&lt;=CutoffOilBar),(CP4-B4)^2+(CQ4-CM4)^2+(CR4-CN4)^2+(CS4-CO4)^2,0)</f>
        <v>0</v>
      </c>
      <c r="CV4" t="s">
        <v>68</v>
      </c>
      <c r="CW4">
        <v>238.85608244795318</v>
      </c>
      <c r="CZ4" t="s">
        <v>68</v>
      </c>
      <c r="DA4">
        <f>gC11_0</f>
        <v>238.85608244795318</v>
      </c>
    </row>
    <row r="5" spans="1:105" x14ac:dyDescent="0.25">
      <c r="A5">
        <f>Align!A5</f>
        <v>30</v>
      </c>
      <c r="B5">
        <f>Align!B5</f>
        <v>0.12913290811927533</v>
      </c>
      <c r="C5">
        <f>Align!C5</f>
        <v>0.22474572005565299</v>
      </c>
      <c r="D5">
        <f>Align!D5</f>
        <v>0.50723364660407499</v>
      </c>
      <c r="E5">
        <f>Align!F5</f>
        <v>0.20362286607872532</v>
      </c>
      <c r="F5">
        <f>Align!G5</f>
        <v>0.41829833665419647</v>
      </c>
      <c r="G5">
        <f t="shared" si="0"/>
        <v>6.2648579009706697</v>
      </c>
      <c r="H5">
        <f t="shared" si="1"/>
        <v>2.7758410930082182</v>
      </c>
      <c r="I5">
        <f t="shared" si="2"/>
        <v>5.962002320164963</v>
      </c>
      <c r="J5">
        <f t="shared" si="3"/>
        <v>2.9022348252931329</v>
      </c>
      <c r="K5">
        <f t="shared" si="4"/>
        <v>25.271746634141653</v>
      </c>
      <c r="L5">
        <f t="shared" si="5"/>
        <v>7.844586401961344E-2</v>
      </c>
      <c r="M5">
        <f t="shared" ref="M5:M25" si="84">0.5*(B5-B4)*(L5+L4)</f>
        <v>1.0116406757078769E-2</v>
      </c>
      <c r="N5">
        <f t="shared" ref="N5:N25" si="85">N4+M5</f>
        <v>1.0116406757078769E-2</v>
      </c>
      <c r="O5">
        <f t="shared" si="6"/>
        <v>0.70380008674431116</v>
      </c>
      <c r="P5">
        <f t="shared" si="7"/>
        <v>0.6068276316105069</v>
      </c>
      <c r="Q5">
        <f t="shared" si="8"/>
        <v>6.0951910376412179</v>
      </c>
      <c r="R5">
        <f t="shared" si="9"/>
        <v>-2.8408869502882794E-4</v>
      </c>
      <c r="S5">
        <f t="shared" si="10"/>
        <v>6.2630788837271885</v>
      </c>
      <c r="T5">
        <f t="shared" si="11"/>
        <v>2.7750528438176247</v>
      </c>
      <c r="U5">
        <f t="shared" si="12"/>
        <v>5.9603093041219966</v>
      </c>
      <c r="V5">
        <f t="shared" si="13"/>
        <v>2.901410684366005</v>
      </c>
      <c r="W5">
        <f t="shared" si="14"/>
        <v>216.53341093692796</v>
      </c>
      <c r="X5">
        <f t="shared" si="15"/>
        <v>51.310439422264743</v>
      </c>
      <c r="Y5">
        <f t="shared" si="16"/>
        <v>239.09092122012356</v>
      </c>
      <c r="Z5">
        <f t="shared" si="17"/>
        <v>111.37751955870132</v>
      </c>
      <c r="AA5">
        <f t="shared" si="18"/>
        <v>46.938568118314407</v>
      </c>
      <c r="AB5">
        <f t="shared" si="19"/>
        <v>0.13720963306177006</v>
      </c>
      <c r="AC5">
        <f t="shared" si="20"/>
        <v>239.58698632947218</v>
      </c>
      <c r="AD5">
        <f t="shared" si="21"/>
        <v>122.14535894030335</v>
      </c>
      <c r="AE5">
        <f t="shared" si="22"/>
        <v>45.243044407416569</v>
      </c>
      <c r="AF5">
        <f t="shared" si="23"/>
        <v>0</v>
      </c>
      <c r="AG5">
        <f t="shared" si="24"/>
        <v>27.53937307282148</v>
      </c>
      <c r="AH5">
        <f t="shared" si="25"/>
        <v>7.198653341736698E-2</v>
      </c>
      <c r="AI5">
        <f t="shared" ref="AI5:AI25" si="86">0.5*(B5-B4)*(AH5+AH4)</f>
        <v>9.5700421064680852E-3</v>
      </c>
      <c r="AJ5">
        <f t="shared" ref="AJ5:AJ25" si="87">AJ4+AI5</f>
        <v>9.5700421064680852E-3</v>
      </c>
      <c r="AK5">
        <f t="shared" si="26"/>
        <v>0.70381088071462872</v>
      </c>
      <c r="AL5">
        <f t="shared" si="27"/>
        <v>0.60683693834343699</v>
      </c>
      <c r="AM5">
        <f t="shared" si="28"/>
        <v>6.0949106059061799</v>
      </c>
      <c r="AN5">
        <f t="shared" si="29"/>
        <v>-2.6874363474960195E-4</v>
      </c>
      <c r="AO5">
        <f t="shared" si="30"/>
        <v>6.2631749386848972</v>
      </c>
      <c r="AP5">
        <f t="shared" si="31"/>
        <v>2.7750954039687099</v>
      </c>
      <c r="AQ5">
        <f t="shared" si="32"/>
        <v>5.9604007155936971</v>
      </c>
      <c r="AR5">
        <f t="shared" si="33"/>
        <v>2.9014551824292991</v>
      </c>
      <c r="AS5">
        <f t="shared" si="34"/>
        <v>216.53009008004094</v>
      </c>
      <c r="AT5">
        <f t="shared" si="35"/>
        <v>51.309652501551717</v>
      </c>
      <c r="AU5">
        <f t="shared" si="36"/>
        <v>239.08725441078951</v>
      </c>
      <c r="AV5">
        <f t="shared" si="37"/>
        <v>132.09614515278309</v>
      </c>
      <c r="AW5">
        <f t="shared" si="38"/>
        <v>46.937848246648727</v>
      </c>
      <c r="AX5">
        <f t="shared" si="39"/>
        <v>0.12978923201650885</v>
      </c>
      <c r="AY5">
        <f t="shared" si="40"/>
        <v>239.54747807811003</v>
      </c>
      <c r="AZ5">
        <f t="shared" si="41"/>
        <v>122.12410680012435</v>
      </c>
      <c r="BA5">
        <f t="shared" si="42"/>
        <v>45.240537054317208</v>
      </c>
      <c r="BB5">
        <f t="shared" si="43"/>
        <v>0</v>
      </c>
      <c r="BC5">
        <f t="shared" si="44"/>
        <v>26.783497593261536</v>
      </c>
      <c r="BD5">
        <f t="shared" si="45"/>
        <v>7.4018114814801791E-2</v>
      </c>
      <c r="BE5">
        <f t="shared" ref="BE5:BE25" si="88">0.5*(B5-B4)*(BD5+BD4)</f>
        <v>9.7435750665870006E-3</v>
      </c>
      <c r="BF5">
        <f t="shared" ref="BF5:BF25" si="89">BF4+BE5</f>
        <v>9.7435750665870006E-3</v>
      </c>
      <c r="BG5">
        <f t="shared" si="46"/>
        <v>0.70380745236467679</v>
      </c>
      <c r="BH5">
        <f t="shared" si="47"/>
        <v>0.60683398236556652</v>
      </c>
      <c r="BI5">
        <f t="shared" si="48"/>
        <v>6.0949996739667593</v>
      </c>
      <c r="BJ5">
        <f t="shared" si="49"/>
        <v>-2.7361741235643056E-4</v>
      </c>
      <c r="BK5">
        <f t="shared" si="50"/>
        <v>6.2631444299842096</v>
      </c>
      <c r="BL5">
        <f t="shared" si="51"/>
        <v>2.7750818861353608</v>
      </c>
      <c r="BM5">
        <f t="shared" si="52"/>
        <v>5.9603716817437435</v>
      </c>
      <c r="BN5">
        <f t="shared" si="53"/>
        <v>2.9014410490818223</v>
      </c>
      <c r="BO5">
        <f t="shared" si="54"/>
        <v>216.53114483006019</v>
      </c>
      <c r="BP5">
        <f t="shared" si="55"/>
        <v>51.309902438440126</v>
      </c>
      <c r="BQ5">
        <f t="shared" si="56"/>
        <v>239.08841904008457</v>
      </c>
      <c r="BR5">
        <f t="shared" si="57"/>
        <v>125.18997705819211</v>
      </c>
      <c r="BS5">
        <f t="shared" si="58"/>
        <v>40.031265333427925</v>
      </c>
      <c r="BT5">
        <f t="shared" si="59"/>
        <v>0.13214592991784629</v>
      </c>
      <c r="BU5">
        <f t="shared" si="60"/>
        <v>239.56002602666115</v>
      </c>
      <c r="BV5">
        <f t="shared" si="61"/>
        <v>122.13085650052611</v>
      </c>
      <c r="BW5">
        <f t="shared" si="62"/>
        <v>45.241333495241022</v>
      </c>
      <c r="BX5">
        <f t="shared" si="63"/>
        <v>0</v>
      </c>
      <c r="BY5">
        <f t="shared" si="64"/>
        <v>25.271746634141653</v>
      </c>
      <c r="BZ5">
        <f t="shared" si="65"/>
        <v>7.844586401961344E-2</v>
      </c>
      <c r="CA5">
        <f t="shared" ref="CA5:CA25" si="90">0.5*(B5-B4)*(BZ5+BZ4)</f>
        <v>1.0116406757078769E-2</v>
      </c>
      <c r="CB5">
        <f t="shared" ref="CB5:CB25" si="91">CB4+CA5</f>
        <v>1.0116406757078769E-2</v>
      </c>
      <c r="CC5">
        <f t="shared" si="66"/>
        <v>0.70380008674431116</v>
      </c>
      <c r="CD5">
        <f t="shared" si="67"/>
        <v>0.6068276316105069</v>
      </c>
      <c r="CE5">
        <f t="shared" si="68"/>
        <v>6.0951910376412179</v>
      </c>
      <c r="CF5">
        <f t="shared" si="69"/>
        <v>-2.8408869502882794E-4</v>
      </c>
      <c r="CG5">
        <f t="shared" si="70"/>
        <v>6.2630788837271885</v>
      </c>
      <c r="CH5">
        <f t="shared" si="71"/>
        <v>2.7750528438176247</v>
      </c>
      <c r="CI5">
        <f t="shared" si="72"/>
        <v>5.9603093041219966</v>
      </c>
      <c r="CJ5">
        <f t="shared" si="73"/>
        <v>2.901410684366005</v>
      </c>
      <c r="CK5">
        <f t="shared" si="74"/>
        <v>216.53341093692796</v>
      </c>
      <c r="CL5">
        <f t="shared" si="75"/>
        <v>51.310439422264743</v>
      </c>
      <c r="CM5">
        <f t="shared" si="76"/>
        <v>225.27715354482862</v>
      </c>
      <c r="CN5">
        <f t="shared" si="77"/>
        <v>118.28440339634881</v>
      </c>
      <c r="CO5">
        <f t="shared" si="78"/>
        <v>46.938568118314407</v>
      </c>
      <c r="CP5">
        <f t="shared" si="79"/>
        <v>0.13720963306177006</v>
      </c>
      <c r="CQ5">
        <f t="shared" si="80"/>
        <v>239.58698632947218</v>
      </c>
      <c r="CR5">
        <f t="shared" si="81"/>
        <v>122.14535894030335</v>
      </c>
      <c r="CS5">
        <f t="shared" si="82"/>
        <v>45.243044407416569</v>
      </c>
      <c r="CT5">
        <f t="shared" si="83"/>
        <v>0</v>
      </c>
      <c r="CV5" t="s">
        <v>69</v>
      </c>
      <c r="CW5">
        <v>121.75226559311153</v>
      </c>
      <c r="CZ5" t="s">
        <v>69</v>
      </c>
      <c r="DA5">
        <f>gC12_0</f>
        <v>121.75226559311153</v>
      </c>
    </row>
    <row r="6" spans="1:105" x14ac:dyDescent="0.25">
      <c r="A6">
        <f>Align!A6</f>
        <v>60</v>
      </c>
      <c r="B6">
        <f>Align!B6</f>
        <v>1.635683502844302</v>
      </c>
      <c r="C6">
        <f>Align!C6</f>
        <v>0.22094572005565299</v>
      </c>
      <c r="D6">
        <f>Align!D6</f>
        <v>0.50583364660407504</v>
      </c>
      <c r="E6">
        <f>Align!F6</f>
        <v>0.2006982293785837</v>
      </c>
      <c r="F6">
        <f>Align!G6</f>
        <v>0.41052794029834355</v>
      </c>
      <c r="G6">
        <f t="shared" si="0"/>
        <v>6.3726059035918201</v>
      </c>
      <c r="H6">
        <f t="shared" si="1"/>
        <v>2.7835238115389078</v>
      </c>
      <c r="I6">
        <f t="shared" si="2"/>
        <v>6.0488824627844204</v>
      </c>
      <c r="J6">
        <f t="shared" si="3"/>
        <v>2.9571677852614564</v>
      </c>
      <c r="K6">
        <f t="shared" si="4"/>
        <v>26.258305969375463</v>
      </c>
      <c r="L6">
        <f t="shared" si="5"/>
        <v>7.5498549004345814E-2</v>
      </c>
      <c r="M6">
        <f t="shared" si="84"/>
        <v>0.11596252349792047</v>
      </c>
      <c r="N6">
        <f t="shared" si="85"/>
        <v>0.12607893025499922</v>
      </c>
      <c r="O6">
        <f t="shared" si="6"/>
        <v>0.70151660123294335</v>
      </c>
      <c r="P6">
        <f t="shared" si="7"/>
        <v>0.60485877407442701</v>
      </c>
      <c r="Q6">
        <f t="shared" si="8"/>
        <v>6.1549058093101676</v>
      </c>
      <c r="R6">
        <f t="shared" si="9"/>
        <v>-3.5463087140066296E-3</v>
      </c>
      <c r="S6">
        <f t="shared" si="10"/>
        <v>6.3501261853476194</v>
      </c>
      <c r="T6">
        <f t="shared" si="11"/>
        <v>2.7737047780138391</v>
      </c>
      <c r="U6">
        <f t="shared" si="12"/>
        <v>6.0275446968040951</v>
      </c>
      <c r="V6">
        <f t="shared" si="13"/>
        <v>2.946736213057056</v>
      </c>
      <c r="W6">
        <f t="shared" si="14"/>
        <v>223.6156990982372</v>
      </c>
      <c r="X6">
        <f t="shared" si="15"/>
        <v>53.444612392285634</v>
      </c>
      <c r="Y6">
        <f t="shared" si="16"/>
        <v>248.19105316231193</v>
      </c>
      <c r="Z6">
        <f t="shared" si="17"/>
        <v>116.62324717915105</v>
      </c>
      <c r="AA6">
        <f t="shared" si="18"/>
        <v>47.352387443524385</v>
      </c>
      <c r="AB6">
        <f t="shared" si="19"/>
        <v>1.7381951746586295</v>
      </c>
      <c r="AC6">
        <f t="shared" si="20"/>
        <v>248.05993012084468</v>
      </c>
      <c r="AD6">
        <f t="shared" si="21"/>
        <v>126.7133317461017</v>
      </c>
      <c r="AE6">
        <f t="shared" si="22"/>
        <v>45.760072704483136</v>
      </c>
      <c r="AF6">
        <f t="shared" si="23"/>
        <v>0</v>
      </c>
      <c r="AG6">
        <f t="shared" si="24"/>
        <v>28.285759921719752</v>
      </c>
      <c r="AH6">
        <f t="shared" si="25"/>
        <v>7.0086998033159709E-2</v>
      </c>
      <c r="AI6">
        <f t="shared" si="86"/>
        <v>0.10702048165073789</v>
      </c>
      <c r="AJ6">
        <f t="shared" si="87"/>
        <v>0.11659052375720598</v>
      </c>
      <c r="AK6">
        <f t="shared" si="26"/>
        <v>0.70170288620965315</v>
      </c>
      <c r="AL6">
        <f t="shared" si="27"/>
        <v>0.6050193919449709</v>
      </c>
      <c r="AM6">
        <f t="shared" si="28"/>
        <v>6.1500051790744701</v>
      </c>
      <c r="AN6">
        <f t="shared" si="29"/>
        <v>-3.2789857115883558E-3</v>
      </c>
      <c r="AO6">
        <f t="shared" si="30"/>
        <v>6.3518124364020672</v>
      </c>
      <c r="AP6">
        <f t="shared" si="31"/>
        <v>2.7744413244178219</v>
      </c>
      <c r="AQ6">
        <f t="shared" si="32"/>
        <v>6.0291452876119083</v>
      </c>
      <c r="AR6">
        <f t="shared" si="33"/>
        <v>2.9475187072786535</v>
      </c>
      <c r="AS6">
        <f t="shared" si="34"/>
        <v>223.55633459209486</v>
      </c>
      <c r="AT6">
        <f t="shared" si="35"/>
        <v>53.43042415311713</v>
      </c>
      <c r="AU6">
        <f t="shared" si="36"/>
        <v>248.12516449993555</v>
      </c>
      <c r="AV6">
        <f t="shared" si="37"/>
        <v>135.17370858185711</v>
      </c>
      <c r="AW6">
        <f t="shared" si="38"/>
        <v>47.339816541272967</v>
      </c>
      <c r="AX6">
        <f t="shared" si="39"/>
        <v>1.6052384197057548</v>
      </c>
      <c r="AY6">
        <f t="shared" si="40"/>
        <v>247.36007930708075</v>
      </c>
      <c r="AZ6">
        <f t="shared" si="41"/>
        <v>126.33525451712804</v>
      </c>
      <c r="BA6">
        <f t="shared" si="42"/>
        <v>45.71892278174461</v>
      </c>
      <c r="BB6">
        <f t="shared" si="43"/>
        <v>0</v>
      </c>
      <c r="BC6">
        <f t="shared" si="44"/>
        <v>27.609941937604987</v>
      </c>
      <c r="BD6">
        <f t="shared" si="45"/>
        <v>7.1802541435259812E-2</v>
      </c>
      <c r="BE6">
        <f t="shared" si="88"/>
        <v>0.10984309819836199</v>
      </c>
      <c r="BF6">
        <f t="shared" si="89"/>
        <v>0.119586673264949</v>
      </c>
      <c r="BG6">
        <f t="shared" si="46"/>
        <v>0.70164405240615235</v>
      </c>
      <c r="BH6">
        <f t="shared" si="47"/>
        <v>0.6049686645036001</v>
      </c>
      <c r="BI6">
        <f t="shared" si="48"/>
        <v>6.1515523675767865</v>
      </c>
      <c r="BJ6">
        <f t="shared" si="49"/>
        <v>-3.3633904984928797E-3</v>
      </c>
      <c r="BK6">
        <f t="shared" si="50"/>
        <v>6.351279872987976</v>
      </c>
      <c r="BL6">
        <f t="shared" si="51"/>
        <v>2.7742087032630378</v>
      </c>
      <c r="BM6">
        <f t="shared" si="52"/>
        <v>6.0286397780064886</v>
      </c>
      <c r="BN6">
        <f t="shared" si="53"/>
        <v>2.9472715745678619</v>
      </c>
      <c r="BO6">
        <f t="shared" si="54"/>
        <v>223.57508009334393</v>
      </c>
      <c r="BP6">
        <f t="shared" si="55"/>
        <v>53.434904366502842</v>
      </c>
      <c r="BQ6">
        <f t="shared" si="56"/>
        <v>248.14597013082746</v>
      </c>
      <c r="BR6">
        <f t="shared" si="57"/>
        <v>128.99071637908</v>
      </c>
      <c r="BS6">
        <f t="shared" si="58"/>
        <v>41.149459347761066</v>
      </c>
      <c r="BT6">
        <f t="shared" si="59"/>
        <v>1.6471841641232157</v>
      </c>
      <c r="BU6">
        <f t="shared" si="60"/>
        <v>247.58094396410755</v>
      </c>
      <c r="BV6">
        <f t="shared" si="61"/>
        <v>126.45455627921872</v>
      </c>
      <c r="BW6">
        <f t="shared" si="62"/>
        <v>45.731939359160016</v>
      </c>
      <c r="BX6">
        <f t="shared" si="63"/>
        <v>0</v>
      </c>
      <c r="BY6">
        <f t="shared" si="64"/>
        <v>26.258305969375463</v>
      </c>
      <c r="BZ6">
        <f t="shared" si="65"/>
        <v>7.5498549004345814E-2</v>
      </c>
      <c r="CA6">
        <f t="shared" si="90"/>
        <v>0.11596252349792047</v>
      </c>
      <c r="CB6">
        <f t="shared" si="91"/>
        <v>0.12607893025499922</v>
      </c>
      <c r="CC6">
        <f t="shared" si="66"/>
        <v>0.70151660123294335</v>
      </c>
      <c r="CD6">
        <f t="shared" si="67"/>
        <v>0.60485877407442701</v>
      </c>
      <c r="CE6">
        <f t="shared" si="68"/>
        <v>6.1549058093101676</v>
      </c>
      <c r="CF6">
        <f t="shared" si="69"/>
        <v>-3.5463087140066296E-3</v>
      </c>
      <c r="CG6">
        <f t="shared" si="70"/>
        <v>6.3501261853476194</v>
      </c>
      <c r="CH6">
        <f t="shared" si="71"/>
        <v>2.7737047780138391</v>
      </c>
      <c r="CI6">
        <f t="shared" si="72"/>
        <v>6.0275446968040951</v>
      </c>
      <c r="CJ6">
        <f t="shared" si="73"/>
        <v>2.946736213057056</v>
      </c>
      <c r="CK6">
        <f t="shared" si="74"/>
        <v>223.6156990982372</v>
      </c>
      <c r="CL6">
        <f t="shared" si="75"/>
        <v>53.444612392285634</v>
      </c>
      <c r="CM6">
        <f t="shared" si="76"/>
        <v>235.80014899575968</v>
      </c>
      <c r="CN6">
        <f t="shared" si="77"/>
        <v>122.81869926242717</v>
      </c>
      <c r="CO6">
        <f t="shared" si="78"/>
        <v>47.352387443524385</v>
      </c>
      <c r="CP6">
        <f t="shared" si="79"/>
        <v>1.7381951746586295</v>
      </c>
      <c r="CQ6">
        <f t="shared" si="80"/>
        <v>248.05993012084468</v>
      </c>
      <c r="CR6">
        <f t="shared" si="81"/>
        <v>126.7133317461017</v>
      </c>
      <c r="CS6">
        <f t="shared" si="82"/>
        <v>45.760072704483136</v>
      </c>
      <c r="CT6">
        <f t="shared" si="83"/>
        <v>0</v>
      </c>
      <c r="CV6" t="s">
        <v>70</v>
      </c>
      <c r="CW6">
        <v>45.196512663027143</v>
      </c>
      <c r="CZ6" t="s">
        <v>70</v>
      </c>
      <c r="DA6">
        <f>gC44_0</f>
        <v>45.196512663027143</v>
      </c>
    </row>
    <row r="7" spans="1:105" x14ac:dyDescent="0.25">
      <c r="A7">
        <f>Align!A7</f>
        <v>90</v>
      </c>
      <c r="B7">
        <f>Align!B7</f>
        <v>2.4965695569728967</v>
      </c>
      <c r="C7">
        <f>Align!C7</f>
        <v>0.21874572005565299</v>
      </c>
      <c r="D7">
        <f>Align!D7</f>
        <v>0.50583364660407504</v>
      </c>
      <c r="E7">
        <f>Align!F7</f>
        <v>0.1990198462501756</v>
      </c>
      <c r="F7">
        <f>Align!G7</f>
        <v>0.40624125969800334</v>
      </c>
      <c r="G7">
        <f t="shared" si="0"/>
        <v>6.4366973655154416</v>
      </c>
      <c r="H7">
        <f t="shared" si="1"/>
        <v>2.7835238115389078</v>
      </c>
      <c r="I7">
        <f t="shared" si="2"/>
        <v>6.0998941707248395</v>
      </c>
      <c r="J7">
        <f t="shared" si="3"/>
        <v>2.9883719859043327</v>
      </c>
      <c r="K7">
        <f t="shared" si="4"/>
        <v>26.878035814837425</v>
      </c>
      <c r="L7">
        <f t="shared" si="5"/>
        <v>7.3757770607092668E-2</v>
      </c>
      <c r="M7">
        <f t="shared" si="84"/>
        <v>6.4246342022023839E-2</v>
      </c>
      <c r="N7">
        <f t="shared" si="85"/>
        <v>0.19032527227702306</v>
      </c>
      <c r="O7">
        <f t="shared" si="6"/>
        <v>0.70025785645407856</v>
      </c>
      <c r="P7">
        <f t="shared" si="7"/>
        <v>0.60377346430060475</v>
      </c>
      <c r="Q7">
        <f t="shared" si="8"/>
        <v>6.1881566620734496</v>
      </c>
      <c r="R7">
        <f t="shared" si="9"/>
        <v>-5.3582297247700694E-3</v>
      </c>
      <c r="S7">
        <f t="shared" si="10"/>
        <v>6.4024828122435489</v>
      </c>
      <c r="T7">
        <f t="shared" si="11"/>
        <v>2.7687278659902308</v>
      </c>
      <c r="U7">
        <f t="shared" si="12"/>
        <v>6.0674699099268548</v>
      </c>
      <c r="V7">
        <f t="shared" si="13"/>
        <v>2.9724871607056622</v>
      </c>
      <c r="W7">
        <f t="shared" si="14"/>
        <v>227.81198196299724</v>
      </c>
      <c r="X7">
        <f t="shared" si="15"/>
        <v>54.676571564362028</v>
      </c>
      <c r="Y7">
        <f t="shared" si="16"/>
        <v>253.66359462294068</v>
      </c>
      <c r="Z7">
        <f t="shared" si="17"/>
        <v>120.01116468246973</v>
      </c>
      <c r="AA7">
        <f t="shared" si="18"/>
        <v>47.437505475277895</v>
      </c>
      <c r="AB7">
        <f t="shared" si="19"/>
        <v>2.6477262860168458</v>
      </c>
      <c r="AC7">
        <f t="shared" si="20"/>
        <v>252.82961407635167</v>
      </c>
      <c r="AD7">
        <f t="shared" si="21"/>
        <v>129.29371774822866</v>
      </c>
      <c r="AE7">
        <f t="shared" si="22"/>
        <v>46.033103727579928</v>
      </c>
      <c r="AF7">
        <f t="shared" si="23"/>
        <v>0</v>
      </c>
      <c r="AG7">
        <f t="shared" si="24"/>
        <v>28.735675262560544</v>
      </c>
      <c r="AH7">
        <f t="shared" si="25"/>
        <v>6.8989643775065015E-2</v>
      </c>
      <c r="AI7">
        <f t="shared" si="86"/>
        <v>5.986457069386926E-2</v>
      </c>
      <c r="AJ7">
        <f t="shared" si="87"/>
        <v>0.17645509445107524</v>
      </c>
      <c r="AK7">
        <f t="shared" si="26"/>
        <v>0.7005292250646451</v>
      </c>
      <c r="AL7">
        <f t="shared" si="27"/>
        <v>0.60400744263386308</v>
      </c>
      <c r="AM7">
        <f t="shared" si="28"/>
        <v>6.1809680067446111</v>
      </c>
      <c r="AN7">
        <f t="shared" si="29"/>
        <v>-4.9667776806900932E-3</v>
      </c>
      <c r="AO7">
        <f t="shared" si="30"/>
        <v>6.4049639452275215</v>
      </c>
      <c r="AP7">
        <f t="shared" si="31"/>
        <v>2.7698008219408217</v>
      </c>
      <c r="AQ7">
        <f t="shared" si="32"/>
        <v>6.0698212164690597</v>
      </c>
      <c r="AR7">
        <f t="shared" si="33"/>
        <v>2.9736390788216718</v>
      </c>
      <c r="AS7">
        <f t="shared" si="34"/>
        <v>227.72373293811182</v>
      </c>
      <c r="AT7">
        <f t="shared" si="35"/>
        <v>54.655391141440219</v>
      </c>
      <c r="AU7">
        <f t="shared" si="36"/>
        <v>253.56533128893375</v>
      </c>
      <c r="AV7">
        <f t="shared" si="37"/>
        <v>137.01828716158323</v>
      </c>
      <c r="AW7">
        <f t="shared" si="38"/>
        <v>47.419129296970162</v>
      </c>
      <c r="AX7">
        <f t="shared" si="39"/>
        <v>2.4499945202073303</v>
      </c>
      <c r="AY7">
        <f t="shared" si="40"/>
        <v>251.79530835801057</v>
      </c>
      <c r="AZ7">
        <f t="shared" si="41"/>
        <v>128.73361663566243</v>
      </c>
      <c r="BA7">
        <f t="shared" si="42"/>
        <v>45.974993379270515</v>
      </c>
      <c r="BB7">
        <f t="shared" si="43"/>
        <v>0</v>
      </c>
      <c r="BC7">
        <f t="shared" si="44"/>
        <v>28.116462113319503</v>
      </c>
      <c r="BD7">
        <f t="shared" si="45"/>
        <v>7.0509013260984021E-2</v>
      </c>
      <c r="BE7">
        <f t="shared" si="88"/>
        <v>6.1257016389677524E-2</v>
      </c>
      <c r="BF7">
        <f t="shared" si="89"/>
        <v>0.18084368965462652</v>
      </c>
      <c r="BG7">
        <f t="shared" si="46"/>
        <v>0.70044333990520669</v>
      </c>
      <c r="BH7">
        <f t="shared" si="47"/>
        <v>0.60393339108304045</v>
      </c>
      <c r="BI7">
        <f t="shared" si="48"/>
        <v>6.183241931640354</v>
      </c>
      <c r="BJ7">
        <f t="shared" si="49"/>
        <v>-5.0906187070938191E-3</v>
      </c>
      <c r="BK7">
        <f t="shared" si="50"/>
        <v>6.4041786941202856</v>
      </c>
      <c r="BL7">
        <f t="shared" si="51"/>
        <v>2.7694612432670227</v>
      </c>
      <c r="BM7">
        <f t="shared" si="52"/>
        <v>6.0690770539926246</v>
      </c>
      <c r="BN7">
        <f t="shared" si="53"/>
        <v>2.9732745094971396</v>
      </c>
      <c r="BO7">
        <f t="shared" si="54"/>
        <v>227.75165538093771</v>
      </c>
      <c r="BP7">
        <f t="shared" si="55"/>
        <v>54.662092735580558</v>
      </c>
      <c r="BQ7">
        <f t="shared" si="56"/>
        <v>253.59642231038418</v>
      </c>
      <c r="BR7">
        <f t="shared" si="57"/>
        <v>131.34985337449982</v>
      </c>
      <c r="BS7">
        <f t="shared" si="58"/>
        <v>41.739709270857333</v>
      </c>
      <c r="BT7">
        <f t="shared" si="59"/>
        <v>2.5124758814666586</v>
      </c>
      <c r="BU7">
        <f t="shared" si="60"/>
        <v>252.12229501689302</v>
      </c>
      <c r="BV7">
        <f t="shared" si="61"/>
        <v>128.91065511450225</v>
      </c>
      <c r="BW7">
        <f t="shared" si="62"/>
        <v>45.993429976818213</v>
      </c>
      <c r="BX7">
        <f t="shared" si="63"/>
        <v>0</v>
      </c>
      <c r="BY7">
        <f t="shared" si="64"/>
        <v>26.878035814837425</v>
      </c>
      <c r="BZ7">
        <f t="shared" si="65"/>
        <v>7.3757770607092668E-2</v>
      </c>
      <c r="CA7">
        <f t="shared" si="90"/>
        <v>6.4246342022023839E-2</v>
      </c>
      <c r="CB7">
        <f t="shared" si="91"/>
        <v>0.19032527227702306</v>
      </c>
      <c r="CC7">
        <f t="shared" si="66"/>
        <v>0.70025785645407856</v>
      </c>
      <c r="CD7">
        <f t="shared" si="67"/>
        <v>0.60377346430060475</v>
      </c>
      <c r="CE7">
        <f t="shared" si="68"/>
        <v>6.1881566620734496</v>
      </c>
      <c r="CF7">
        <f t="shared" si="69"/>
        <v>-5.3582297247700694E-3</v>
      </c>
      <c r="CG7">
        <f t="shared" si="70"/>
        <v>6.4024828122435489</v>
      </c>
      <c r="CH7">
        <f t="shared" si="71"/>
        <v>2.7687278659902308</v>
      </c>
      <c r="CI7">
        <f t="shared" si="72"/>
        <v>6.0674699099268548</v>
      </c>
      <c r="CJ7">
        <f t="shared" si="73"/>
        <v>2.9724871607056622</v>
      </c>
      <c r="CK7">
        <f t="shared" si="74"/>
        <v>227.81198196299724</v>
      </c>
      <c r="CL7">
        <f t="shared" si="75"/>
        <v>54.676571564362028</v>
      </c>
      <c r="CM7">
        <f t="shared" si="76"/>
        <v>242.29011414116545</v>
      </c>
      <c r="CN7">
        <f t="shared" si="77"/>
        <v>125.6979049233573</v>
      </c>
      <c r="CO7">
        <f t="shared" si="78"/>
        <v>47.437505475277895</v>
      </c>
      <c r="CP7">
        <f t="shared" si="79"/>
        <v>2.6477262860168458</v>
      </c>
      <c r="CQ7">
        <f t="shared" si="80"/>
        <v>252.82961407635167</v>
      </c>
      <c r="CR7">
        <f t="shared" si="81"/>
        <v>129.29371774822866</v>
      </c>
      <c r="CS7">
        <f t="shared" si="82"/>
        <v>46.033103727579928</v>
      </c>
      <c r="CT7">
        <f t="shared" si="83"/>
        <v>0</v>
      </c>
      <c r="CV7" t="s">
        <v>71</v>
      </c>
      <c r="CW7">
        <v>5.3297090257595459</v>
      </c>
      <c r="CZ7" t="s">
        <v>71</v>
      </c>
      <c r="DA7">
        <f>gC11p</f>
        <v>5.3297090257595459</v>
      </c>
    </row>
    <row r="8" spans="1:105" x14ac:dyDescent="0.25">
      <c r="A8">
        <f>Align!A8</f>
        <v>120</v>
      </c>
      <c r="B8">
        <f>Align!B8</f>
        <v>3.4435442165143506</v>
      </c>
      <c r="C8">
        <f>Align!C8</f>
        <v>0.21654572005565301</v>
      </c>
      <c r="D8">
        <f>Align!D8</f>
        <v>0.50523364660407499</v>
      </c>
      <c r="E8">
        <f>Align!F8</f>
        <v>0.19727344341490469</v>
      </c>
      <c r="F8">
        <f>Align!G8</f>
        <v>0.40198652512971206</v>
      </c>
      <c r="G8">
        <f t="shared" si="0"/>
        <v>6.5020911040778779</v>
      </c>
      <c r="H8">
        <f t="shared" si="1"/>
        <v>2.7868294391394235</v>
      </c>
      <c r="I8">
        <f t="shared" si="2"/>
        <v>6.1538947107377258</v>
      </c>
      <c r="J8">
        <f t="shared" si="3"/>
        <v>3.0200017266953645</v>
      </c>
      <c r="K8">
        <f t="shared" si="4"/>
        <v>27.515195680373552</v>
      </c>
      <c r="L8">
        <f t="shared" si="5"/>
        <v>7.2049787434878443E-2</v>
      </c>
      <c r="M8">
        <f t="shared" si="84"/>
        <v>6.9038031317683171E-2</v>
      </c>
      <c r="N8">
        <f t="shared" si="85"/>
        <v>0.25936330359470622</v>
      </c>
      <c r="O8">
        <f t="shared" si="6"/>
        <v>0.698910256039601</v>
      </c>
      <c r="P8">
        <f t="shared" si="7"/>
        <v>0.60261154178414467</v>
      </c>
      <c r="Q8">
        <f t="shared" si="8"/>
        <v>6.2240207169805357</v>
      </c>
      <c r="R8">
        <f t="shared" si="9"/>
        <v>-7.3089165477878693E-3</v>
      </c>
      <c r="S8">
        <f t="shared" si="10"/>
        <v>6.455082611283923</v>
      </c>
      <c r="T8">
        <f t="shared" si="11"/>
        <v>2.7666813591585684</v>
      </c>
      <c r="U8">
        <f t="shared" si="12"/>
        <v>6.1094035907989355</v>
      </c>
      <c r="V8">
        <f t="shared" si="13"/>
        <v>2.9981678693816685</v>
      </c>
      <c r="W8">
        <f t="shared" si="14"/>
        <v>232.31040460970993</v>
      </c>
      <c r="X8">
        <f t="shared" si="15"/>
        <v>55.947788031463105</v>
      </c>
      <c r="Y8">
        <f t="shared" si="16"/>
        <v>259.34306484818541</v>
      </c>
      <c r="Z8">
        <f t="shared" si="17"/>
        <v>123.51022088284874</v>
      </c>
      <c r="AA8">
        <f t="shared" si="18"/>
        <v>47.641926803811721</v>
      </c>
      <c r="AB8">
        <f t="shared" si="19"/>
        <v>3.6432493182329431</v>
      </c>
      <c r="AC8">
        <f t="shared" si="20"/>
        <v>258.01544776062588</v>
      </c>
      <c r="AD8">
        <f t="shared" si="21"/>
        <v>132.10650446691756</v>
      </c>
      <c r="AE8">
        <f t="shared" si="22"/>
        <v>46.315343465878968</v>
      </c>
      <c r="AF8">
        <f t="shared" si="23"/>
        <v>77.458364069044265</v>
      </c>
      <c r="AG8">
        <f t="shared" si="24"/>
        <v>29.213980082478816</v>
      </c>
      <c r="AH8">
        <f t="shared" si="25"/>
        <v>6.7860113356789389E-2</v>
      </c>
      <c r="AI8">
        <f t="shared" si="86"/>
        <v>6.4796626084134237E-2</v>
      </c>
      <c r="AJ8">
        <f t="shared" si="87"/>
        <v>0.24125172053520949</v>
      </c>
      <c r="AK8">
        <f t="shared" si="26"/>
        <v>0.69926328626178358</v>
      </c>
      <c r="AL8">
        <f t="shared" si="27"/>
        <v>0.6029159300581004</v>
      </c>
      <c r="AM8">
        <f t="shared" si="28"/>
        <v>6.2145986938306628</v>
      </c>
      <c r="AN8">
        <f t="shared" si="29"/>
        <v>-6.7968056620177908E-3</v>
      </c>
      <c r="AO8">
        <f t="shared" si="30"/>
        <v>6.4583431718906334</v>
      </c>
      <c r="AP8">
        <f t="shared" si="31"/>
        <v>2.7680788520791428</v>
      </c>
      <c r="AQ8">
        <f t="shared" si="32"/>
        <v>6.1124895436640205</v>
      </c>
      <c r="AR8">
        <f t="shared" si="33"/>
        <v>2.9996822896665649</v>
      </c>
      <c r="AS8">
        <f t="shared" si="34"/>
        <v>232.19312032585577</v>
      </c>
      <c r="AT8">
        <f t="shared" si="35"/>
        <v>55.91954221843757</v>
      </c>
      <c r="AU8">
        <f t="shared" si="36"/>
        <v>259.21213284931798</v>
      </c>
      <c r="AV8">
        <f t="shared" si="37"/>
        <v>139.07138048378516</v>
      </c>
      <c r="AW8">
        <f t="shared" si="38"/>
        <v>47.617874289779891</v>
      </c>
      <c r="AX8">
        <f t="shared" si="39"/>
        <v>3.3802505627358386</v>
      </c>
      <c r="AY8">
        <f t="shared" si="40"/>
        <v>256.64890888268502</v>
      </c>
      <c r="AZ8">
        <f t="shared" si="41"/>
        <v>131.36456347573687</v>
      </c>
      <c r="BA8">
        <f t="shared" si="42"/>
        <v>46.242441373746054</v>
      </c>
      <c r="BB8">
        <f t="shared" si="43"/>
        <v>67.860967291781989</v>
      </c>
      <c r="BC8">
        <f t="shared" si="44"/>
        <v>28.647718615110392</v>
      </c>
      <c r="BD8">
        <f t="shared" si="45"/>
        <v>6.9201461611478499E-2</v>
      </c>
      <c r="BE8">
        <f t="shared" si="88"/>
        <v>6.6151139688362517E-2</v>
      </c>
      <c r="BF8">
        <f t="shared" si="89"/>
        <v>0.24699482934298905</v>
      </c>
      <c r="BG8">
        <f t="shared" si="46"/>
        <v>0.69915130321573049</v>
      </c>
      <c r="BH8">
        <f t="shared" si="47"/>
        <v>0.60281937649424489</v>
      </c>
      <c r="BI8">
        <f t="shared" si="48"/>
        <v>6.2175853484854828</v>
      </c>
      <c r="BJ8">
        <f t="shared" si="49"/>
        <v>-6.9591659259611305E-3</v>
      </c>
      <c r="BK8">
        <f t="shared" si="50"/>
        <v>6.4573089048912733</v>
      </c>
      <c r="BL8">
        <f t="shared" si="51"/>
        <v>2.7676355599634817</v>
      </c>
      <c r="BM8">
        <f t="shared" si="52"/>
        <v>6.1115106631600451</v>
      </c>
      <c r="BN8">
        <f t="shared" si="53"/>
        <v>2.9992019075750291</v>
      </c>
      <c r="BO8">
        <f t="shared" si="54"/>
        <v>232.23031069189963</v>
      </c>
      <c r="BP8">
        <f t="shared" si="55"/>
        <v>55.928498850060357</v>
      </c>
      <c r="BQ8">
        <f t="shared" si="56"/>
        <v>259.253650849895</v>
      </c>
      <c r="BR8">
        <f t="shared" si="57"/>
        <v>133.8849830707766</v>
      </c>
      <c r="BS8">
        <f t="shared" si="58"/>
        <v>42.416828771062683</v>
      </c>
      <c r="BT8">
        <f t="shared" si="59"/>
        <v>3.463504944512561</v>
      </c>
      <c r="BU8">
        <f t="shared" si="60"/>
        <v>257.08176402629857</v>
      </c>
      <c r="BV8">
        <f t="shared" si="61"/>
        <v>131.59951874845297</v>
      </c>
      <c r="BW8">
        <f t="shared" si="62"/>
        <v>46.265647106101397</v>
      </c>
      <c r="BX8">
        <f t="shared" si="63"/>
        <v>24.754240549918393</v>
      </c>
      <c r="BY8">
        <f t="shared" si="64"/>
        <v>27.515195680373552</v>
      </c>
      <c r="BZ8">
        <f t="shared" si="65"/>
        <v>7.2049787434878443E-2</v>
      </c>
      <c r="CA8">
        <f t="shared" si="90"/>
        <v>6.9038031317683171E-2</v>
      </c>
      <c r="CB8">
        <f t="shared" si="91"/>
        <v>0.25936330359470622</v>
      </c>
      <c r="CC8">
        <f t="shared" si="66"/>
        <v>0.698910256039601</v>
      </c>
      <c r="CD8">
        <f t="shared" si="67"/>
        <v>0.60261154178414467</v>
      </c>
      <c r="CE8">
        <f t="shared" si="68"/>
        <v>6.2240207169805357</v>
      </c>
      <c r="CF8">
        <f t="shared" si="69"/>
        <v>-7.3089165477878693E-3</v>
      </c>
      <c r="CG8">
        <f t="shared" si="70"/>
        <v>6.455082611283923</v>
      </c>
      <c r="CH8">
        <f t="shared" si="71"/>
        <v>2.7666813591585684</v>
      </c>
      <c r="CI8">
        <f t="shared" si="72"/>
        <v>6.1094035907989355</v>
      </c>
      <c r="CJ8">
        <f t="shared" si="73"/>
        <v>2.9981678693816685</v>
      </c>
      <c r="CK8">
        <f t="shared" si="74"/>
        <v>232.31040460970993</v>
      </c>
      <c r="CL8">
        <f t="shared" si="75"/>
        <v>55.947788031463105</v>
      </c>
      <c r="CM8">
        <f t="shared" si="76"/>
        <v>248.92212706501272</v>
      </c>
      <c r="CN8">
        <f t="shared" si="77"/>
        <v>128.72068977443513</v>
      </c>
      <c r="CO8">
        <f t="shared" si="78"/>
        <v>47.641926803811721</v>
      </c>
      <c r="CP8">
        <f t="shared" si="79"/>
        <v>3.6432493182329431</v>
      </c>
      <c r="CQ8">
        <f t="shared" si="80"/>
        <v>258.01544776062588</v>
      </c>
      <c r="CR8">
        <f t="shared" si="81"/>
        <v>132.10650446691756</v>
      </c>
      <c r="CS8">
        <f t="shared" si="82"/>
        <v>46.315343465878968</v>
      </c>
      <c r="CT8">
        <f t="shared" si="83"/>
        <v>95.951927885229694</v>
      </c>
      <c r="CV8" t="s">
        <v>72</v>
      </c>
      <c r="CW8">
        <v>2.8658596319068614</v>
      </c>
      <c r="CZ8" t="s">
        <v>72</v>
      </c>
      <c r="DA8">
        <f>gC12p</f>
        <v>2.8658596319068614</v>
      </c>
    </row>
    <row r="9" spans="1:105" x14ac:dyDescent="0.25">
      <c r="A9">
        <f>Align!A9</f>
        <v>150</v>
      </c>
      <c r="B9">
        <f>Align!B9</f>
        <v>4.4335631787622765</v>
      </c>
      <c r="C9">
        <f>Align!C9</f>
        <v>0.21474572005565301</v>
      </c>
      <c r="D9">
        <f>Align!D9</f>
        <v>0.50523364660407499</v>
      </c>
      <c r="E9">
        <f>Align!F9</f>
        <v>0.19557829313348446</v>
      </c>
      <c r="F9">
        <f>Align!G9</f>
        <v>0.39814913664783835</v>
      </c>
      <c r="G9">
        <f t="shared" si="0"/>
        <v>6.5565916733293026</v>
      </c>
      <c r="H9">
        <f t="shared" si="1"/>
        <v>2.7868294391394235</v>
      </c>
      <c r="I9">
        <f t="shared" si="2"/>
        <v>6.207232819909267</v>
      </c>
      <c r="J9">
        <f t="shared" si="3"/>
        <v>3.0491087089152202</v>
      </c>
      <c r="K9">
        <f t="shared" si="4"/>
        <v>28.174514850086545</v>
      </c>
      <c r="L9">
        <f t="shared" si="5"/>
        <v>7.0363731569060547E-2</v>
      </c>
      <c r="M9">
        <f t="shared" si="84"/>
        <v>7.0496042147177473E-2</v>
      </c>
      <c r="N9">
        <f t="shared" si="85"/>
        <v>0.32985934574188369</v>
      </c>
      <c r="O9">
        <f t="shared" si="6"/>
        <v>0.69753953742253594</v>
      </c>
      <c r="P9">
        <f t="shared" si="7"/>
        <v>0.601429686385624</v>
      </c>
      <c r="Q9">
        <f t="shared" si="8"/>
        <v>6.2607848991226911</v>
      </c>
      <c r="R9">
        <f t="shared" si="9"/>
        <v>-9.3046772881261175E-3</v>
      </c>
      <c r="S9">
        <f t="shared" si="10"/>
        <v>6.4964231859127457</v>
      </c>
      <c r="T9">
        <f t="shared" si="11"/>
        <v>2.7612552810409356</v>
      </c>
      <c r="U9">
        <f t="shared" si="12"/>
        <v>6.1502703265248488</v>
      </c>
      <c r="V9">
        <f t="shared" si="13"/>
        <v>3.0211276681360064</v>
      </c>
      <c r="W9">
        <f t="shared" si="14"/>
        <v>236.81935451614643</v>
      </c>
      <c r="X9">
        <f t="shared" si="15"/>
        <v>57.143513484722732</v>
      </c>
      <c r="Y9">
        <f t="shared" si="16"/>
        <v>264.22712445878739</v>
      </c>
      <c r="Z9">
        <f t="shared" si="17"/>
        <v>127.6443758668715</v>
      </c>
      <c r="AA9">
        <f t="shared" si="18"/>
        <v>47.735546838977235</v>
      </c>
      <c r="AB9">
        <f t="shared" si="19"/>
        <v>4.6794173654829407</v>
      </c>
      <c r="AC9">
        <f t="shared" si="20"/>
        <v>263.37577169703303</v>
      </c>
      <c r="AD9">
        <f t="shared" si="21"/>
        <v>135.02185814453711</v>
      </c>
      <c r="AE9">
        <f t="shared" si="22"/>
        <v>46.591179911716438</v>
      </c>
      <c r="AF9">
        <f t="shared" si="23"/>
        <v>56.522066227553275</v>
      </c>
      <c r="AG9">
        <f t="shared" si="24"/>
        <v>29.572378748441963</v>
      </c>
      <c r="AH9">
        <f t="shared" si="25"/>
        <v>6.7037691383025691E-2</v>
      </c>
      <c r="AI9">
        <f t="shared" si="86"/>
        <v>6.6775692329017533E-2</v>
      </c>
      <c r="AJ9">
        <f t="shared" si="87"/>
        <v>0.30802741286422702</v>
      </c>
      <c r="AK9">
        <f t="shared" si="26"/>
        <v>0.69796346047864066</v>
      </c>
      <c r="AL9">
        <f t="shared" si="27"/>
        <v>0.60179519958882799</v>
      </c>
      <c r="AM9">
        <f t="shared" si="28"/>
        <v>6.2493839611414543</v>
      </c>
      <c r="AN9">
        <f t="shared" si="29"/>
        <v>-8.6861909634372569E-3</v>
      </c>
      <c r="AO9">
        <f t="shared" si="30"/>
        <v>6.5003713256567632</v>
      </c>
      <c r="AP9">
        <f t="shared" si="31"/>
        <v>2.7629334078203143</v>
      </c>
      <c r="AQ9">
        <f t="shared" si="32"/>
        <v>6.1540080951427036</v>
      </c>
      <c r="AR9">
        <f t="shared" si="33"/>
        <v>3.0229637299006074</v>
      </c>
      <c r="AS9">
        <f t="shared" si="34"/>
        <v>236.67551720918718</v>
      </c>
      <c r="AT9">
        <f t="shared" si="35"/>
        <v>57.108806147957004</v>
      </c>
      <c r="AU9">
        <f t="shared" si="36"/>
        <v>264.06664045575724</v>
      </c>
      <c r="AV9">
        <f t="shared" si="37"/>
        <v>140.4467756441318</v>
      </c>
      <c r="AW9">
        <f t="shared" si="38"/>
        <v>47.706553632245551</v>
      </c>
      <c r="AX9">
        <f t="shared" si="39"/>
        <v>4.3563938494876302</v>
      </c>
      <c r="AY9">
        <f t="shared" si="40"/>
        <v>261.70869029726094</v>
      </c>
      <c r="AZ9">
        <f t="shared" si="41"/>
        <v>134.114310823609</v>
      </c>
      <c r="BA9">
        <f t="shared" si="42"/>
        <v>46.507119233243067</v>
      </c>
      <c r="BB9">
        <f t="shared" si="43"/>
        <v>47.104637636002728</v>
      </c>
      <c r="BC9">
        <f t="shared" si="44"/>
        <v>29.106424115656822</v>
      </c>
      <c r="BD9">
        <f t="shared" si="45"/>
        <v>6.811087449707022E-2</v>
      </c>
      <c r="BE9">
        <f t="shared" si="88"/>
        <v>6.7970908249011891E-2</v>
      </c>
      <c r="BF9">
        <f t="shared" si="89"/>
        <v>0.31496573759200097</v>
      </c>
      <c r="BG9">
        <f t="shared" si="46"/>
        <v>0.69782867923577163</v>
      </c>
      <c r="BH9">
        <f t="shared" si="47"/>
        <v>0.60167898905697925</v>
      </c>
      <c r="BI9">
        <f t="shared" si="48"/>
        <v>6.2530057488004358</v>
      </c>
      <c r="BJ9">
        <f t="shared" si="49"/>
        <v>-8.8827090492862304E-3</v>
      </c>
      <c r="BK9">
        <f t="shared" si="50"/>
        <v>6.4991160620563146</v>
      </c>
      <c r="BL9">
        <f t="shared" si="51"/>
        <v>2.7623998675710655</v>
      </c>
      <c r="BM9">
        <f t="shared" si="52"/>
        <v>6.1528197165145144</v>
      </c>
      <c r="BN9">
        <f t="shared" si="53"/>
        <v>3.0223799761201664</v>
      </c>
      <c r="BO9">
        <f t="shared" si="54"/>
        <v>236.72122960438574</v>
      </c>
      <c r="BP9">
        <f t="shared" si="55"/>
        <v>57.119836356517403</v>
      </c>
      <c r="BQ9">
        <f t="shared" si="56"/>
        <v>264.11764327501646</v>
      </c>
      <c r="BR9">
        <f t="shared" si="57"/>
        <v>136.17976372666627</v>
      </c>
      <c r="BS9">
        <f t="shared" si="58"/>
        <v>43.42162952120205</v>
      </c>
      <c r="BT9">
        <f t="shared" si="59"/>
        <v>4.4588447216677025</v>
      </c>
      <c r="BU9">
        <f t="shared" si="60"/>
        <v>262.23781317261535</v>
      </c>
      <c r="BV9">
        <f t="shared" si="61"/>
        <v>134.40227744999632</v>
      </c>
      <c r="BW9">
        <f t="shared" si="62"/>
        <v>46.533968116168964</v>
      </c>
      <c r="BX9">
        <f t="shared" si="63"/>
        <v>16.380509363775683</v>
      </c>
      <c r="BY9">
        <f t="shared" si="64"/>
        <v>28.174514850086545</v>
      </c>
      <c r="BZ9">
        <f t="shared" si="65"/>
        <v>7.0363731569060547E-2</v>
      </c>
      <c r="CA9">
        <f t="shared" si="90"/>
        <v>7.0496042147177473E-2</v>
      </c>
      <c r="CB9">
        <f t="shared" si="91"/>
        <v>0.32985934574188369</v>
      </c>
      <c r="CC9">
        <f t="shared" si="66"/>
        <v>0.69753953742253594</v>
      </c>
      <c r="CD9">
        <f t="shared" si="67"/>
        <v>0.601429686385624</v>
      </c>
      <c r="CE9">
        <f t="shared" si="68"/>
        <v>6.2607848991226911</v>
      </c>
      <c r="CF9">
        <f t="shared" si="69"/>
        <v>-9.3046772881261175E-3</v>
      </c>
      <c r="CG9">
        <f t="shared" si="70"/>
        <v>6.4964231859127457</v>
      </c>
      <c r="CH9">
        <f t="shared" si="71"/>
        <v>2.7612552810409356</v>
      </c>
      <c r="CI9">
        <f t="shared" si="72"/>
        <v>6.1502703265248488</v>
      </c>
      <c r="CJ9">
        <f t="shared" si="73"/>
        <v>3.0211276681360064</v>
      </c>
      <c r="CK9">
        <f t="shared" si="74"/>
        <v>236.81935451614643</v>
      </c>
      <c r="CL9">
        <f t="shared" si="75"/>
        <v>57.143513484722732</v>
      </c>
      <c r="CM9">
        <f t="shared" si="76"/>
        <v>255.63528780763741</v>
      </c>
      <c r="CN9">
        <f t="shared" si="77"/>
        <v>131.94029419244649</v>
      </c>
      <c r="CO9">
        <f t="shared" si="78"/>
        <v>47.735546838977235</v>
      </c>
      <c r="CP9">
        <f t="shared" si="79"/>
        <v>4.6794173654829407</v>
      </c>
      <c r="CQ9">
        <f t="shared" si="80"/>
        <v>263.37577169703303</v>
      </c>
      <c r="CR9">
        <f t="shared" si="81"/>
        <v>135.02185814453711</v>
      </c>
      <c r="CS9">
        <f t="shared" si="82"/>
        <v>46.591179911716438</v>
      </c>
      <c r="CT9">
        <f t="shared" si="83"/>
        <v>70.781147178153901</v>
      </c>
      <c r="CV9" t="s">
        <v>73</v>
      </c>
      <c r="CW9">
        <v>0.34042979720790301</v>
      </c>
      <c r="CZ9" t="s">
        <v>73</v>
      </c>
      <c r="DA9">
        <f>gC44p</f>
        <v>0.34042979720790301</v>
      </c>
    </row>
    <row r="10" spans="1:105" x14ac:dyDescent="0.25">
      <c r="A10">
        <f>Align!A10</f>
        <v>180</v>
      </c>
      <c r="B10">
        <f>Align!B10</f>
        <v>5.1222720220651237</v>
      </c>
      <c r="C10">
        <f>Align!C10</f>
        <v>0.213345720055653</v>
      </c>
      <c r="D10">
        <f>Align!D10</f>
        <v>0.50523364660407499</v>
      </c>
      <c r="E10">
        <f>Align!F10</f>
        <v>0.19446956506388374</v>
      </c>
      <c r="F10">
        <f>Align!G10</f>
        <v>0.39583686159097592</v>
      </c>
      <c r="G10">
        <f t="shared" si="0"/>
        <v>6.5996168080274185</v>
      </c>
      <c r="H10">
        <f t="shared" si="1"/>
        <v>2.7868294391394235</v>
      </c>
      <c r="I10">
        <f t="shared" si="2"/>
        <v>6.2426220761135447</v>
      </c>
      <c r="J10">
        <f t="shared" si="3"/>
        <v>3.066920031450846</v>
      </c>
      <c r="K10">
        <f t="shared" si="4"/>
        <v>28.615105954707978</v>
      </c>
      <c r="L10">
        <f t="shared" si="5"/>
        <v>6.9280330575670276E-2</v>
      </c>
      <c r="M10">
        <f t="shared" si="84"/>
        <v>4.808705025690424E-2</v>
      </c>
      <c r="N10">
        <f t="shared" si="85"/>
        <v>0.37794639599878793</v>
      </c>
      <c r="O10">
        <f t="shared" si="6"/>
        <v>0.69660761766426993</v>
      </c>
      <c r="P10">
        <f t="shared" si="7"/>
        <v>0.60062617034405097</v>
      </c>
      <c r="Q10">
        <f t="shared" si="8"/>
        <v>6.285945511465127</v>
      </c>
      <c r="R10">
        <f t="shared" si="9"/>
        <v>-1.066828158926858E-2</v>
      </c>
      <c r="S10">
        <f t="shared" si="10"/>
        <v>6.5303172473537696</v>
      </c>
      <c r="T10">
        <f t="shared" si="11"/>
        <v>2.7575662165277945</v>
      </c>
      <c r="U10">
        <f t="shared" si="12"/>
        <v>6.1770711540054482</v>
      </c>
      <c r="V10">
        <f t="shared" si="13"/>
        <v>3.0347157055054002</v>
      </c>
      <c r="W10">
        <f t="shared" si="14"/>
        <v>239.84784467391552</v>
      </c>
      <c r="X10">
        <f t="shared" si="15"/>
        <v>57.890411499503855</v>
      </c>
      <c r="Y10">
        <f t="shared" si="16"/>
        <v>268.06441883899555</v>
      </c>
      <c r="Z10">
        <f t="shared" si="17"/>
        <v>130.1407429464295</v>
      </c>
      <c r="AA10">
        <f t="shared" si="18"/>
        <v>47.799407322473009</v>
      </c>
      <c r="AB10">
        <f t="shared" si="19"/>
        <v>5.3977002542150103</v>
      </c>
      <c r="AC10">
        <f t="shared" si="20"/>
        <v>267.07004912060177</v>
      </c>
      <c r="AD10">
        <f t="shared" si="21"/>
        <v>137.03576062293379</v>
      </c>
      <c r="AE10">
        <f t="shared" si="22"/>
        <v>46.771928520327798</v>
      </c>
      <c r="AF10">
        <f t="shared" si="23"/>
        <v>49.661613296088198</v>
      </c>
      <c r="AG10">
        <f t="shared" si="24"/>
        <v>29.920557269405194</v>
      </c>
      <c r="AH10">
        <f t="shared" si="25"/>
        <v>6.6257589460980329E-2</v>
      </c>
      <c r="AI10">
        <f t="shared" si="86"/>
        <v>4.5900819343901778E-2</v>
      </c>
      <c r="AJ10">
        <f t="shared" si="87"/>
        <v>0.3539282322081288</v>
      </c>
      <c r="AK10">
        <f t="shared" si="26"/>
        <v>0.69707277457349937</v>
      </c>
      <c r="AL10">
        <f t="shared" si="27"/>
        <v>0.60102723603141217</v>
      </c>
      <c r="AM10">
        <f t="shared" si="28"/>
        <v>6.2733700658039773</v>
      </c>
      <c r="AN10">
        <f t="shared" si="29"/>
        <v>-9.9869707344747427E-3</v>
      </c>
      <c r="AO10">
        <f t="shared" si="30"/>
        <v>6.5346778401897367</v>
      </c>
      <c r="AP10">
        <f t="shared" si="31"/>
        <v>2.7594075701761747</v>
      </c>
      <c r="AQ10">
        <f t="shared" si="32"/>
        <v>6.181195868196375</v>
      </c>
      <c r="AR10">
        <f t="shared" si="33"/>
        <v>3.0367421246001212</v>
      </c>
      <c r="AS10">
        <f t="shared" si="34"/>
        <v>239.68779412226093</v>
      </c>
      <c r="AT10">
        <f t="shared" si="35"/>
        <v>57.851781207417631</v>
      </c>
      <c r="AU10">
        <f t="shared" si="36"/>
        <v>267.8855393574122</v>
      </c>
      <c r="AV10">
        <f t="shared" si="37"/>
        <v>142.09770649620549</v>
      </c>
      <c r="AW10">
        <f t="shared" si="38"/>
        <v>47.767510761046218</v>
      </c>
      <c r="AX10">
        <f t="shared" si="39"/>
        <v>5.0377672120863304</v>
      </c>
      <c r="AY10">
        <f t="shared" si="40"/>
        <v>265.22100890952009</v>
      </c>
      <c r="AZ10">
        <f t="shared" si="41"/>
        <v>136.0272970645743</v>
      </c>
      <c r="BA10">
        <f t="shared" si="42"/>
        <v>46.682412694128601</v>
      </c>
      <c r="BB10">
        <f t="shared" si="43"/>
        <v>45.134172053118924</v>
      </c>
      <c r="BC10">
        <f t="shared" si="44"/>
        <v>29.485406831172789</v>
      </c>
      <c r="BD10">
        <f t="shared" si="45"/>
        <v>6.7235429761955456E-2</v>
      </c>
      <c r="BE10">
        <f t="shared" si="88"/>
        <v>4.6607098325774393E-2</v>
      </c>
      <c r="BF10">
        <f t="shared" si="89"/>
        <v>0.36157283591777534</v>
      </c>
      <c r="BG10">
        <f t="shared" si="46"/>
        <v>0.69692465506566248</v>
      </c>
      <c r="BH10">
        <f t="shared" si="47"/>
        <v>0.60089952503530841</v>
      </c>
      <c r="BI10">
        <f t="shared" si="48"/>
        <v>6.277370810997974</v>
      </c>
      <c r="BJ10">
        <f t="shared" si="49"/>
        <v>-1.0203771921884486E-2</v>
      </c>
      <c r="BK10">
        <f t="shared" si="50"/>
        <v>6.533289300426218</v>
      </c>
      <c r="BL10">
        <f t="shared" si="51"/>
        <v>2.7588212295441426</v>
      </c>
      <c r="BM10">
        <f t="shared" si="52"/>
        <v>6.1798824390635252</v>
      </c>
      <c r="BN10">
        <f t="shared" si="53"/>
        <v>3.0360968537398461</v>
      </c>
      <c r="BO10">
        <f t="shared" si="54"/>
        <v>239.73873569512941</v>
      </c>
      <c r="BP10">
        <f t="shared" si="55"/>
        <v>57.86407662170329</v>
      </c>
      <c r="BQ10">
        <f t="shared" si="56"/>
        <v>267.94247388248294</v>
      </c>
      <c r="BR10">
        <f t="shared" si="57"/>
        <v>138.11245154539961</v>
      </c>
      <c r="BS10">
        <f t="shared" si="58"/>
        <v>43.762207528026522</v>
      </c>
      <c r="BT10">
        <f t="shared" si="59"/>
        <v>5.1520743910071678</v>
      </c>
      <c r="BU10">
        <f t="shared" si="60"/>
        <v>265.80869497264564</v>
      </c>
      <c r="BV10">
        <f t="shared" si="61"/>
        <v>136.34771679947397</v>
      </c>
      <c r="BW10">
        <f t="shared" si="62"/>
        <v>46.711070314387861</v>
      </c>
      <c r="BX10">
        <f t="shared" si="63"/>
        <v>16.363981073525011</v>
      </c>
      <c r="BY10">
        <f t="shared" si="64"/>
        <v>28.615105954707978</v>
      </c>
      <c r="BZ10">
        <f t="shared" si="65"/>
        <v>6.9280330575670276E-2</v>
      </c>
      <c r="CA10">
        <f t="shared" si="90"/>
        <v>4.808705025690424E-2</v>
      </c>
      <c r="CB10">
        <f t="shared" si="91"/>
        <v>0.37794639599878793</v>
      </c>
      <c r="CC10">
        <f t="shared" si="66"/>
        <v>0.69660761766426993</v>
      </c>
      <c r="CD10">
        <f t="shared" si="67"/>
        <v>0.60062617034405097</v>
      </c>
      <c r="CE10">
        <f t="shared" si="68"/>
        <v>6.285945511465127</v>
      </c>
      <c r="CF10">
        <f t="shared" si="69"/>
        <v>-1.066828158926858E-2</v>
      </c>
      <c r="CG10">
        <f t="shared" si="70"/>
        <v>6.5303172473537696</v>
      </c>
      <c r="CH10">
        <f t="shared" si="71"/>
        <v>2.7575662165277945</v>
      </c>
      <c r="CI10">
        <f t="shared" si="72"/>
        <v>6.1770711540054482</v>
      </c>
      <c r="CJ10">
        <f t="shared" si="73"/>
        <v>3.0347157055054002</v>
      </c>
      <c r="CK10">
        <f t="shared" si="74"/>
        <v>239.84784467391552</v>
      </c>
      <c r="CL10">
        <f t="shared" si="75"/>
        <v>57.890411499503855</v>
      </c>
      <c r="CM10">
        <f t="shared" si="76"/>
        <v>260.0298530279772</v>
      </c>
      <c r="CN10">
        <f t="shared" si="77"/>
        <v>134.15802585193867</v>
      </c>
      <c r="CO10">
        <f t="shared" si="78"/>
        <v>47.799407322473009</v>
      </c>
      <c r="CP10">
        <f t="shared" si="79"/>
        <v>5.3977002542150103</v>
      </c>
      <c r="CQ10">
        <f t="shared" si="80"/>
        <v>267.07004912060177</v>
      </c>
      <c r="CR10">
        <f t="shared" si="81"/>
        <v>137.03576062293379</v>
      </c>
      <c r="CS10">
        <f t="shared" si="82"/>
        <v>46.771928520327798</v>
      </c>
      <c r="CT10">
        <f t="shared" si="83"/>
        <v>58.977291834723552</v>
      </c>
      <c r="CZ10" t="s">
        <v>74</v>
      </c>
      <c r="DA10">
        <f>gK0</f>
        <v>160.78687121139208</v>
      </c>
    </row>
    <row r="11" spans="1:105" x14ac:dyDescent="0.25">
      <c r="A11">
        <f>Align!A11</f>
        <v>210</v>
      </c>
      <c r="B11">
        <f>Align!B11</f>
        <v>5.7679365626615837</v>
      </c>
      <c r="C11">
        <f>Align!C11</f>
        <v>0.21174572005565301</v>
      </c>
      <c r="D11">
        <f>Align!D11</f>
        <v>0.50423364660407499</v>
      </c>
      <c r="E11">
        <f>Align!F11</f>
        <v>0.19347266547115427</v>
      </c>
      <c r="F11">
        <f>Align!G11</f>
        <v>0.39390327910631706</v>
      </c>
      <c r="G11">
        <f t="shared" si="0"/>
        <v>6.6494850504177183</v>
      </c>
      <c r="H11">
        <f t="shared" si="1"/>
        <v>2.7923563004623602</v>
      </c>
      <c r="I11">
        <f t="shared" si="2"/>
        <v>6.2747882086785065</v>
      </c>
      <c r="J11">
        <f t="shared" si="3"/>
        <v>3.0819748511723697</v>
      </c>
      <c r="K11">
        <f t="shared" si="4"/>
        <v>28.976628785461706</v>
      </c>
      <c r="L11">
        <f t="shared" si="5"/>
        <v>6.8415964282037223E-2</v>
      </c>
      <c r="M11">
        <f t="shared" si="84"/>
        <v>4.4452807480568214E-2</v>
      </c>
      <c r="N11">
        <f t="shared" si="85"/>
        <v>0.42239920347935617</v>
      </c>
      <c r="O11">
        <f t="shared" si="6"/>
        <v>0.6957483411787414</v>
      </c>
      <c r="P11">
        <f t="shared" si="7"/>
        <v>0.59988528848792055</v>
      </c>
      <c r="Q11">
        <f t="shared" si="8"/>
        <v>6.3092644552180914</v>
      </c>
      <c r="R11">
        <f t="shared" si="9"/>
        <v>-1.193045123059211E-2</v>
      </c>
      <c r="S11">
        <f t="shared" si="10"/>
        <v>6.5715457294331925</v>
      </c>
      <c r="T11">
        <f t="shared" si="11"/>
        <v>2.7596267954924634</v>
      </c>
      <c r="U11">
        <f t="shared" si="12"/>
        <v>6.2012407491988597</v>
      </c>
      <c r="V11">
        <f t="shared" si="13"/>
        <v>3.0458506963888849</v>
      </c>
      <c r="W11">
        <f t="shared" si="14"/>
        <v>242.62520523518046</v>
      </c>
      <c r="X11">
        <f t="shared" si="15"/>
        <v>58.532348991404866</v>
      </c>
      <c r="Y11">
        <f t="shared" si="16"/>
        <v>272.46693110086028</v>
      </c>
      <c r="Z11">
        <f t="shared" si="17"/>
        <v>131.60743000778348</v>
      </c>
      <c r="AA11">
        <f t="shared" si="18"/>
        <v>48.048456147278529</v>
      </c>
      <c r="AB11">
        <f t="shared" si="19"/>
        <v>6.0700567292311822</v>
      </c>
      <c r="AC11">
        <f t="shared" si="20"/>
        <v>270.51257634648198</v>
      </c>
      <c r="AD11">
        <f t="shared" si="21"/>
        <v>138.91584512775933</v>
      </c>
      <c r="AE11">
        <f t="shared" si="22"/>
        <v>46.933522010709105</v>
      </c>
      <c r="AF11">
        <f t="shared" si="23"/>
        <v>58.566788795788511</v>
      </c>
      <c r="AG11">
        <f t="shared" si="24"/>
        <v>30.416682608365381</v>
      </c>
      <c r="AH11">
        <f t="shared" si="25"/>
        <v>6.517686447024866E-2</v>
      </c>
      <c r="AI11">
        <f t="shared" si="86"/>
        <v>4.2431283158026779E-2</v>
      </c>
      <c r="AJ11">
        <f t="shared" si="87"/>
        <v>0.3963595153661556</v>
      </c>
      <c r="AK11">
        <f t="shared" si="26"/>
        <v>0.69625143315823501</v>
      </c>
      <c r="AL11">
        <f t="shared" si="27"/>
        <v>0.60031906239637589</v>
      </c>
      <c r="AM11">
        <f t="shared" si="28"/>
        <v>6.2955976365970239</v>
      </c>
      <c r="AN11">
        <f t="shared" si="29"/>
        <v>-1.1190905017105512E-2</v>
      </c>
      <c r="AO11">
        <f t="shared" si="30"/>
        <v>6.5762975797124934</v>
      </c>
      <c r="AP11">
        <f t="shared" si="31"/>
        <v>2.7616222671666839</v>
      </c>
      <c r="AQ11">
        <f t="shared" si="32"/>
        <v>6.2057248338875057</v>
      </c>
      <c r="AR11">
        <f t="shared" si="33"/>
        <v>3.0480531350659099</v>
      </c>
      <c r="AS11">
        <f t="shared" si="34"/>
        <v>242.44989098954485</v>
      </c>
      <c r="AT11">
        <f t="shared" si="35"/>
        <v>58.490055139046198</v>
      </c>
      <c r="AU11">
        <f t="shared" si="36"/>
        <v>272.27005405158468</v>
      </c>
      <c r="AV11">
        <f t="shared" si="37"/>
        <v>144.81362629963101</v>
      </c>
      <c r="AW11">
        <f t="shared" si="38"/>
        <v>48.013737665184941</v>
      </c>
      <c r="AX11">
        <f t="shared" si="39"/>
        <v>5.6752242222906295</v>
      </c>
      <c r="AY11">
        <f t="shared" si="40"/>
        <v>268.49279768985645</v>
      </c>
      <c r="AZ11">
        <f t="shared" si="41"/>
        <v>137.81237367055965</v>
      </c>
      <c r="BA11">
        <f t="shared" si="42"/>
        <v>46.839511079925629</v>
      </c>
      <c r="BB11">
        <f t="shared" si="43"/>
        <v>64.67260764988184</v>
      </c>
      <c r="BC11">
        <f t="shared" si="44"/>
        <v>29.936664667397487</v>
      </c>
      <c r="BD11">
        <f t="shared" si="45"/>
        <v>6.6221939619045184E-2</v>
      </c>
      <c r="BE11">
        <f t="shared" si="88"/>
        <v>4.3084345545297928E-2</v>
      </c>
      <c r="BF11">
        <f t="shared" si="89"/>
        <v>0.40465718146307328</v>
      </c>
      <c r="BG11">
        <f t="shared" si="46"/>
        <v>0.6960910416264311</v>
      </c>
      <c r="BH11">
        <f t="shared" si="47"/>
        <v>0.60018077026597116</v>
      </c>
      <c r="BI11">
        <f t="shared" si="48"/>
        <v>6.2999504863213742</v>
      </c>
      <c r="BJ11">
        <f t="shared" si="49"/>
        <v>-1.1426506780208179E-2</v>
      </c>
      <c r="BK11">
        <f t="shared" si="50"/>
        <v>6.5747826349781979</v>
      </c>
      <c r="BL11">
        <f t="shared" si="51"/>
        <v>2.7609860877570624</v>
      </c>
      <c r="BM11">
        <f t="shared" si="52"/>
        <v>6.204295255915155</v>
      </c>
      <c r="BN11">
        <f t="shared" si="53"/>
        <v>3.0473509721861363</v>
      </c>
      <c r="BO11">
        <f t="shared" si="54"/>
        <v>242.50575567832271</v>
      </c>
      <c r="BP11">
        <f t="shared" si="55"/>
        <v>58.50353226915999</v>
      </c>
      <c r="BQ11">
        <f t="shared" si="56"/>
        <v>272.33278982668043</v>
      </c>
      <c r="BR11">
        <f t="shared" si="57"/>
        <v>140.41220821418162</v>
      </c>
      <c r="BS11">
        <f t="shared" si="58"/>
        <v>43.590015194981135</v>
      </c>
      <c r="BT11">
        <f t="shared" si="59"/>
        <v>5.8007388040929246</v>
      </c>
      <c r="BU11">
        <f t="shared" si="60"/>
        <v>269.13542443130746</v>
      </c>
      <c r="BV11">
        <f t="shared" si="61"/>
        <v>138.16333874162456</v>
      </c>
      <c r="BW11">
        <f t="shared" si="62"/>
        <v>46.86966788432666</v>
      </c>
      <c r="BX11">
        <f t="shared" si="63"/>
        <v>26.037757125901877</v>
      </c>
      <c r="BY11">
        <f t="shared" si="64"/>
        <v>28.976628785461706</v>
      </c>
      <c r="BZ11">
        <f t="shared" si="65"/>
        <v>6.8415964282037223E-2</v>
      </c>
      <c r="CA11">
        <f t="shared" si="90"/>
        <v>4.4452807480568214E-2</v>
      </c>
      <c r="CB11">
        <f t="shared" si="91"/>
        <v>0.42239920347935617</v>
      </c>
      <c r="CC11">
        <f t="shared" si="66"/>
        <v>0.6957483411787414</v>
      </c>
      <c r="CD11">
        <f t="shared" si="67"/>
        <v>0.59988528848792055</v>
      </c>
      <c r="CE11">
        <f t="shared" si="68"/>
        <v>6.3092644552180914</v>
      </c>
      <c r="CF11">
        <f t="shared" si="69"/>
        <v>-1.193045123059211E-2</v>
      </c>
      <c r="CG11">
        <f t="shared" si="70"/>
        <v>6.5715457294331925</v>
      </c>
      <c r="CH11">
        <f t="shared" si="71"/>
        <v>2.7596267954924634</v>
      </c>
      <c r="CI11">
        <f t="shared" si="72"/>
        <v>6.2012407491988597</v>
      </c>
      <c r="CJ11">
        <f t="shared" si="73"/>
        <v>3.0458506963888849</v>
      </c>
      <c r="CK11">
        <f t="shared" si="74"/>
        <v>242.62520523518046</v>
      </c>
      <c r="CL11">
        <f t="shared" si="75"/>
        <v>58.532348991404866</v>
      </c>
      <c r="CM11">
        <f t="shared" si="76"/>
        <v>263.59299092343315</v>
      </c>
      <c r="CN11">
        <f t="shared" si="77"/>
        <v>136.04440009649707</v>
      </c>
      <c r="CO11">
        <f t="shared" si="78"/>
        <v>48.048456147278529</v>
      </c>
      <c r="CP11">
        <f t="shared" si="79"/>
        <v>6.0700567292311822</v>
      </c>
      <c r="CQ11">
        <f t="shared" si="80"/>
        <v>270.51257634648198</v>
      </c>
      <c r="CR11">
        <f t="shared" si="81"/>
        <v>138.91584512775933</v>
      </c>
      <c r="CS11">
        <f t="shared" si="82"/>
        <v>46.933522010709105</v>
      </c>
      <c r="CT11">
        <f t="shared" si="83"/>
        <v>57.46021371836639</v>
      </c>
      <c r="CV11" t="s">
        <v>74</v>
      </c>
      <c r="CW11">
        <f>(gC11_0+2*gC12_0)/3</f>
        <v>160.78687121139208</v>
      </c>
      <c r="CZ11" t="s">
        <v>75</v>
      </c>
      <c r="DA11">
        <f>gK0p</f>
        <v>3.6871427631910891</v>
      </c>
    </row>
    <row r="12" spans="1:105" x14ac:dyDescent="0.25">
      <c r="A12">
        <f>Align!A12</f>
        <v>240</v>
      </c>
      <c r="B12">
        <f>Align!B12</f>
        <v>6.5857783140837629</v>
      </c>
      <c r="C12">
        <f>Align!C12</f>
        <v>0.21074572005565301</v>
      </c>
      <c r="D12">
        <f>Align!D12</f>
        <v>0.50423364660407499</v>
      </c>
      <c r="E12">
        <f>Align!F12</f>
        <v>0.19225680667996245</v>
      </c>
      <c r="F12">
        <f>Align!G12</f>
        <v>0.39172305379778766</v>
      </c>
      <c r="G12">
        <f t="shared" si="0"/>
        <v>6.6810372216725451</v>
      </c>
      <c r="H12">
        <f t="shared" si="1"/>
        <v>2.7923563004623602</v>
      </c>
      <c r="I12">
        <f t="shared" si="2"/>
        <v>6.3144708422254601</v>
      </c>
      <c r="J12">
        <f t="shared" si="3"/>
        <v>3.0991282954377302</v>
      </c>
      <c r="K12">
        <f t="shared" si="4"/>
        <v>29.476203739006394</v>
      </c>
      <c r="L12">
        <f t="shared" si="5"/>
        <v>6.72564220804516E-2</v>
      </c>
      <c r="M12">
        <f t="shared" si="84"/>
        <v>5.5479271041162216E-2</v>
      </c>
      <c r="N12">
        <f t="shared" si="85"/>
        <v>0.4778784745205184</v>
      </c>
      <c r="O12">
        <f t="shared" si="6"/>
        <v>0.69467889148108908</v>
      </c>
      <c r="P12">
        <f t="shared" si="7"/>
        <v>0.59896319194463221</v>
      </c>
      <c r="Q12">
        <f t="shared" si="8"/>
        <v>6.3384484450327028</v>
      </c>
      <c r="R12">
        <f t="shared" si="9"/>
        <v>-1.3507885914100015E-2</v>
      </c>
      <c r="S12">
        <f t="shared" si="10"/>
        <v>6.5925788793968456</v>
      </c>
      <c r="T12">
        <f t="shared" si="11"/>
        <v>2.7553849139565729</v>
      </c>
      <c r="U12">
        <f t="shared" si="12"/>
        <v>6.2308659161460822</v>
      </c>
      <c r="V12">
        <f t="shared" si="13"/>
        <v>3.058095183000511</v>
      </c>
      <c r="W12">
        <f t="shared" si="14"/>
        <v>246.08195792287353</v>
      </c>
      <c r="X12">
        <f t="shared" si="15"/>
        <v>59.276828521664207</v>
      </c>
      <c r="Y12">
        <f t="shared" si="16"/>
        <v>275.48225659060574</v>
      </c>
      <c r="Z12">
        <f t="shared" si="17"/>
        <v>135.13695626768552</v>
      </c>
      <c r="AA12">
        <f t="shared" si="18"/>
        <v>48.122426160660964</v>
      </c>
      <c r="AB12">
        <f t="shared" si="19"/>
        <v>6.9205438402405992</v>
      </c>
      <c r="AC12">
        <f t="shared" si="20"/>
        <v>274.84617097965042</v>
      </c>
      <c r="AD12">
        <f t="shared" si="21"/>
        <v>141.28725307728467</v>
      </c>
      <c r="AE12">
        <f t="shared" si="22"/>
        <v>47.12760412166994</v>
      </c>
      <c r="AF12">
        <f t="shared" si="23"/>
        <v>39.332494597395261</v>
      </c>
      <c r="AG12">
        <f t="shared" si="24"/>
        <v>30.625235113363022</v>
      </c>
      <c r="AH12">
        <f t="shared" si="25"/>
        <v>6.4733021400869867E-2</v>
      </c>
      <c r="AI12">
        <f t="shared" si="86"/>
        <v>5.3122864293945485E-2</v>
      </c>
      <c r="AJ12">
        <f t="shared" si="87"/>
        <v>0.44948237966010107</v>
      </c>
      <c r="AK12">
        <f t="shared" si="26"/>
        <v>0.69522585954837846</v>
      </c>
      <c r="AL12">
        <f t="shared" si="27"/>
        <v>0.59943479651401377</v>
      </c>
      <c r="AM12">
        <f t="shared" si="28"/>
        <v>6.3234999130064757</v>
      </c>
      <c r="AN12">
        <f t="shared" si="29"/>
        <v>-1.2700200400015849E-2</v>
      </c>
      <c r="AO12">
        <f t="shared" si="30"/>
        <v>6.5977696663522805</v>
      </c>
      <c r="AP12">
        <f t="shared" si="31"/>
        <v>2.7575544164123218</v>
      </c>
      <c r="AQ12">
        <f t="shared" si="32"/>
        <v>6.2357719018172846</v>
      </c>
      <c r="AR12">
        <f t="shared" si="33"/>
        <v>3.0605030298954503</v>
      </c>
      <c r="AS12">
        <f t="shared" si="34"/>
        <v>245.88835325315176</v>
      </c>
      <c r="AT12">
        <f t="shared" si="35"/>
        <v>59.230192551660743</v>
      </c>
      <c r="AU12">
        <f t="shared" si="36"/>
        <v>275.26552127302455</v>
      </c>
      <c r="AV12">
        <f t="shared" si="37"/>
        <v>145.6595095206751</v>
      </c>
      <c r="AW12">
        <f t="shared" si="38"/>
        <v>48.084565902632789</v>
      </c>
      <c r="AX12">
        <f t="shared" si="39"/>
        <v>6.4836560799749225</v>
      </c>
      <c r="AY12">
        <f t="shared" si="40"/>
        <v>272.62293215781654</v>
      </c>
      <c r="AZ12">
        <f t="shared" si="41"/>
        <v>140.07001264443463</v>
      </c>
      <c r="BA12">
        <f t="shared" si="42"/>
        <v>47.029332812295095</v>
      </c>
      <c r="BB12">
        <f t="shared" si="43"/>
        <v>39.349698386960902</v>
      </c>
      <c r="BC12">
        <f t="shared" si="44"/>
        <v>30.242224655244147</v>
      </c>
      <c r="BD12">
        <f t="shared" si="45"/>
        <v>6.5552849454685563E-2</v>
      </c>
      <c r="BE12">
        <f t="shared" si="88"/>
        <v>5.3885462144674101E-2</v>
      </c>
      <c r="BF12">
        <f t="shared" si="89"/>
        <v>0.45854264360774738</v>
      </c>
      <c r="BG12">
        <f t="shared" si="46"/>
        <v>0.69505124640607863</v>
      </c>
      <c r="BH12">
        <f t="shared" si="47"/>
        <v>0.59928424228478649</v>
      </c>
      <c r="BI12">
        <f t="shared" si="48"/>
        <v>6.3282669439763861</v>
      </c>
      <c r="BJ12">
        <f t="shared" si="49"/>
        <v>-1.2957837340598188E-2</v>
      </c>
      <c r="BK12">
        <f t="shared" si="50"/>
        <v>6.5961125684785618</v>
      </c>
      <c r="BL12">
        <f t="shared" si="51"/>
        <v>2.7568618281906678</v>
      </c>
      <c r="BM12">
        <f t="shared" si="52"/>
        <v>6.2342057234142709</v>
      </c>
      <c r="BN12">
        <f t="shared" si="53"/>
        <v>3.0597343530061649</v>
      </c>
      <c r="BO12">
        <f t="shared" si="54"/>
        <v>245.95012616304646</v>
      </c>
      <c r="BP12">
        <f t="shared" si="55"/>
        <v>59.245072562442587</v>
      </c>
      <c r="BQ12">
        <f t="shared" si="56"/>
        <v>275.33467441516314</v>
      </c>
      <c r="BR12">
        <f t="shared" si="57"/>
        <v>142.15225516421964</v>
      </c>
      <c r="BS12">
        <f t="shared" si="58"/>
        <v>44.552798436384251</v>
      </c>
      <c r="BT12">
        <f t="shared" si="59"/>
        <v>6.6226918752784236</v>
      </c>
      <c r="BU12">
        <f t="shared" si="60"/>
        <v>273.33111727040927</v>
      </c>
      <c r="BV12">
        <f t="shared" si="61"/>
        <v>140.45760072865761</v>
      </c>
      <c r="BW12">
        <f t="shared" si="62"/>
        <v>47.060932327736737</v>
      </c>
      <c r="BX12">
        <f t="shared" si="63"/>
        <v>13.178193116215375</v>
      </c>
      <c r="BY12">
        <f t="shared" si="64"/>
        <v>29.476203739006394</v>
      </c>
      <c r="BZ12">
        <f t="shared" si="65"/>
        <v>6.72564220804516E-2</v>
      </c>
      <c r="CA12">
        <f t="shared" si="90"/>
        <v>5.5479271041162216E-2</v>
      </c>
      <c r="CB12">
        <f t="shared" si="91"/>
        <v>0.4778784745205184</v>
      </c>
      <c r="CC12">
        <f t="shared" si="66"/>
        <v>0.69467889148108908</v>
      </c>
      <c r="CD12">
        <f t="shared" si="67"/>
        <v>0.59896319194463221</v>
      </c>
      <c r="CE12">
        <f t="shared" si="68"/>
        <v>6.3384484450327028</v>
      </c>
      <c r="CF12">
        <f t="shared" si="69"/>
        <v>-1.3507885914100015E-2</v>
      </c>
      <c r="CG12">
        <f t="shared" si="70"/>
        <v>6.5925788793968456</v>
      </c>
      <c r="CH12">
        <f t="shared" si="71"/>
        <v>2.7553849139565729</v>
      </c>
      <c r="CI12">
        <f t="shared" si="72"/>
        <v>6.2308659161460822</v>
      </c>
      <c r="CJ12">
        <f t="shared" si="73"/>
        <v>3.058095183000511</v>
      </c>
      <c r="CK12">
        <f t="shared" si="74"/>
        <v>246.08195792287353</v>
      </c>
      <c r="CL12">
        <f t="shared" si="75"/>
        <v>59.276828521664207</v>
      </c>
      <c r="CM12">
        <f t="shared" si="76"/>
        <v>268.39076264488</v>
      </c>
      <c r="CN12">
        <f t="shared" si="77"/>
        <v>138.68270324054834</v>
      </c>
      <c r="CO12">
        <f t="shared" si="78"/>
        <v>48.122426160660964</v>
      </c>
      <c r="CP12">
        <f t="shared" si="79"/>
        <v>6.9205438402405992</v>
      </c>
      <c r="CQ12">
        <f t="shared" si="80"/>
        <v>274.84617097965042</v>
      </c>
      <c r="CR12">
        <f t="shared" si="81"/>
        <v>141.28725307728467</v>
      </c>
      <c r="CS12">
        <f t="shared" si="82"/>
        <v>47.12760412166994</v>
      </c>
      <c r="CT12">
        <f t="shared" si="83"/>
        <v>49.557715467432082</v>
      </c>
      <c r="CV12" t="s">
        <v>75</v>
      </c>
      <c r="CW12">
        <f>(gC11p+2*gC12p)/3</f>
        <v>3.6871427631910891</v>
      </c>
      <c r="CZ12" t="s">
        <v>81</v>
      </c>
      <c r="DA12">
        <f>(AC4-AD4+3*AE4)/5</f>
        <v>50.538670968784615</v>
      </c>
    </row>
    <row r="13" spans="1:105" x14ac:dyDescent="0.25">
      <c r="A13">
        <f>Align!A13</f>
        <v>270</v>
      </c>
      <c r="B13">
        <f>Align!B13</f>
        <v>7.274487157386611</v>
      </c>
      <c r="C13">
        <f>Align!C13</f>
        <v>0.20914572005565299</v>
      </c>
      <c r="D13">
        <f>Align!D13</f>
        <v>0.50463364660407495</v>
      </c>
      <c r="E13">
        <f>Align!F13</f>
        <v>0.19126641879166884</v>
      </c>
      <c r="F13">
        <f>Align!G13</f>
        <v>0.39006855753094027</v>
      </c>
      <c r="G13">
        <f t="shared" si="0"/>
        <v>6.7321482821897369</v>
      </c>
      <c r="H13">
        <f t="shared" si="1"/>
        <v>2.7901429273991463</v>
      </c>
      <c r="I13">
        <f t="shared" si="2"/>
        <v>6.3471675146608604</v>
      </c>
      <c r="J13">
        <f t="shared" si="3"/>
        <v>3.1122734108188288</v>
      </c>
      <c r="K13">
        <f t="shared" si="4"/>
        <v>29.906672052078822</v>
      </c>
      <c r="L13">
        <f t="shared" si="5"/>
        <v>6.6288351861677572E-2</v>
      </c>
      <c r="M13">
        <f t="shared" si="84"/>
        <v>4.5986733395412052E-2</v>
      </c>
      <c r="N13">
        <f t="shared" si="85"/>
        <v>0.5238652079159305</v>
      </c>
      <c r="O13">
        <f t="shared" si="6"/>
        <v>0.69379491418772787</v>
      </c>
      <c r="P13">
        <f t="shared" si="7"/>
        <v>0.59820101265902115</v>
      </c>
      <c r="Q13">
        <f t="shared" si="8"/>
        <v>6.3627071403473794</v>
      </c>
      <c r="R13">
        <f t="shared" si="9"/>
        <v>-1.4817259856759635E-2</v>
      </c>
      <c r="S13">
        <f t="shared" si="10"/>
        <v>6.6345599996319438</v>
      </c>
      <c r="T13">
        <f t="shared" si="11"/>
        <v>2.7496974046681628</v>
      </c>
      <c r="U13">
        <f t="shared" si="12"/>
        <v>6.2551598596154356</v>
      </c>
      <c r="V13">
        <f t="shared" si="13"/>
        <v>3.0671583295281204</v>
      </c>
      <c r="W13">
        <f t="shared" si="14"/>
        <v>248.95380051672581</v>
      </c>
      <c r="X13">
        <f t="shared" si="15"/>
        <v>59.856914304107704</v>
      </c>
      <c r="Y13">
        <f t="shared" si="16"/>
        <v>280.06973867491422</v>
      </c>
      <c r="Z13">
        <f t="shared" si="17"/>
        <v>137.18106335495219</v>
      </c>
      <c r="AA13">
        <f t="shared" si="18"/>
        <v>48.107384041339721</v>
      </c>
      <c r="AB13">
        <f t="shared" si="19"/>
        <v>7.635140689460739</v>
      </c>
      <c r="AC13">
        <f t="shared" si="20"/>
        <v>278.46968373117994</v>
      </c>
      <c r="AD13">
        <f t="shared" si="21"/>
        <v>143.27408784779738</v>
      </c>
      <c r="AE13">
        <f t="shared" si="22"/>
        <v>47.281928225372233</v>
      </c>
      <c r="AF13">
        <f t="shared" si="23"/>
        <v>40.496571567691959</v>
      </c>
      <c r="AG13">
        <f t="shared" si="24"/>
        <v>31.139260629554144</v>
      </c>
      <c r="AH13">
        <f t="shared" si="25"/>
        <v>6.3664453166831184E-2</v>
      </c>
      <c r="AI13">
        <f t="shared" si="86"/>
        <v>4.4214238096264125E-2</v>
      </c>
      <c r="AJ13">
        <f t="shared" si="87"/>
        <v>0.4936966177563652</v>
      </c>
      <c r="AK13">
        <f t="shared" si="26"/>
        <v>0.69437457410539027</v>
      </c>
      <c r="AL13">
        <f t="shared" si="27"/>
        <v>0.59870080466189191</v>
      </c>
      <c r="AM13">
        <f t="shared" si="28"/>
        <v>6.3467857843627433</v>
      </c>
      <c r="AN13">
        <f t="shared" si="29"/>
        <v>-1.3958085623206995E-2</v>
      </c>
      <c r="AO13">
        <f t="shared" si="30"/>
        <v>6.6401031196872635</v>
      </c>
      <c r="AP13">
        <f t="shared" si="31"/>
        <v>2.7519947541277685</v>
      </c>
      <c r="AQ13">
        <f t="shared" si="32"/>
        <v>6.2603859939889253</v>
      </c>
      <c r="AR13">
        <f t="shared" si="33"/>
        <v>3.0697209149671227</v>
      </c>
      <c r="AS13">
        <f t="shared" si="34"/>
        <v>248.74597530985494</v>
      </c>
      <c r="AT13">
        <f t="shared" si="35"/>
        <v>59.806946094857302</v>
      </c>
      <c r="AU13">
        <f t="shared" si="36"/>
        <v>279.83593806107524</v>
      </c>
      <c r="AV13">
        <f t="shared" si="37"/>
        <v>148.48232404916445</v>
      </c>
      <c r="AW13">
        <f t="shared" si="38"/>
        <v>48.067224272661143</v>
      </c>
      <c r="AX13">
        <f t="shared" si="39"/>
        <v>7.1653566531449897</v>
      </c>
      <c r="AY13">
        <f t="shared" si="40"/>
        <v>276.0893397638589</v>
      </c>
      <c r="AZ13">
        <f t="shared" si="41"/>
        <v>141.96849460798092</v>
      </c>
      <c r="BA13">
        <f t="shared" si="42"/>
        <v>47.181365198760282</v>
      </c>
      <c r="BB13">
        <f t="shared" si="43"/>
        <v>57.26362855530224</v>
      </c>
      <c r="BC13">
        <f t="shared" si="44"/>
        <v>30.728397770395702</v>
      </c>
      <c r="BD13">
        <f t="shared" si="45"/>
        <v>6.4515697004870906E-2</v>
      </c>
      <c r="BE13">
        <f t="shared" si="88"/>
        <v>4.4789679091121942E-2</v>
      </c>
      <c r="BF13">
        <f t="shared" si="89"/>
        <v>0.50333232269886929</v>
      </c>
      <c r="BG13">
        <f t="shared" si="46"/>
        <v>0.69418932822036039</v>
      </c>
      <c r="BH13">
        <f t="shared" si="47"/>
        <v>0.59854108271272555</v>
      </c>
      <c r="BI13">
        <f t="shared" si="48"/>
        <v>6.3518680998295656</v>
      </c>
      <c r="BJ13">
        <f t="shared" si="49"/>
        <v>-1.4232423818506423E-2</v>
      </c>
      <c r="BK13">
        <f t="shared" si="50"/>
        <v>6.6383316668936745</v>
      </c>
      <c r="BL13">
        <f t="shared" si="51"/>
        <v>2.7512605744460275</v>
      </c>
      <c r="BM13">
        <f t="shared" si="52"/>
        <v>6.2587158424780078</v>
      </c>
      <c r="BN13">
        <f t="shared" si="53"/>
        <v>3.0689019720091086</v>
      </c>
      <c r="BO13">
        <f t="shared" si="54"/>
        <v>248.81235369752341</v>
      </c>
      <c r="BP13">
        <f t="shared" si="55"/>
        <v>59.822905704447805</v>
      </c>
      <c r="BQ13">
        <f t="shared" si="56"/>
        <v>279.91061287081658</v>
      </c>
      <c r="BR13">
        <f t="shared" si="57"/>
        <v>144.71567187527438</v>
      </c>
      <c r="BS13">
        <f t="shared" si="58"/>
        <v>44.273776117801219</v>
      </c>
      <c r="BT13">
        <f t="shared" si="59"/>
        <v>7.31499311807793</v>
      </c>
      <c r="BU13">
        <f t="shared" si="60"/>
        <v>276.8482753589488</v>
      </c>
      <c r="BV13">
        <f t="shared" si="61"/>
        <v>142.38459248995107</v>
      </c>
      <c r="BW13">
        <f t="shared" si="62"/>
        <v>47.213766807322557</v>
      </c>
      <c r="BX13">
        <f t="shared" si="63"/>
        <v>23.457028124595517</v>
      </c>
      <c r="BY13">
        <f t="shared" si="64"/>
        <v>29.906672052078822</v>
      </c>
      <c r="BZ13">
        <f t="shared" si="65"/>
        <v>6.6288351861677572E-2</v>
      </c>
      <c r="CA13">
        <f t="shared" si="90"/>
        <v>4.5986733395412052E-2</v>
      </c>
      <c r="CB13">
        <f t="shared" si="91"/>
        <v>0.5238652079159305</v>
      </c>
      <c r="CC13">
        <f t="shared" si="66"/>
        <v>0.69379491418772787</v>
      </c>
      <c r="CD13">
        <f t="shared" si="67"/>
        <v>0.59820101265902115</v>
      </c>
      <c r="CE13">
        <f t="shared" si="68"/>
        <v>6.3627071403473794</v>
      </c>
      <c r="CF13">
        <f t="shared" si="69"/>
        <v>-1.4817259856759635E-2</v>
      </c>
      <c r="CG13">
        <f t="shared" si="70"/>
        <v>6.6345599996319438</v>
      </c>
      <c r="CH13">
        <f t="shared" si="71"/>
        <v>2.7496974046681628</v>
      </c>
      <c r="CI13">
        <f t="shared" si="72"/>
        <v>6.2551598596154356</v>
      </c>
      <c r="CJ13">
        <f t="shared" si="73"/>
        <v>3.0671583295281204</v>
      </c>
      <c r="CK13">
        <f t="shared" si="74"/>
        <v>248.95380051672581</v>
      </c>
      <c r="CL13">
        <f t="shared" si="75"/>
        <v>59.856914304107704</v>
      </c>
      <c r="CM13">
        <f t="shared" si="76"/>
        <v>272.45286104226176</v>
      </c>
      <c r="CN13">
        <f t="shared" si="77"/>
        <v>140.98950217127839</v>
      </c>
      <c r="CO13">
        <f t="shared" si="78"/>
        <v>48.107384041339721</v>
      </c>
      <c r="CP13">
        <f t="shared" si="79"/>
        <v>7.635140689460739</v>
      </c>
      <c r="CQ13">
        <f t="shared" si="80"/>
        <v>278.46968373117994</v>
      </c>
      <c r="CR13">
        <f t="shared" si="81"/>
        <v>143.27408784779738</v>
      </c>
      <c r="CS13">
        <f t="shared" si="82"/>
        <v>47.281928225372233</v>
      </c>
      <c r="CT13">
        <f t="shared" si="83"/>
        <v>42.232935257548434</v>
      </c>
      <c r="CZ13" t="s">
        <v>82</v>
      </c>
      <c r="DA13">
        <f>5*(AC4-AD4)*AE4/(3*(AC4-AD4)+4*AE4)</f>
        <v>49.734157078984708</v>
      </c>
    </row>
    <row r="14" spans="1:105" x14ac:dyDescent="0.25">
      <c r="A14">
        <f>Align!A14</f>
        <v>300</v>
      </c>
      <c r="B14">
        <f>Align!B14</f>
        <v>7.834063092570239</v>
      </c>
      <c r="C14">
        <f>Align!C14</f>
        <v>0.20814572005565299</v>
      </c>
      <c r="D14">
        <f>Align!D14</f>
        <v>0.50383364660407504</v>
      </c>
      <c r="E14">
        <f>Align!F14</f>
        <v>0.19048251112180345</v>
      </c>
      <c r="F14">
        <f>Align!G14</f>
        <v>0.38881510212205178</v>
      </c>
      <c r="G14">
        <f t="shared" si="0"/>
        <v>6.7644917206250303</v>
      </c>
      <c r="H14">
        <f t="shared" si="1"/>
        <v>2.7945731879761522</v>
      </c>
      <c r="I14">
        <f t="shared" si="2"/>
        <v>6.3732885126850904</v>
      </c>
      <c r="J14">
        <f t="shared" si="3"/>
        <v>3.1223067040716872</v>
      </c>
      <c r="K14">
        <f t="shared" si="4"/>
        <v>30.205954061983476</v>
      </c>
      <c r="L14">
        <f t="shared" si="5"/>
        <v>6.5631563761632136E-2</v>
      </c>
      <c r="M14">
        <f t="shared" si="84"/>
        <v>3.6909605077129419E-2</v>
      </c>
      <c r="N14">
        <f t="shared" si="85"/>
        <v>0.56077481299305987</v>
      </c>
      <c r="O14">
        <f t="shared" si="6"/>
        <v>0.69308704725249171</v>
      </c>
      <c r="P14">
        <f t="shared" si="7"/>
        <v>0.59759067852594094</v>
      </c>
      <c r="Q14">
        <f t="shared" si="8"/>
        <v>6.3822222283119832</v>
      </c>
      <c r="R14">
        <f t="shared" si="9"/>
        <v>-1.5869388053484146E-2</v>
      </c>
      <c r="S14">
        <f t="shared" si="10"/>
        <v>6.6596329443351268</v>
      </c>
      <c r="T14">
        <f t="shared" si="11"/>
        <v>2.751253521570133</v>
      </c>
      <c r="U14">
        <f t="shared" si="12"/>
        <v>6.2744939155470654</v>
      </c>
      <c r="V14">
        <f t="shared" si="13"/>
        <v>3.0739067246331038</v>
      </c>
      <c r="W14">
        <f t="shared" si="14"/>
        <v>251.26345497306744</v>
      </c>
      <c r="X14">
        <f t="shared" si="15"/>
        <v>60.304995898898312</v>
      </c>
      <c r="Y14">
        <f t="shared" si="16"/>
        <v>283.05609328742344</v>
      </c>
      <c r="Z14">
        <f t="shared" si="17"/>
        <v>138.74800177017647</v>
      </c>
      <c r="AA14">
        <f t="shared" si="18"/>
        <v>48.309567022856506</v>
      </c>
      <c r="AB14">
        <f t="shared" si="19"/>
        <v>8.2150457387398106</v>
      </c>
      <c r="AC14">
        <f t="shared" si="20"/>
        <v>281.39863613517127</v>
      </c>
      <c r="AD14">
        <f t="shared" si="21"/>
        <v>144.88273550524545</v>
      </c>
      <c r="AE14">
        <f t="shared" si="22"/>
        <v>47.401395684888229</v>
      </c>
      <c r="AF14">
        <f t="shared" si="23"/>
        <v>41.352045167534676</v>
      </c>
      <c r="AG14">
        <f t="shared" si="24"/>
        <v>31.467176131792712</v>
      </c>
      <c r="AH14">
        <f t="shared" si="25"/>
        <v>6.3001013872262493E-2</v>
      </c>
      <c r="AI14">
        <f t="shared" si="86"/>
        <v>3.543947358693593E-2</v>
      </c>
      <c r="AJ14">
        <f t="shared" si="87"/>
        <v>0.52913609134330108</v>
      </c>
      <c r="AK14">
        <f t="shared" si="26"/>
        <v>0.69369373862430495</v>
      </c>
      <c r="AL14">
        <f t="shared" si="27"/>
        <v>0.5981137774786266</v>
      </c>
      <c r="AM14">
        <f t="shared" si="28"/>
        <v>6.365491558051553</v>
      </c>
      <c r="AN14">
        <f t="shared" si="29"/>
        <v>-1.4967443495091826E-2</v>
      </c>
      <c r="AO14">
        <f t="shared" si="30"/>
        <v>6.6654624312124069</v>
      </c>
      <c r="AP14">
        <f t="shared" si="31"/>
        <v>2.7536618219125275</v>
      </c>
      <c r="AQ14">
        <f t="shared" si="32"/>
        <v>6.2799862722952513</v>
      </c>
      <c r="AR14">
        <f t="shared" si="33"/>
        <v>3.076597458351165</v>
      </c>
      <c r="AS14">
        <f t="shared" si="34"/>
        <v>251.04370472638598</v>
      </c>
      <c r="AT14">
        <f t="shared" si="35"/>
        <v>60.252254294567798</v>
      </c>
      <c r="AU14">
        <f t="shared" si="36"/>
        <v>282.80853780295689</v>
      </c>
      <c r="AV14">
        <f t="shared" si="37"/>
        <v>150.31909131210301</v>
      </c>
      <c r="AW14">
        <f t="shared" si="38"/>
        <v>48.267316392849501</v>
      </c>
      <c r="AX14">
        <f t="shared" si="39"/>
        <v>7.7176066022977521</v>
      </c>
      <c r="AY14">
        <f t="shared" si="40"/>
        <v>278.88682515726407</v>
      </c>
      <c r="AZ14">
        <f t="shared" si="41"/>
        <v>143.50304678219499</v>
      </c>
      <c r="BA14">
        <f t="shared" si="42"/>
        <v>47.299230391192808</v>
      </c>
      <c r="BB14">
        <f t="shared" si="43"/>
        <v>62.789045729806347</v>
      </c>
      <c r="BC14">
        <f t="shared" si="44"/>
        <v>31.046768775189634</v>
      </c>
      <c r="BD14">
        <f t="shared" si="45"/>
        <v>6.3854116811803099E-2</v>
      </c>
      <c r="BE14">
        <f t="shared" si="88"/>
        <v>3.5916329307906787E-2</v>
      </c>
      <c r="BF14">
        <f t="shared" si="89"/>
        <v>0.53924865200677607</v>
      </c>
      <c r="BG14">
        <f t="shared" si="46"/>
        <v>0.6934997087817798</v>
      </c>
      <c r="BH14">
        <f t="shared" si="47"/>
        <v>0.59794648186156296</v>
      </c>
      <c r="BI14">
        <f t="shared" si="48"/>
        <v>6.3708359334013824</v>
      </c>
      <c r="BJ14">
        <f t="shared" si="49"/>
        <v>-1.5255642692747706E-2</v>
      </c>
      <c r="BK14">
        <f t="shared" si="50"/>
        <v>6.663598065781561</v>
      </c>
      <c r="BL14">
        <f t="shared" si="51"/>
        <v>2.7528916079983401</v>
      </c>
      <c r="BM14">
        <f t="shared" si="52"/>
        <v>6.2782297266042226</v>
      </c>
      <c r="BN14">
        <f t="shared" si="53"/>
        <v>3.0757369176152185</v>
      </c>
      <c r="BO14">
        <f t="shared" si="54"/>
        <v>251.11394263691153</v>
      </c>
      <c r="BP14">
        <f t="shared" si="55"/>
        <v>60.269111886956814</v>
      </c>
      <c r="BQ14">
        <f t="shared" si="56"/>
        <v>282.88766299271509</v>
      </c>
      <c r="BR14">
        <f t="shared" si="57"/>
        <v>146.46257904089967</v>
      </c>
      <c r="BS14">
        <f t="shared" si="58"/>
        <v>44.382251709055026</v>
      </c>
      <c r="BT14">
        <f t="shared" si="59"/>
        <v>7.8761470993468814</v>
      </c>
      <c r="BU14">
        <f t="shared" si="60"/>
        <v>279.6881921359718</v>
      </c>
      <c r="BV14">
        <f t="shared" si="61"/>
        <v>143.94303279841483</v>
      </c>
      <c r="BW14">
        <f t="shared" si="62"/>
        <v>47.332201244197599</v>
      </c>
      <c r="BX14">
        <f t="shared" si="63"/>
        <v>25.28870035468335</v>
      </c>
      <c r="BY14">
        <f t="shared" si="64"/>
        <v>30.205954061983476</v>
      </c>
      <c r="BZ14">
        <f t="shared" si="65"/>
        <v>6.5631563761632136E-2</v>
      </c>
      <c r="CA14">
        <f t="shared" si="90"/>
        <v>3.6909605077129419E-2</v>
      </c>
      <c r="CB14">
        <f t="shared" si="91"/>
        <v>0.56077481299305987</v>
      </c>
      <c r="CC14">
        <f t="shared" si="66"/>
        <v>0.69308704725249171</v>
      </c>
      <c r="CD14">
        <f t="shared" si="67"/>
        <v>0.59759067852594094</v>
      </c>
      <c r="CE14">
        <f t="shared" si="68"/>
        <v>6.3822222283119832</v>
      </c>
      <c r="CF14">
        <f t="shared" si="69"/>
        <v>-1.5869388053484146E-2</v>
      </c>
      <c r="CG14">
        <f t="shared" si="70"/>
        <v>6.6596329443351268</v>
      </c>
      <c r="CH14">
        <f t="shared" si="71"/>
        <v>2.751253521570133</v>
      </c>
      <c r="CI14">
        <f t="shared" si="72"/>
        <v>6.2744939155470654</v>
      </c>
      <c r="CJ14">
        <f t="shared" si="73"/>
        <v>3.0739067246331038</v>
      </c>
      <c r="CK14">
        <f t="shared" si="74"/>
        <v>251.26345497306744</v>
      </c>
      <c r="CL14">
        <f t="shared" si="75"/>
        <v>60.304995898898312</v>
      </c>
      <c r="CM14">
        <f t="shared" si="76"/>
        <v>275.25431272515107</v>
      </c>
      <c r="CN14">
        <f t="shared" si="77"/>
        <v>142.64889205131263</v>
      </c>
      <c r="CO14">
        <f t="shared" si="78"/>
        <v>48.309567022856506</v>
      </c>
      <c r="CP14">
        <f t="shared" si="79"/>
        <v>8.2150457387398106</v>
      </c>
      <c r="CQ14">
        <f t="shared" si="80"/>
        <v>281.39863613517127</v>
      </c>
      <c r="CR14">
        <f t="shared" si="81"/>
        <v>144.88273550524545</v>
      </c>
      <c r="CS14">
        <f t="shared" si="82"/>
        <v>47.401395684888229</v>
      </c>
      <c r="CT14">
        <f t="shared" si="83"/>
        <v>43.71268969939031</v>
      </c>
      <c r="CV14" t="s">
        <v>76</v>
      </c>
      <c r="CW14">
        <f>3*gK0*(gC11p-3)-7*gC11_0</f>
        <v>-548.23270188121865</v>
      </c>
      <c r="CZ14" t="s">
        <v>83</v>
      </c>
      <c r="DA14">
        <f>(((AC4-AD4+3*AE4)/5)+(5*(AC4-AD4)*AE4/(3*(AC4-AD4)+4*AE4)))/2</f>
        <v>50.136414023884662</v>
      </c>
    </row>
    <row r="15" spans="1:105" x14ac:dyDescent="0.25">
      <c r="A15">
        <f>Align!A15</f>
        <v>330</v>
      </c>
      <c r="B15">
        <f>Align!B15</f>
        <v>8.5227719358730862</v>
      </c>
      <c r="C15">
        <f>Align!C15</f>
        <v>0.20734572005565299</v>
      </c>
      <c r="D15">
        <f>Align!D15</f>
        <v>0.50403364660407501</v>
      </c>
      <c r="E15">
        <f>Align!F15</f>
        <v>0.18954450412784529</v>
      </c>
      <c r="F15">
        <f>Align!G15</f>
        <v>0.38735360052019047</v>
      </c>
      <c r="G15">
        <f t="shared" si="0"/>
        <v>6.7905910940533678</v>
      </c>
      <c r="H15">
        <f t="shared" si="1"/>
        <v>2.7934643043899849</v>
      </c>
      <c r="I15">
        <f t="shared" si="2"/>
        <v>6.4048282781186456</v>
      </c>
      <c r="J15">
        <f t="shared" si="3"/>
        <v>3.1340873000010268</v>
      </c>
      <c r="K15">
        <f t="shared" si="4"/>
        <v>30.617234845653556</v>
      </c>
      <c r="L15">
        <f t="shared" si="5"/>
        <v>6.4749936106050149E-2</v>
      </c>
      <c r="M15">
        <f t="shared" si="84"/>
        <v>4.4897445980980895E-2</v>
      </c>
      <c r="N15">
        <f t="shared" si="85"/>
        <v>0.60567225897404076</v>
      </c>
      <c r="O15">
        <f t="shared" si="6"/>
        <v>0.69222793112474035</v>
      </c>
      <c r="P15">
        <f t="shared" si="7"/>
        <v>0.59684993493283722</v>
      </c>
      <c r="Q15">
        <f t="shared" si="8"/>
        <v>6.4060144400566612</v>
      </c>
      <c r="R15">
        <f t="shared" si="9"/>
        <v>-1.7150661782033061E-2</v>
      </c>
      <c r="S15">
        <f t="shared" si="10"/>
        <v>6.6770409433958093</v>
      </c>
      <c r="T15">
        <f t="shared" si="11"/>
        <v>2.7467528637765501</v>
      </c>
      <c r="U15">
        <f t="shared" si="12"/>
        <v>6.2977287331978742</v>
      </c>
      <c r="V15">
        <f t="shared" si="13"/>
        <v>3.0816800676761851</v>
      </c>
      <c r="W15">
        <f t="shared" si="14"/>
        <v>254.07141909631511</v>
      </c>
      <c r="X15">
        <f t="shared" si="15"/>
        <v>60.83633069875588</v>
      </c>
      <c r="Y15">
        <f t="shared" si="16"/>
        <v>285.59854589642839</v>
      </c>
      <c r="Z15">
        <f t="shared" si="17"/>
        <v>141.64556541863021</v>
      </c>
      <c r="AA15">
        <f t="shared" si="18"/>
        <v>48.331145138814122</v>
      </c>
      <c r="AB15">
        <f t="shared" si="19"/>
        <v>8.9281367482802096</v>
      </c>
      <c r="AC15">
        <f t="shared" si="20"/>
        <v>284.98636313466034</v>
      </c>
      <c r="AD15">
        <f t="shared" si="21"/>
        <v>146.85642140267191</v>
      </c>
      <c r="AE15">
        <f t="shared" si="22"/>
        <v>47.541329424716146</v>
      </c>
      <c r="AF15">
        <f t="shared" si="23"/>
        <v>28.315917313603116</v>
      </c>
      <c r="AG15">
        <f t="shared" si="24"/>
        <v>31.669416211848812</v>
      </c>
      <c r="AH15">
        <f t="shared" si="25"/>
        <v>6.2598691012759486E-2</v>
      </c>
      <c r="AI15">
        <f t="shared" si="86"/>
        <v>4.3250813735271225E-2</v>
      </c>
      <c r="AJ15">
        <f t="shared" si="87"/>
        <v>0.57238690507857226</v>
      </c>
      <c r="AK15">
        <f t="shared" si="26"/>
        <v>0.69286464458679886</v>
      </c>
      <c r="AL15">
        <f t="shared" si="27"/>
        <v>0.59739891940935641</v>
      </c>
      <c r="AM15">
        <f t="shared" si="28"/>
        <v>6.3883700910318586</v>
      </c>
      <c r="AN15">
        <f t="shared" si="29"/>
        <v>-1.6200619100300018E-2</v>
      </c>
      <c r="AO15">
        <f t="shared" si="30"/>
        <v>6.6831825069823418</v>
      </c>
      <c r="AP15">
        <f t="shared" si="31"/>
        <v>2.7492793358339154</v>
      </c>
      <c r="AQ15">
        <f t="shared" si="32"/>
        <v>6.3035214042019243</v>
      </c>
      <c r="AR15">
        <f t="shared" si="33"/>
        <v>3.0845146068454707</v>
      </c>
      <c r="AS15">
        <f t="shared" si="34"/>
        <v>253.83793815003389</v>
      </c>
      <c r="AT15">
        <f t="shared" si="35"/>
        <v>60.780424670008735</v>
      </c>
      <c r="AU15">
        <f t="shared" si="36"/>
        <v>285.33609284685042</v>
      </c>
      <c r="AV15">
        <f t="shared" si="37"/>
        <v>151.28154968637273</v>
      </c>
      <c r="AW15">
        <f t="shared" si="38"/>
        <v>48.286730849548526</v>
      </c>
      <c r="AX15">
        <f t="shared" si="39"/>
        <v>8.3986659275574418</v>
      </c>
      <c r="AY15">
        <f t="shared" si="40"/>
        <v>282.32392719208957</v>
      </c>
      <c r="AZ15">
        <f t="shared" si="41"/>
        <v>145.39141859557745</v>
      </c>
      <c r="BA15">
        <f t="shared" si="42"/>
        <v>47.438159127994879</v>
      </c>
      <c r="BB15">
        <f t="shared" si="43"/>
        <v>44.502262466394598</v>
      </c>
      <c r="BC15">
        <f t="shared" si="44"/>
        <v>31.318689089783724</v>
      </c>
      <c r="BD15">
        <f t="shared" si="45"/>
        <v>6.3299712012744716E-2</v>
      </c>
      <c r="BE15">
        <f t="shared" si="88"/>
        <v>4.3785983185641281E-2</v>
      </c>
      <c r="BF15">
        <f t="shared" si="89"/>
        <v>0.58303463519241738</v>
      </c>
      <c r="BG15">
        <f t="shared" si="46"/>
        <v>0.69266083744297058</v>
      </c>
      <c r="BH15">
        <f t="shared" si="47"/>
        <v>0.59722319364756127</v>
      </c>
      <c r="BI15">
        <f t="shared" si="48"/>
        <v>6.3940108542699052</v>
      </c>
      <c r="BJ15">
        <f t="shared" si="49"/>
        <v>-1.6504435472882606E-2</v>
      </c>
      <c r="BK15">
        <f t="shared" si="50"/>
        <v>6.6812166391190111</v>
      </c>
      <c r="BL15">
        <f t="shared" si="51"/>
        <v>2.7484706313150742</v>
      </c>
      <c r="BM15">
        <f t="shared" si="52"/>
        <v>6.3016672142046604</v>
      </c>
      <c r="BN15">
        <f t="shared" si="53"/>
        <v>3.0836072923836499</v>
      </c>
      <c r="BO15">
        <f t="shared" si="54"/>
        <v>253.91262691887007</v>
      </c>
      <c r="BP15">
        <f t="shared" si="55"/>
        <v>60.798308580983694</v>
      </c>
      <c r="BQ15">
        <f t="shared" si="56"/>
        <v>285.42004956992571</v>
      </c>
      <c r="BR15">
        <f t="shared" si="57"/>
        <v>148.0697210824305</v>
      </c>
      <c r="BS15">
        <f t="shared" si="58"/>
        <v>45.044597255455869</v>
      </c>
      <c r="BT15">
        <f t="shared" si="59"/>
        <v>8.5675333994074911</v>
      </c>
      <c r="BU15">
        <f t="shared" si="60"/>
        <v>283.17398267477654</v>
      </c>
      <c r="BV15">
        <f t="shared" si="61"/>
        <v>145.85894860051269</v>
      </c>
      <c r="BW15">
        <f t="shared" si="62"/>
        <v>47.47152024769747</v>
      </c>
      <c r="BX15">
        <f t="shared" si="63"/>
        <v>15.824290263178749</v>
      </c>
      <c r="BY15">
        <f t="shared" si="64"/>
        <v>30.617234845653556</v>
      </c>
      <c r="BZ15">
        <f t="shared" si="65"/>
        <v>6.4749936106050149E-2</v>
      </c>
      <c r="CA15">
        <f t="shared" si="90"/>
        <v>4.4897445980980895E-2</v>
      </c>
      <c r="CB15">
        <f t="shared" si="91"/>
        <v>0.60567225897404076</v>
      </c>
      <c r="CC15">
        <f t="shared" si="66"/>
        <v>0.69222793112474035</v>
      </c>
      <c r="CD15">
        <f t="shared" si="67"/>
        <v>0.59684993493283722</v>
      </c>
      <c r="CE15">
        <f t="shared" si="68"/>
        <v>6.4060144400566612</v>
      </c>
      <c r="CF15">
        <f t="shared" si="69"/>
        <v>-1.7150661782033061E-2</v>
      </c>
      <c r="CG15">
        <f t="shared" si="70"/>
        <v>6.6770409433958093</v>
      </c>
      <c r="CH15">
        <f t="shared" si="71"/>
        <v>2.7467528637765501</v>
      </c>
      <c r="CI15">
        <f t="shared" si="72"/>
        <v>6.2977287331978742</v>
      </c>
      <c r="CJ15">
        <f t="shared" si="73"/>
        <v>3.0816800676761851</v>
      </c>
      <c r="CK15">
        <f t="shared" si="74"/>
        <v>254.07141909631511</v>
      </c>
      <c r="CL15">
        <f t="shared" si="75"/>
        <v>60.83633069875588</v>
      </c>
      <c r="CM15">
        <f t="shared" si="76"/>
        <v>279.08179021619861</v>
      </c>
      <c r="CN15">
        <f t="shared" si="77"/>
        <v>144.9039432587451</v>
      </c>
      <c r="CO15">
        <f t="shared" si="78"/>
        <v>48.331145138814122</v>
      </c>
      <c r="CP15">
        <f t="shared" si="79"/>
        <v>8.9281367482802096</v>
      </c>
      <c r="CQ15">
        <f t="shared" si="80"/>
        <v>284.98636313466034</v>
      </c>
      <c r="CR15">
        <f t="shared" si="81"/>
        <v>146.85642140267191</v>
      </c>
      <c r="CS15">
        <f t="shared" si="82"/>
        <v>47.541329424716146</v>
      </c>
      <c r="CT15">
        <f t="shared" si="83"/>
        <v>39.46428174531745</v>
      </c>
      <c r="CV15" t="s">
        <v>77</v>
      </c>
      <c r="CW15">
        <f>3*gK0*(gC12p-1)-7*gC12_0</f>
        <v>47.7513378500513</v>
      </c>
      <c r="CZ15" t="s">
        <v>84</v>
      </c>
      <c r="DA15">
        <f>CW18</f>
        <v>1835.6761919610678</v>
      </c>
    </row>
    <row r="16" spans="1:105" x14ac:dyDescent="0.25">
      <c r="A16">
        <f>Align!A16</f>
        <v>360</v>
      </c>
      <c r="B16">
        <f>Align!B16</f>
        <v>9.1253921737631298</v>
      </c>
      <c r="C16">
        <f>Align!C16</f>
        <v>0.20634572005565299</v>
      </c>
      <c r="D16">
        <f>Align!D16</f>
        <v>0.50443364660407497</v>
      </c>
      <c r="E16">
        <f>Align!F16</f>
        <v>0.18875087651223854</v>
      </c>
      <c r="F16">
        <f>Align!G16</f>
        <v>0.38612788610842824</v>
      </c>
      <c r="G16">
        <f t="shared" si="0"/>
        <v>6.8234998991995166</v>
      </c>
      <c r="H16">
        <f t="shared" si="1"/>
        <v>2.791249175146965</v>
      </c>
      <c r="I16">
        <f t="shared" si="2"/>
        <v>6.4317582118421823</v>
      </c>
      <c r="J16">
        <f t="shared" si="3"/>
        <v>3.1440360659657141</v>
      </c>
      <c r="K16">
        <f t="shared" si="4"/>
        <v>30.979417751921201</v>
      </c>
      <c r="L16">
        <f t="shared" si="5"/>
        <v>6.3992939308133268E-2</v>
      </c>
      <c r="M16">
        <f t="shared" si="84"/>
        <v>3.8791531104371731E-2</v>
      </c>
      <c r="N16">
        <f t="shared" si="85"/>
        <v>0.64446379007841248</v>
      </c>
      <c r="O16">
        <f t="shared" si="6"/>
        <v>0.69148736537345612</v>
      </c>
      <c r="P16">
        <f t="shared" si="7"/>
        <v>0.59621140736035205</v>
      </c>
      <c r="Q16">
        <f t="shared" si="8"/>
        <v>6.4266185366790136</v>
      </c>
      <c r="R16">
        <f t="shared" si="9"/>
        <v>-1.8258965912401504E-2</v>
      </c>
      <c r="S16">
        <f t="shared" si="10"/>
        <v>6.702221545345906</v>
      </c>
      <c r="T16">
        <f t="shared" si="11"/>
        <v>2.7416385486125106</v>
      </c>
      <c r="U16">
        <f t="shared" si="12"/>
        <v>6.3174425292980709</v>
      </c>
      <c r="V16">
        <f t="shared" si="13"/>
        <v>3.0881551362127233</v>
      </c>
      <c r="W16">
        <f t="shared" si="14"/>
        <v>256.48686064159421</v>
      </c>
      <c r="X16">
        <f t="shared" si="15"/>
        <v>61.288746785880903</v>
      </c>
      <c r="Y16">
        <f t="shared" si="16"/>
        <v>288.68224995687922</v>
      </c>
      <c r="Z16">
        <f t="shared" si="17"/>
        <v>143.77675644042893</v>
      </c>
      <c r="AA16">
        <f t="shared" si="18"/>
        <v>48.306204771761401</v>
      </c>
      <c r="AB16">
        <f t="shared" si="19"/>
        <v>9.5510848493798886</v>
      </c>
      <c r="AC16">
        <f t="shared" si="20"/>
        <v>288.10825413030045</v>
      </c>
      <c r="AD16">
        <f t="shared" si="21"/>
        <v>148.57672366731731</v>
      </c>
      <c r="AE16">
        <f t="shared" si="22"/>
        <v>47.657375222902068</v>
      </c>
      <c r="AF16">
        <f t="shared" si="23"/>
        <v>23.971350625679168</v>
      </c>
      <c r="AG16">
        <f t="shared" si="24"/>
        <v>31.984273278028564</v>
      </c>
      <c r="AH16">
        <f t="shared" si="25"/>
        <v>6.1982461904546177E-2</v>
      </c>
      <c r="AI16">
        <f t="shared" si="86"/>
        <v>3.7537562003821322E-2</v>
      </c>
      <c r="AJ16">
        <f t="shared" si="87"/>
        <v>0.60992446708239356</v>
      </c>
      <c r="AK16">
        <f t="shared" si="26"/>
        <v>0.69214667518805828</v>
      </c>
      <c r="AL16">
        <f t="shared" si="27"/>
        <v>0.59677987477152183</v>
      </c>
      <c r="AM16">
        <f t="shared" si="28"/>
        <v>6.408270845381054</v>
      </c>
      <c r="AN16">
        <f t="shared" si="29"/>
        <v>-1.7272092772133041E-2</v>
      </c>
      <c r="AO16">
        <f t="shared" si="30"/>
        <v>6.7086118868991429</v>
      </c>
      <c r="AP16">
        <f t="shared" si="31"/>
        <v>2.7442526082377587</v>
      </c>
      <c r="AQ16">
        <f t="shared" si="32"/>
        <v>6.3234659970739457</v>
      </c>
      <c r="AR16">
        <f t="shared" si="33"/>
        <v>3.0910995876839653</v>
      </c>
      <c r="AS16">
        <f t="shared" si="34"/>
        <v>256.24254204468474</v>
      </c>
      <c r="AT16">
        <f t="shared" si="35"/>
        <v>61.230365703186784</v>
      </c>
      <c r="AU16">
        <f t="shared" si="36"/>
        <v>288.40726338608283</v>
      </c>
      <c r="AV16">
        <f t="shared" si="37"/>
        <v>152.97635658913248</v>
      </c>
      <c r="AW16">
        <f t="shared" si="38"/>
        <v>48.260190312610014</v>
      </c>
      <c r="AX16">
        <f t="shared" si="39"/>
        <v>8.99611238360988</v>
      </c>
      <c r="AY16">
        <f t="shared" si="40"/>
        <v>285.32757477020908</v>
      </c>
      <c r="AZ16">
        <f t="shared" si="41"/>
        <v>147.04431387830553</v>
      </c>
      <c r="BA16">
        <f t="shared" si="42"/>
        <v>47.554271511320167</v>
      </c>
      <c r="BB16">
        <f t="shared" si="43"/>
        <v>45.188647311974066</v>
      </c>
      <c r="BC16">
        <f t="shared" si="44"/>
        <v>31.649321435992775</v>
      </c>
      <c r="BD16">
        <f t="shared" si="45"/>
        <v>6.2638436151287238E-2</v>
      </c>
      <c r="BE16">
        <f t="shared" si="88"/>
        <v>3.7946438403020248E-2</v>
      </c>
      <c r="BF16">
        <f t="shared" si="89"/>
        <v>0.62098107359543764</v>
      </c>
      <c r="BG16">
        <f t="shared" si="46"/>
        <v>0.69193548247630343</v>
      </c>
      <c r="BH16">
        <f t="shared" si="47"/>
        <v>0.59659778105556271</v>
      </c>
      <c r="BI16">
        <f t="shared" si="48"/>
        <v>6.4141404383682703</v>
      </c>
      <c r="BJ16">
        <f t="shared" si="49"/>
        <v>-1.7587904782094044E-2</v>
      </c>
      <c r="BK16">
        <f t="shared" si="50"/>
        <v>6.706564907570491</v>
      </c>
      <c r="BL16">
        <f t="shared" si="51"/>
        <v>2.7434152623819594</v>
      </c>
      <c r="BM16">
        <f t="shared" si="52"/>
        <v>6.3215365361959472</v>
      </c>
      <c r="BN16">
        <f t="shared" si="53"/>
        <v>3.090156409413189</v>
      </c>
      <c r="BO16">
        <f t="shared" si="54"/>
        <v>256.32075245402478</v>
      </c>
      <c r="BP16">
        <f t="shared" si="55"/>
        <v>61.249054449901038</v>
      </c>
      <c r="BQ16">
        <f t="shared" si="56"/>
        <v>288.49529111928473</v>
      </c>
      <c r="BR16">
        <f t="shared" si="57"/>
        <v>149.90991288685268</v>
      </c>
      <c r="BS16">
        <f t="shared" si="58"/>
        <v>45.161785117271052</v>
      </c>
      <c r="BT16">
        <f t="shared" si="59"/>
        <v>9.1732197246413509</v>
      </c>
      <c r="BU16">
        <f t="shared" si="60"/>
        <v>286.21594670625655</v>
      </c>
      <c r="BV16">
        <f t="shared" si="61"/>
        <v>147.53365731812931</v>
      </c>
      <c r="BW16">
        <f t="shared" si="62"/>
        <v>47.587669261429497</v>
      </c>
      <c r="BX16">
        <f t="shared" si="63"/>
        <v>16.729202836593966</v>
      </c>
      <c r="BY16">
        <f t="shared" si="64"/>
        <v>30.979417751921201</v>
      </c>
      <c r="BZ16">
        <f t="shared" si="65"/>
        <v>6.3992939308133268E-2</v>
      </c>
      <c r="CA16">
        <f t="shared" si="90"/>
        <v>3.8791531104371731E-2</v>
      </c>
      <c r="CB16">
        <f t="shared" si="91"/>
        <v>0.64446379007841248</v>
      </c>
      <c r="CC16">
        <f t="shared" si="66"/>
        <v>0.69148736537345612</v>
      </c>
      <c r="CD16">
        <f t="shared" si="67"/>
        <v>0.59621140736035205</v>
      </c>
      <c r="CE16">
        <f t="shared" si="68"/>
        <v>6.4266185366790136</v>
      </c>
      <c r="CF16">
        <f t="shared" si="69"/>
        <v>-1.8258965912401504E-2</v>
      </c>
      <c r="CG16">
        <f t="shared" si="70"/>
        <v>6.702221545345906</v>
      </c>
      <c r="CH16">
        <f t="shared" si="71"/>
        <v>2.7416385486125106</v>
      </c>
      <c r="CI16">
        <f t="shared" si="72"/>
        <v>6.3174425292980709</v>
      </c>
      <c r="CJ16">
        <f t="shared" si="73"/>
        <v>3.0881551362127233</v>
      </c>
      <c r="CK16">
        <f t="shared" si="74"/>
        <v>256.48686064159421</v>
      </c>
      <c r="CL16">
        <f t="shared" si="75"/>
        <v>61.288746785880903</v>
      </c>
      <c r="CM16">
        <f t="shared" si="76"/>
        <v>282.45194466983321</v>
      </c>
      <c r="CN16">
        <f t="shared" si="77"/>
        <v>146.8919090839519</v>
      </c>
      <c r="CO16">
        <f t="shared" si="78"/>
        <v>48.306204771761401</v>
      </c>
      <c r="CP16">
        <f t="shared" si="79"/>
        <v>9.5510848493798886</v>
      </c>
      <c r="CQ16">
        <f t="shared" si="80"/>
        <v>288.10825413030045</v>
      </c>
      <c r="CR16">
        <f t="shared" si="81"/>
        <v>148.57672366731731</v>
      </c>
      <c r="CS16">
        <f t="shared" si="82"/>
        <v>47.657375222902068</v>
      </c>
      <c r="CT16">
        <f t="shared" si="83"/>
        <v>35.434630930438729</v>
      </c>
      <c r="CV16" t="s">
        <v>78</v>
      </c>
      <c r="CW16">
        <f>3*gK0*(gC44p-1)-7*gC44_0</f>
        <v>-634.52627639480397</v>
      </c>
    </row>
    <row r="17" spans="1:101" x14ac:dyDescent="0.25">
      <c r="A17">
        <f>Align!A17</f>
        <v>390</v>
      </c>
      <c r="B17">
        <f>Align!B17</f>
        <v>9.5558352008274561</v>
      </c>
      <c r="C17">
        <f>Align!C17</f>
        <v>0.205545720055653</v>
      </c>
      <c r="D17">
        <f>Align!D17</f>
        <v>0.50383364660407504</v>
      </c>
      <c r="E17">
        <f>Align!F17</f>
        <v>0.18820126524923472</v>
      </c>
      <c r="F17">
        <f>Align!G17</f>
        <v>0.38527501790239338</v>
      </c>
      <c r="G17">
        <f t="shared" si="0"/>
        <v>6.8500574938693628</v>
      </c>
      <c r="H17">
        <f t="shared" si="1"/>
        <v>2.7945731879761522</v>
      </c>
      <c r="I17">
        <f t="shared" si="2"/>
        <v>6.4505411182666661</v>
      </c>
      <c r="J17">
        <f t="shared" si="3"/>
        <v>3.1509958953724793</v>
      </c>
      <c r="K17">
        <f t="shared" si="4"/>
        <v>31.196628314508715</v>
      </c>
      <c r="L17">
        <f t="shared" si="5"/>
        <v>6.3547380185249344E-2</v>
      </c>
      <c r="M17">
        <f t="shared" si="84"/>
        <v>2.7449420597741456E-2</v>
      </c>
      <c r="N17">
        <f t="shared" si="85"/>
        <v>0.67191321067615395</v>
      </c>
      <c r="O17">
        <f t="shared" si="6"/>
        <v>0.69096428747982208</v>
      </c>
      <c r="P17">
        <f t="shared" si="7"/>
        <v>0.59576040127876706</v>
      </c>
      <c r="Q17">
        <f t="shared" si="8"/>
        <v>6.4412249394654841</v>
      </c>
      <c r="R17">
        <f t="shared" si="9"/>
        <v>-1.9043933888806763E-2</v>
      </c>
      <c r="S17">
        <f t="shared" si="10"/>
        <v>6.7232174651239491</v>
      </c>
      <c r="T17">
        <f t="shared" si="11"/>
        <v>2.7428270903979501</v>
      </c>
      <c r="U17">
        <f t="shared" si="12"/>
        <v>6.3310987892648036</v>
      </c>
      <c r="V17">
        <f t="shared" si="13"/>
        <v>3.0926500478663197</v>
      </c>
      <c r="W17">
        <f t="shared" si="14"/>
        <v>258.18240752168958</v>
      </c>
      <c r="X17">
        <f t="shared" si="15"/>
        <v>61.606994925883839</v>
      </c>
      <c r="Y17">
        <f t="shared" si="16"/>
        <v>291.1540151455261</v>
      </c>
      <c r="Z17">
        <f t="shared" si="17"/>
        <v>144.78063925655567</v>
      </c>
      <c r="AA17">
        <f t="shared" si="18"/>
        <v>48.457982226607832</v>
      </c>
      <c r="AB17">
        <f t="shared" si="19"/>
        <v>9.9957419065252768</v>
      </c>
      <c r="AC17">
        <f t="shared" si="20"/>
        <v>290.32975399760744</v>
      </c>
      <c r="AD17">
        <f t="shared" si="21"/>
        <v>149.80250062343853</v>
      </c>
      <c r="AE17">
        <f t="shared" si="22"/>
        <v>47.736720922646207</v>
      </c>
      <c r="AF17">
        <f t="shared" si="23"/>
        <v>26.612233806469106</v>
      </c>
      <c r="AG17">
        <f t="shared" si="24"/>
        <v>32.272163605977518</v>
      </c>
      <c r="AH17">
        <f t="shared" si="25"/>
        <v>6.1429534883518121E-2</v>
      </c>
      <c r="AI17">
        <f t="shared" si="86"/>
        <v>2.6560916736753655E-2</v>
      </c>
      <c r="AJ17">
        <f t="shared" si="87"/>
        <v>0.63648538381914721</v>
      </c>
      <c r="AK17">
        <f t="shared" si="26"/>
        <v>0.69163955096961793</v>
      </c>
      <c r="AL17">
        <f t="shared" si="27"/>
        <v>0.59634262420249728</v>
      </c>
      <c r="AM17">
        <f t="shared" si="28"/>
        <v>6.4223772078655204</v>
      </c>
      <c r="AN17">
        <f t="shared" si="29"/>
        <v>-1.8030919750804397E-2</v>
      </c>
      <c r="AO17">
        <f t="shared" si="30"/>
        <v>6.7297879107611829</v>
      </c>
      <c r="AP17">
        <f t="shared" si="31"/>
        <v>2.745507592164147</v>
      </c>
      <c r="AQ17">
        <f t="shared" si="32"/>
        <v>6.3372860263480311</v>
      </c>
      <c r="AR17">
        <f t="shared" si="33"/>
        <v>3.0956724235547313</v>
      </c>
      <c r="AS17">
        <f t="shared" si="34"/>
        <v>257.93033814066223</v>
      </c>
      <c r="AT17">
        <f t="shared" si="35"/>
        <v>61.546846609710848</v>
      </c>
      <c r="AU17">
        <f t="shared" si="36"/>
        <v>290.86975483094523</v>
      </c>
      <c r="AV17">
        <f t="shared" si="37"/>
        <v>154.63988659365288</v>
      </c>
      <c r="AW17">
        <f t="shared" si="38"/>
        <v>48.410671591840163</v>
      </c>
      <c r="AX17">
        <f t="shared" si="39"/>
        <v>9.4224410294299403</v>
      </c>
      <c r="AY17">
        <f t="shared" si="40"/>
        <v>287.4644867370186</v>
      </c>
      <c r="AZ17">
        <f t="shared" si="41"/>
        <v>148.22175961258912</v>
      </c>
      <c r="BA17">
        <f t="shared" si="42"/>
        <v>47.633879994939015</v>
      </c>
      <c r="BB17">
        <f t="shared" si="43"/>
        <v>53.409403926552201</v>
      </c>
      <c r="BC17">
        <f t="shared" si="44"/>
        <v>31.913651842154579</v>
      </c>
      <c r="BD17">
        <f t="shared" si="45"/>
        <v>6.2119622342353603E-2</v>
      </c>
      <c r="BE17">
        <f t="shared" si="88"/>
        <v>2.6850618174335521E-2</v>
      </c>
      <c r="BF17">
        <f t="shared" si="89"/>
        <v>0.64783169176977318</v>
      </c>
      <c r="BG17">
        <f t="shared" si="46"/>
        <v>0.69142314380595771</v>
      </c>
      <c r="BH17">
        <f t="shared" si="47"/>
        <v>0.59615603450314825</v>
      </c>
      <c r="BI17">
        <f t="shared" si="48"/>
        <v>6.4284094769583247</v>
      </c>
      <c r="BJ17">
        <f t="shared" si="49"/>
        <v>-1.8355245445978108E-2</v>
      </c>
      <c r="BK17">
        <f t="shared" si="50"/>
        <v>6.7276822267936289</v>
      </c>
      <c r="BL17">
        <f t="shared" si="51"/>
        <v>2.7446485500373705</v>
      </c>
      <c r="BM17">
        <f t="shared" si="52"/>
        <v>6.3353031523317282</v>
      </c>
      <c r="BN17">
        <f t="shared" si="53"/>
        <v>3.0947038183211766</v>
      </c>
      <c r="BO17">
        <f t="shared" si="54"/>
        <v>258.01106724757602</v>
      </c>
      <c r="BP17">
        <f t="shared" si="55"/>
        <v>61.566110035626451</v>
      </c>
      <c r="BQ17">
        <f t="shared" si="56"/>
        <v>290.96079358080692</v>
      </c>
      <c r="BR17">
        <f t="shared" si="57"/>
        <v>151.35371034293857</v>
      </c>
      <c r="BS17">
        <f t="shared" si="58"/>
        <v>45.091246869011002</v>
      </c>
      <c r="BT17">
        <f t="shared" si="59"/>
        <v>9.6054698443890771</v>
      </c>
      <c r="BU17">
        <f t="shared" si="60"/>
        <v>288.38026660297197</v>
      </c>
      <c r="BV17">
        <f t="shared" si="61"/>
        <v>148.72674163771734</v>
      </c>
      <c r="BW17">
        <f t="shared" si="62"/>
        <v>47.667234920596343</v>
      </c>
      <c r="BX17">
        <f t="shared" si="63"/>
        <v>20.198262101297619</v>
      </c>
      <c r="BY17">
        <f t="shared" si="64"/>
        <v>31.196628314508715</v>
      </c>
      <c r="BZ17">
        <f t="shared" si="65"/>
        <v>6.3547380185249344E-2</v>
      </c>
      <c r="CA17">
        <f t="shared" si="90"/>
        <v>2.7449420597741456E-2</v>
      </c>
      <c r="CB17">
        <f t="shared" si="91"/>
        <v>0.67191321067615395</v>
      </c>
      <c r="CC17">
        <f t="shared" si="66"/>
        <v>0.69096428747982208</v>
      </c>
      <c r="CD17">
        <f t="shared" si="67"/>
        <v>0.59576040127876706</v>
      </c>
      <c r="CE17">
        <f t="shared" si="68"/>
        <v>6.4412249394654841</v>
      </c>
      <c r="CF17">
        <f t="shared" si="69"/>
        <v>-1.9043933888806763E-2</v>
      </c>
      <c r="CG17">
        <f t="shared" si="70"/>
        <v>6.7232174651239491</v>
      </c>
      <c r="CH17">
        <f t="shared" si="71"/>
        <v>2.7428270903979501</v>
      </c>
      <c r="CI17">
        <f t="shared" si="72"/>
        <v>6.3310987892648036</v>
      </c>
      <c r="CJ17">
        <f t="shared" si="73"/>
        <v>3.0926500478663197</v>
      </c>
      <c r="CK17">
        <f t="shared" si="74"/>
        <v>258.18240752168958</v>
      </c>
      <c r="CL17">
        <f t="shared" si="75"/>
        <v>61.606994925883839</v>
      </c>
      <c r="CM17">
        <f t="shared" si="76"/>
        <v>284.48043292024158</v>
      </c>
      <c r="CN17">
        <f t="shared" si="77"/>
        <v>148.1174303691979</v>
      </c>
      <c r="CO17">
        <f t="shared" si="78"/>
        <v>48.457982226607832</v>
      </c>
      <c r="CP17">
        <f t="shared" si="79"/>
        <v>9.9957419065252768</v>
      </c>
      <c r="CQ17">
        <f t="shared" si="80"/>
        <v>290.32975399760744</v>
      </c>
      <c r="CR17">
        <f t="shared" si="81"/>
        <v>149.80250062343853</v>
      </c>
      <c r="CS17">
        <f t="shared" si="82"/>
        <v>47.736720922646207</v>
      </c>
      <c r="CT17">
        <f t="shared" si="83"/>
        <v>37.767754606153389</v>
      </c>
    </row>
    <row r="18" spans="1:101" x14ac:dyDescent="0.25">
      <c r="A18">
        <f>Align!A18</f>
        <v>420</v>
      </c>
      <c r="B18">
        <f>Align!B18</f>
        <v>10.115411136011028</v>
      </c>
      <c r="C18">
        <f>Align!C18</f>
        <v>0.204745720055653</v>
      </c>
      <c r="D18">
        <f>Align!D18</f>
        <v>0.50323364660407499</v>
      </c>
      <c r="E18">
        <f>Align!F18</f>
        <v>0.18750960223790389</v>
      </c>
      <c r="F18">
        <f>Align!G18</f>
        <v>0.38418915539421672</v>
      </c>
      <c r="G18">
        <f t="shared" si="0"/>
        <v>6.8768226247527133</v>
      </c>
      <c r="H18">
        <f t="shared" si="1"/>
        <v>2.7979051271739794</v>
      </c>
      <c r="I18">
        <f t="shared" si="2"/>
        <v>6.4743351034350258</v>
      </c>
      <c r="J18">
        <f t="shared" si="3"/>
        <v>3.1599017904456828</v>
      </c>
      <c r="K18">
        <f t="shared" si="4"/>
        <v>31.479317564015773</v>
      </c>
      <c r="L18">
        <f t="shared" si="5"/>
        <v>6.2976714662523955E-2</v>
      </c>
      <c r="M18">
        <f t="shared" si="84"/>
        <v>3.5399919348848861E-2</v>
      </c>
      <c r="N18">
        <f t="shared" si="85"/>
        <v>0.70731313002500285</v>
      </c>
      <c r="O18">
        <f t="shared" si="6"/>
        <v>0.69029087162351699</v>
      </c>
      <c r="P18">
        <f t="shared" si="7"/>
        <v>0.59517977141402678</v>
      </c>
      <c r="Q18">
        <f t="shared" si="8"/>
        <v>6.4600946195405227</v>
      </c>
      <c r="R18">
        <f t="shared" si="9"/>
        <v>-2.0057138389710683E-2</v>
      </c>
      <c r="S18">
        <f t="shared" si="10"/>
        <v>6.7429089256262396</v>
      </c>
      <c r="T18">
        <f t="shared" si="11"/>
        <v>2.7434209786318657</v>
      </c>
      <c r="U18">
        <f t="shared" si="12"/>
        <v>6.3482591217796838</v>
      </c>
      <c r="V18">
        <f t="shared" si="13"/>
        <v>3.0983684107549183</v>
      </c>
      <c r="W18">
        <f t="shared" si="14"/>
        <v>260.34435765184446</v>
      </c>
      <c r="X18">
        <f t="shared" si="15"/>
        <v>62.016177121494088</v>
      </c>
      <c r="Y18">
        <f t="shared" si="16"/>
        <v>293.71996428390463</v>
      </c>
      <c r="Z18">
        <f t="shared" si="17"/>
        <v>146.41457608993011</v>
      </c>
      <c r="AA18">
        <f t="shared" si="18"/>
        <v>48.620989122942142</v>
      </c>
      <c r="AB18">
        <f t="shared" si="19"/>
        <v>10.573926413843765</v>
      </c>
      <c r="AC18">
        <f t="shared" si="20"/>
        <v>293.20991662443657</v>
      </c>
      <c r="AD18">
        <f t="shared" si="21"/>
        <v>151.39372905500514</v>
      </c>
      <c r="AE18">
        <f t="shared" si="22"/>
        <v>47.835603396914536</v>
      </c>
      <c r="AF18">
        <f t="shared" si="23"/>
        <v>25.879179863198253</v>
      </c>
      <c r="AG18">
        <f t="shared" si="24"/>
        <v>32.539579495564766</v>
      </c>
      <c r="AH18">
        <f t="shared" si="25"/>
        <v>6.0924696346190188E-2</v>
      </c>
      <c r="AI18">
        <f t="shared" si="86"/>
        <v>3.4233241682015525E-2</v>
      </c>
      <c r="AJ18">
        <f t="shared" si="87"/>
        <v>0.67071862550116279</v>
      </c>
      <c r="AK18">
        <f t="shared" si="26"/>
        <v>0.69098703509930204</v>
      </c>
      <c r="AL18">
        <f t="shared" si="27"/>
        <v>0.59578001463817665</v>
      </c>
      <c r="AM18">
        <f t="shared" si="28"/>
        <v>6.44058881590776</v>
      </c>
      <c r="AN18">
        <f t="shared" si="29"/>
        <v>-1.9009760108531615E-2</v>
      </c>
      <c r="AO18">
        <f t="shared" si="30"/>
        <v>6.7497091994057925</v>
      </c>
      <c r="AP18">
        <f t="shared" si="31"/>
        <v>2.746187739083926</v>
      </c>
      <c r="AQ18">
        <f t="shared" si="32"/>
        <v>6.3546613882981555</v>
      </c>
      <c r="AR18">
        <f t="shared" si="33"/>
        <v>3.1014931383310205</v>
      </c>
      <c r="AS18">
        <f t="shared" si="34"/>
        <v>260.08206295785214</v>
      </c>
      <c r="AT18">
        <f t="shared" si="35"/>
        <v>61.9536963581414</v>
      </c>
      <c r="AU18">
        <f t="shared" si="36"/>
        <v>293.42404395420698</v>
      </c>
      <c r="AV18">
        <f t="shared" si="37"/>
        <v>156.13495877570242</v>
      </c>
      <c r="AW18">
        <f t="shared" si="38"/>
        <v>48.572003895919657</v>
      </c>
      <c r="AX18">
        <f t="shared" si="39"/>
        <v>9.9763240121902577</v>
      </c>
      <c r="AY18">
        <f t="shared" si="40"/>
        <v>290.23286103410635</v>
      </c>
      <c r="AZ18">
        <f t="shared" si="41"/>
        <v>149.74900887187735</v>
      </c>
      <c r="BA18">
        <f t="shared" si="42"/>
        <v>47.733316117393031</v>
      </c>
      <c r="BB18">
        <f t="shared" si="43"/>
        <v>51.686747021567996</v>
      </c>
      <c r="BC18">
        <f t="shared" si="44"/>
        <v>32.186158851715099</v>
      </c>
      <c r="BD18">
        <f t="shared" si="45"/>
        <v>6.1593680971171884E-2</v>
      </c>
      <c r="BE18">
        <f t="shared" si="88"/>
        <v>3.4613493698157465E-2</v>
      </c>
      <c r="BF18">
        <f t="shared" si="89"/>
        <v>0.68244518546793065</v>
      </c>
      <c r="BG18">
        <f t="shared" si="46"/>
        <v>0.69076379951107192</v>
      </c>
      <c r="BH18">
        <f t="shared" si="47"/>
        <v>0.59558753736252934</v>
      </c>
      <c r="BI18">
        <f t="shared" si="48"/>
        <v>6.4468350899481006</v>
      </c>
      <c r="BJ18">
        <f t="shared" si="49"/>
        <v>-1.9345273263016605E-2</v>
      </c>
      <c r="BK18">
        <f t="shared" si="50"/>
        <v>6.7475285864174532</v>
      </c>
      <c r="BL18">
        <f t="shared" si="51"/>
        <v>2.745300534542908</v>
      </c>
      <c r="BM18">
        <f t="shared" si="52"/>
        <v>6.352608402495294</v>
      </c>
      <c r="BN18">
        <f t="shared" si="53"/>
        <v>3.1004911460938902</v>
      </c>
      <c r="BO18">
        <f t="shared" si="54"/>
        <v>260.16611422451325</v>
      </c>
      <c r="BP18">
        <f t="shared" si="55"/>
        <v>61.973718064344496</v>
      </c>
      <c r="BQ18">
        <f t="shared" si="56"/>
        <v>293.51887041891086</v>
      </c>
      <c r="BR18">
        <f t="shared" si="57"/>
        <v>152.89505619302309</v>
      </c>
      <c r="BS18">
        <f t="shared" si="58"/>
        <v>45.297339967145689</v>
      </c>
      <c r="BT18">
        <f t="shared" si="59"/>
        <v>10.167201312083458</v>
      </c>
      <c r="BU18">
        <f t="shared" si="60"/>
        <v>291.18484899038594</v>
      </c>
      <c r="BV18">
        <f t="shared" si="61"/>
        <v>150.2746850272251</v>
      </c>
      <c r="BW18">
        <f t="shared" si="62"/>
        <v>47.766547866546816</v>
      </c>
      <c r="BX18">
        <f t="shared" si="63"/>
        <v>18.41367094816157</v>
      </c>
      <c r="BY18">
        <f t="shared" si="64"/>
        <v>31.479317564015773</v>
      </c>
      <c r="BZ18">
        <f t="shared" si="65"/>
        <v>6.2976714662523955E-2</v>
      </c>
      <c r="CA18">
        <f t="shared" si="90"/>
        <v>3.5399919348848861E-2</v>
      </c>
      <c r="CB18">
        <f t="shared" si="91"/>
        <v>0.70731313002500285</v>
      </c>
      <c r="CC18">
        <f t="shared" si="66"/>
        <v>0.69029087162351699</v>
      </c>
      <c r="CD18">
        <f t="shared" si="67"/>
        <v>0.59517977141402678</v>
      </c>
      <c r="CE18">
        <f t="shared" si="68"/>
        <v>6.4600946195405227</v>
      </c>
      <c r="CF18">
        <f t="shared" si="69"/>
        <v>-2.0057138389710683E-2</v>
      </c>
      <c r="CG18">
        <f t="shared" si="70"/>
        <v>6.7429089256262396</v>
      </c>
      <c r="CH18">
        <f t="shared" si="71"/>
        <v>2.7434209786318657</v>
      </c>
      <c r="CI18">
        <f t="shared" si="72"/>
        <v>6.3482591217796838</v>
      </c>
      <c r="CJ18">
        <f t="shared" si="73"/>
        <v>3.0983684107549183</v>
      </c>
      <c r="CK18">
        <f t="shared" si="74"/>
        <v>260.34435765184446</v>
      </c>
      <c r="CL18">
        <f t="shared" si="75"/>
        <v>62.016177121494088</v>
      </c>
      <c r="CM18">
        <f t="shared" si="76"/>
        <v>287.13473364894838</v>
      </c>
      <c r="CN18">
        <f t="shared" si="77"/>
        <v>149.70719140740823</v>
      </c>
      <c r="CO18">
        <f t="shared" si="78"/>
        <v>48.620989122942142</v>
      </c>
      <c r="CP18">
        <f t="shared" si="79"/>
        <v>10.573926413843765</v>
      </c>
      <c r="CQ18">
        <f t="shared" si="80"/>
        <v>293.20991662443657</v>
      </c>
      <c r="CR18">
        <f t="shared" si="81"/>
        <v>151.39372905500514</v>
      </c>
      <c r="CS18">
        <f t="shared" si="82"/>
        <v>47.835603396914536</v>
      </c>
      <c r="CT18">
        <f t="shared" si="83"/>
        <v>40.579324421077196</v>
      </c>
      <c r="CV18" t="s">
        <v>123</v>
      </c>
      <c r="CW18">
        <f>SUM(AF4:AF25)+SUM(BB4:BB25)+SUM(BX4:BX25)+SUM(CT4:CT25)</f>
        <v>1835.6761919610678</v>
      </c>
    </row>
    <row r="19" spans="1:101" x14ac:dyDescent="0.25">
      <c r="A19">
        <f>Align!A19</f>
        <v>450</v>
      </c>
      <c r="B19">
        <f>Align!B19</f>
        <v>10.631942768488157</v>
      </c>
      <c r="C19">
        <f>Align!C19</f>
        <v>0.20394572005565301</v>
      </c>
      <c r="D19">
        <f>Align!D19</f>
        <v>0.50443364660407497</v>
      </c>
      <c r="E19">
        <f>Align!F19</f>
        <v>0.18689358506496923</v>
      </c>
      <c r="F19">
        <f>Align!G19</f>
        <v>0.38320738155209105</v>
      </c>
      <c r="G19">
        <f t="shared" si="0"/>
        <v>6.9037977341019108</v>
      </c>
      <c r="H19">
        <f t="shared" si="1"/>
        <v>2.791249175146965</v>
      </c>
      <c r="I19">
        <f t="shared" si="2"/>
        <v>6.495675063314672</v>
      </c>
      <c r="J19">
        <f t="shared" si="3"/>
        <v>3.1679974302242808</v>
      </c>
      <c r="K19">
        <f t="shared" si="4"/>
        <v>31.805698584489921</v>
      </c>
      <c r="L19">
        <f t="shared" si="5"/>
        <v>6.2330465552696591E-2</v>
      </c>
      <c r="M19">
        <f t="shared" si="84"/>
        <v>3.2362561178836832E-2</v>
      </c>
      <c r="N19">
        <f t="shared" si="85"/>
        <v>0.73967569120383969</v>
      </c>
      <c r="O19">
        <f t="shared" si="6"/>
        <v>0.68967638320342251</v>
      </c>
      <c r="P19">
        <f t="shared" si="7"/>
        <v>0.59464994972226914</v>
      </c>
      <c r="Q19">
        <f t="shared" si="8"/>
        <v>6.4773774700275784</v>
      </c>
      <c r="R19">
        <f t="shared" si="9"/>
        <v>-2.0984273092527261E-2</v>
      </c>
      <c r="S19">
        <f t="shared" si="10"/>
        <v>6.7633327437832245</v>
      </c>
      <c r="T19">
        <f t="shared" si="11"/>
        <v>2.7344582893961582</v>
      </c>
      <c r="U19">
        <f t="shared" si="12"/>
        <v>6.3635137558686443</v>
      </c>
      <c r="V19">
        <f t="shared" si="13"/>
        <v>3.1035412069244588</v>
      </c>
      <c r="W19">
        <f t="shared" si="14"/>
        <v>262.2969139062568</v>
      </c>
      <c r="X19">
        <f t="shared" si="15"/>
        <v>62.389892664712335</v>
      </c>
      <c r="Y19">
        <f t="shared" si="16"/>
        <v>296.29253880170717</v>
      </c>
      <c r="Z19">
        <f t="shared" si="17"/>
        <v>148.43300285830276</v>
      </c>
      <c r="AA19">
        <f t="shared" si="18"/>
        <v>48.433049300114426</v>
      </c>
      <c r="AB19">
        <f t="shared" si="19"/>
        <v>11.107193198229382</v>
      </c>
      <c r="AC19">
        <f t="shared" si="20"/>
        <v>295.85800202299833</v>
      </c>
      <c r="AD19">
        <f t="shared" si="21"/>
        <v>152.85874446869161</v>
      </c>
      <c r="AE19">
        <f t="shared" si="22"/>
        <v>47.922554000144146</v>
      </c>
      <c r="AF19">
        <f t="shared" si="23"/>
        <v>0</v>
      </c>
      <c r="AG19">
        <f t="shared" si="24"/>
        <v>32.784055689414458</v>
      </c>
      <c r="AH19">
        <f t="shared" si="25"/>
        <v>6.0470370682054186E-2</v>
      </c>
      <c r="AI19">
        <f t="shared" si="86"/>
        <v>3.1352196073384783E-2</v>
      </c>
      <c r="AJ19">
        <f t="shared" si="87"/>
        <v>0.70207082157454759</v>
      </c>
      <c r="AK19">
        <f t="shared" si="26"/>
        <v>0.69039051371851834</v>
      </c>
      <c r="AL19">
        <f t="shared" si="27"/>
        <v>0.59526568441355199</v>
      </c>
      <c r="AM19">
        <f t="shared" si="28"/>
        <v>6.4572979220897038</v>
      </c>
      <c r="AN19">
        <f t="shared" si="29"/>
        <v>-1.9907032493776122E-2</v>
      </c>
      <c r="AO19">
        <f t="shared" si="30"/>
        <v>6.7703358867263654</v>
      </c>
      <c r="AP19">
        <f t="shared" si="31"/>
        <v>2.7372897044688975</v>
      </c>
      <c r="AQ19">
        <f t="shared" si="32"/>
        <v>6.3701029032817971</v>
      </c>
      <c r="AR19">
        <f t="shared" si="33"/>
        <v>3.1067547916356353</v>
      </c>
      <c r="AS19">
        <f t="shared" si="34"/>
        <v>262.02559756208058</v>
      </c>
      <c r="AT19">
        <f t="shared" si="35"/>
        <v>62.325357412126849</v>
      </c>
      <c r="AU19">
        <f t="shared" si="36"/>
        <v>295.98605784759616</v>
      </c>
      <c r="AV19">
        <f t="shared" si="37"/>
        <v>157.3929364268389</v>
      </c>
      <c r="AW19">
        <f t="shared" si="38"/>
        <v>48.382950815623275</v>
      </c>
      <c r="AX19">
        <f t="shared" si="39"/>
        <v>10.487966594466581</v>
      </c>
      <c r="AY19">
        <f t="shared" si="40"/>
        <v>292.78231520717435</v>
      </c>
      <c r="AZ19">
        <f t="shared" si="41"/>
        <v>151.15734469327168</v>
      </c>
      <c r="BA19">
        <f t="shared" si="42"/>
        <v>47.821207135954978</v>
      </c>
      <c r="BB19">
        <f t="shared" si="43"/>
        <v>0</v>
      </c>
      <c r="BC19">
        <f t="shared" si="44"/>
        <v>32.457936654439614</v>
      </c>
      <c r="BD19">
        <f t="shared" si="45"/>
        <v>6.1077942849729401E-2</v>
      </c>
      <c r="BE19">
        <f t="shared" si="88"/>
        <v>3.1681887055415199E-2</v>
      </c>
      <c r="BF19">
        <f t="shared" si="89"/>
        <v>0.71412707252334584</v>
      </c>
      <c r="BG19">
        <f t="shared" si="46"/>
        <v>0.69016139999984505</v>
      </c>
      <c r="BH19">
        <f t="shared" si="47"/>
        <v>0.59506813892032095</v>
      </c>
      <c r="BI19">
        <f t="shared" si="48"/>
        <v>6.4637309683185125</v>
      </c>
      <c r="BJ19">
        <f t="shared" si="49"/>
        <v>-2.0252278128855328E-2</v>
      </c>
      <c r="BK19">
        <f t="shared" si="50"/>
        <v>6.768089075970928</v>
      </c>
      <c r="BL19">
        <f t="shared" si="51"/>
        <v>2.7363813046418213</v>
      </c>
      <c r="BM19">
        <f t="shared" si="52"/>
        <v>6.367988914263262</v>
      </c>
      <c r="BN19">
        <f t="shared" si="53"/>
        <v>3.1057237807379279</v>
      </c>
      <c r="BO19">
        <f t="shared" si="54"/>
        <v>262.11258251812876</v>
      </c>
      <c r="BP19">
        <f t="shared" si="55"/>
        <v>62.346047636767565</v>
      </c>
      <c r="BQ19">
        <f t="shared" si="56"/>
        <v>296.08431669891559</v>
      </c>
      <c r="BR19">
        <f t="shared" si="57"/>
        <v>154.40635433498707</v>
      </c>
      <c r="BS19">
        <f t="shared" si="58"/>
        <v>45.360180546374153</v>
      </c>
      <c r="BT19">
        <f t="shared" si="59"/>
        <v>10.685832602507247</v>
      </c>
      <c r="BU19">
        <f t="shared" si="60"/>
        <v>293.76627577691011</v>
      </c>
      <c r="BV19">
        <f t="shared" si="61"/>
        <v>151.70136754960913</v>
      </c>
      <c r="BW19">
        <f t="shared" si="62"/>
        <v>47.854186384885864</v>
      </c>
      <c r="BX19">
        <f t="shared" si="63"/>
        <v>0</v>
      </c>
      <c r="BY19">
        <f t="shared" si="64"/>
        <v>31.805698584489921</v>
      </c>
      <c r="BZ19">
        <f t="shared" si="65"/>
        <v>6.2330465552696591E-2</v>
      </c>
      <c r="CA19">
        <f t="shared" si="90"/>
        <v>3.2362561178836832E-2</v>
      </c>
      <c r="CB19">
        <f t="shared" si="91"/>
        <v>0.73967569120383969</v>
      </c>
      <c r="CC19">
        <f t="shared" si="66"/>
        <v>0.68967638320342251</v>
      </c>
      <c r="CD19">
        <f t="shared" si="67"/>
        <v>0.59464994972226914</v>
      </c>
      <c r="CE19">
        <f t="shared" si="68"/>
        <v>6.4773774700275784</v>
      </c>
      <c r="CF19">
        <f t="shared" si="69"/>
        <v>-2.0984273092527261E-2</v>
      </c>
      <c r="CG19">
        <f t="shared" si="70"/>
        <v>6.7633327437832245</v>
      </c>
      <c r="CH19">
        <f t="shared" si="71"/>
        <v>2.7344582893961582</v>
      </c>
      <c r="CI19">
        <f t="shared" si="72"/>
        <v>6.3635137558686443</v>
      </c>
      <c r="CJ19">
        <f t="shared" si="73"/>
        <v>3.1035412069244588</v>
      </c>
      <c r="CK19">
        <f t="shared" si="74"/>
        <v>262.2969139062568</v>
      </c>
      <c r="CL19">
        <f t="shared" si="75"/>
        <v>62.389892664712335</v>
      </c>
      <c r="CM19">
        <f t="shared" si="76"/>
        <v>290.21060063545264</v>
      </c>
      <c r="CN19">
        <f t="shared" si="77"/>
        <v>151.47397194143005</v>
      </c>
      <c r="CO19">
        <f t="shared" si="78"/>
        <v>48.433049300114426</v>
      </c>
      <c r="CP19">
        <f t="shared" si="79"/>
        <v>11.107193198229382</v>
      </c>
      <c r="CQ19">
        <f t="shared" si="80"/>
        <v>295.85800202299833</v>
      </c>
      <c r="CR19">
        <f t="shared" si="81"/>
        <v>152.85874446869161</v>
      </c>
      <c r="CS19">
        <f t="shared" si="82"/>
        <v>47.922554000144146</v>
      </c>
      <c r="CT19">
        <f t="shared" si="83"/>
        <v>0</v>
      </c>
    </row>
    <row r="20" spans="1:101" x14ac:dyDescent="0.25">
      <c r="A20">
        <f>Align!A20</f>
        <v>480</v>
      </c>
      <c r="B20">
        <f>Align!B20</f>
        <v>10.933252887433179</v>
      </c>
      <c r="C20">
        <f>Align!C20</f>
        <v>0.20334572005565299</v>
      </c>
      <c r="D20">
        <f>Align!D20</f>
        <v>0.50523364660407499</v>
      </c>
      <c r="E20">
        <f>Align!F20</f>
        <v>0.18654300698956763</v>
      </c>
      <c r="F20">
        <f>Align!G20</f>
        <v>0.38264355093432489</v>
      </c>
      <c r="G20">
        <f t="shared" si="0"/>
        <v>6.9241683553243671</v>
      </c>
      <c r="H20">
        <f t="shared" si="1"/>
        <v>2.7868294391394235</v>
      </c>
      <c r="I20">
        <f t="shared" si="2"/>
        <v>6.5078826571499011</v>
      </c>
      <c r="J20">
        <f t="shared" si="3"/>
        <v>3.1726655186940942</v>
      </c>
      <c r="K20">
        <f t="shared" si="4"/>
        <v>31.997312248760252</v>
      </c>
      <c r="L20">
        <f t="shared" si="5"/>
        <v>6.1957203923489267E-2</v>
      </c>
      <c r="M20">
        <f t="shared" si="84"/>
        <v>1.8724566236634557E-2</v>
      </c>
      <c r="N20">
        <f t="shared" si="85"/>
        <v>0.75840025744047423</v>
      </c>
      <c r="O20">
        <f t="shared" si="6"/>
        <v>0.68932134737471829</v>
      </c>
      <c r="P20">
        <f t="shared" si="7"/>
        <v>0.59434383218246312</v>
      </c>
      <c r="Q20">
        <f t="shared" si="8"/>
        <v>6.4873911701137077</v>
      </c>
      <c r="R20">
        <f t="shared" si="9"/>
        <v>-2.1521078510975511E-2</v>
      </c>
      <c r="S20">
        <f t="shared" si="10"/>
        <v>6.7797969604283805</v>
      </c>
      <c r="T20">
        <f t="shared" si="11"/>
        <v>2.7287230452998834</v>
      </c>
      <c r="U20">
        <f t="shared" si="12"/>
        <v>6.3721909684419487</v>
      </c>
      <c r="V20">
        <f t="shared" si="13"/>
        <v>3.1065143041413674</v>
      </c>
      <c r="W20">
        <f t="shared" si="14"/>
        <v>263.41933605947941</v>
      </c>
      <c r="X20">
        <f t="shared" si="15"/>
        <v>62.606121647582405</v>
      </c>
      <c r="Y20">
        <f t="shared" si="16"/>
        <v>298.19713133869521</v>
      </c>
      <c r="Z20">
        <f t="shared" si="17"/>
        <v>149.42112438227406</v>
      </c>
      <c r="AA20">
        <f t="shared" si="18"/>
        <v>48.304657018798721</v>
      </c>
      <c r="AB20">
        <f t="shared" si="19"/>
        <v>11.41779003657137</v>
      </c>
      <c r="AC20">
        <f t="shared" si="20"/>
        <v>297.39672841287529</v>
      </c>
      <c r="AD20">
        <f t="shared" si="21"/>
        <v>153.71090387607734</v>
      </c>
      <c r="AE20">
        <f t="shared" si="22"/>
        <v>47.971337892878523</v>
      </c>
      <c r="AF20">
        <f t="shared" si="23"/>
        <v>0</v>
      </c>
      <c r="AG20">
        <f t="shared" si="24"/>
        <v>32.99010664109052</v>
      </c>
      <c r="AH20">
        <f t="shared" si="25"/>
        <v>6.0092682378018146E-2</v>
      </c>
      <c r="AI20">
        <f t="shared" si="86"/>
        <v>1.8163433928952685E-2</v>
      </c>
      <c r="AJ20">
        <f t="shared" si="87"/>
        <v>0.72023425550350029</v>
      </c>
      <c r="AK20">
        <f t="shared" si="26"/>
        <v>0.69004539876926341</v>
      </c>
      <c r="AL20">
        <f t="shared" si="27"/>
        <v>0.59496812081383932</v>
      </c>
      <c r="AM20">
        <f t="shared" si="28"/>
        <v>6.4669913051081354</v>
      </c>
      <c r="AN20">
        <f t="shared" si="29"/>
        <v>-2.04272085818199E-2</v>
      </c>
      <c r="AO20">
        <f t="shared" si="30"/>
        <v>6.7869183436013039</v>
      </c>
      <c r="AP20">
        <f t="shared" si="31"/>
        <v>2.7315892494785317</v>
      </c>
      <c r="AQ20">
        <f t="shared" si="32"/>
        <v>6.378884209228092</v>
      </c>
      <c r="AR20">
        <f t="shared" si="33"/>
        <v>3.1097773338192587</v>
      </c>
      <c r="AS20">
        <f t="shared" si="34"/>
        <v>263.14293520532658</v>
      </c>
      <c r="AT20">
        <f t="shared" si="35"/>
        <v>62.540430245586471</v>
      </c>
      <c r="AU20">
        <f t="shared" si="36"/>
        <v>297.88423881136265</v>
      </c>
      <c r="AV20">
        <f t="shared" si="37"/>
        <v>158.51691994378734</v>
      </c>
      <c r="AW20">
        <f t="shared" si="38"/>
        <v>48.253971869184127</v>
      </c>
      <c r="AX20">
        <f t="shared" si="39"/>
        <v>10.786300602686225</v>
      </c>
      <c r="AY20">
        <f t="shared" si="40"/>
        <v>294.26546962982877</v>
      </c>
      <c r="AZ20">
        <f t="shared" si="41"/>
        <v>151.97746865371568</v>
      </c>
      <c r="BA20">
        <f t="shared" si="42"/>
        <v>47.870717390462403</v>
      </c>
      <c r="BB20">
        <f t="shared" si="43"/>
        <v>0</v>
      </c>
      <c r="BC20">
        <f t="shared" si="44"/>
        <v>32.659175176980433</v>
      </c>
      <c r="BD20">
        <f t="shared" si="45"/>
        <v>6.0701594245935644E-2</v>
      </c>
      <c r="BE20">
        <f t="shared" si="88"/>
        <v>1.8346703403682267E-2</v>
      </c>
      <c r="BF20">
        <f t="shared" si="89"/>
        <v>0.73247377592702811</v>
      </c>
      <c r="BG20">
        <f t="shared" si="46"/>
        <v>0.68981303586461884</v>
      </c>
      <c r="BH20">
        <f t="shared" si="47"/>
        <v>0.59476777382077228</v>
      </c>
      <c r="BI20">
        <f t="shared" si="48"/>
        <v>6.4735287074565475</v>
      </c>
      <c r="BJ20">
        <f t="shared" si="49"/>
        <v>-2.0777878513509873E-2</v>
      </c>
      <c r="BK20">
        <f t="shared" si="50"/>
        <v>6.7846329460568562</v>
      </c>
      <c r="BL20">
        <f t="shared" si="51"/>
        <v>2.7306694259228106</v>
      </c>
      <c r="BM20">
        <f t="shared" si="52"/>
        <v>6.3767362113341992</v>
      </c>
      <c r="BN20">
        <f t="shared" si="53"/>
        <v>3.1087301608428537</v>
      </c>
      <c r="BO20">
        <f t="shared" si="54"/>
        <v>263.2315746678795</v>
      </c>
      <c r="BP20">
        <f t="shared" si="55"/>
        <v>62.56149693362228</v>
      </c>
      <c r="BQ20">
        <f t="shared" si="56"/>
        <v>297.98458085098684</v>
      </c>
      <c r="BR20">
        <f t="shared" si="57"/>
        <v>155.48508389218858</v>
      </c>
      <c r="BS20">
        <f t="shared" si="58"/>
        <v>45.184993842068593</v>
      </c>
      <c r="BT20">
        <f t="shared" si="59"/>
        <v>10.988131971266835</v>
      </c>
      <c r="BU20">
        <f t="shared" si="60"/>
        <v>295.26745595092734</v>
      </c>
      <c r="BV20">
        <f t="shared" si="61"/>
        <v>152.53186705838738</v>
      </c>
      <c r="BW20">
        <f t="shared" si="62"/>
        <v>47.903491769297972</v>
      </c>
      <c r="BX20">
        <f t="shared" si="63"/>
        <v>0</v>
      </c>
      <c r="BY20">
        <f t="shared" si="64"/>
        <v>31.997312248760252</v>
      </c>
      <c r="BZ20">
        <f t="shared" si="65"/>
        <v>6.1957203923489267E-2</v>
      </c>
      <c r="CA20">
        <f t="shared" si="90"/>
        <v>1.8724566236634557E-2</v>
      </c>
      <c r="CB20">
        <f t="shared" si="91"/>
        <v>0.75840025744047423</v>
      </c>
      <c r="CC20">
        <f t="shared" si="66"/>
        <v>0.68932134737471829</v>
      </c>
      <c r="CD20">
        <f t="shared" si="67"/>
        <v>0.59434383218246312</v>
      </c>
      <c r="CE20">
        <f t="shared" si="68"/>
        <v>6.4873911701137077</v>
      </c>
      <c r="CF20">
        <f t="shared" si="69"/>
        <v>-2.1521078510975511E-2</v>
      </c>
      <c r="CG20">
        <f t="shared" si="70"/>
        <v>6.7797969604283805</v>
      </c>
      <c r="CH20">
        <f t="shared" si="71"/>
        <v>2.7287230452998834</v>
      </c>
      <c r="CI20">
        <f t="shared" si="72"/>
        <v>6.3721909684419487</v>
      </c>
      <c r="CJ20">
        <f t="shared" si="73"/>
        <v>3.1065143041413674</v>
      </c>
      <c r="CK20">
        <f t="shared" si="74"/>
        <v>263.41933605947941</v>
      </c>
      <c r="CL20">
        <f t="shared" si="75"/>
        <v>62.606121647582405</v>
      </c>
      <c r="CM20">
        <f t="shared" si="76"/>
        <v>292.02226531704679</v>
      </c>
      <c r="CN20">
        <f t="shared" si="77"/>
        <v>152.50855739309827</v>
      </c>
      <c r="CO20">
        <f t="shared" si="78"/>
        <v>48.304657018798721</v>
      </c>
      <c r="CP20">
        <f t="shared" si="79"/>
        <v>11.41779003657137</v>
      </c>
      <c r="CQ20">
        <f t="shared" si="80"/>
        <v>297.39672841287529</v>
      </c>
      <c r="CR20">
        <f t="shared" si="81"/>
        <v>153.71090387607734</v>
      </c>
      <c r="CS20">
        <f t="shared" si="82"/>
        <v>47.971337892878523</v>
      </c>
      <c r="CT20">
        <f t="shared" si="83"/>
        <v>0</v>
      </c>
    </row>
    <row r="21" spans="1:101" x14ac:dyDescent="0.25">
      <c r="A21">
        <f>Align!A21</f>
        <v>510</v>
      </c>
      <c r="B21">
        <f>Align!B21</f>
        <v>11.148474400965315</v>
      </c>
      <c r="C21">
        <f>Align!C21</f>
        <v>0.20234572005565299</v>
      </c>
      <c r="D21">
        <f>Align!D21</f>
        <v>0.50563364660407495</v>
      </c>
      <c r="E21">
        <f>Align!F21</f>
        <v>0.18629573804916622</v>
      </c>
      <c r="F21">
        <f>Align!G21</f>
        <v>0.38224487640817517</v>
      </c>
      <c r="G21">
        <f t="shared" si="0"/>
        <v>6.9583878503224321</v>
      </c>
      <c r="H21">
        <f t="shared" si="1"/>
        <v>2.7846248157265188</v>
      </c>
      <c r="I21">
        <f t="shared" si="2"/>
        <v>6.5165205211490527</v>
      </c>
      <c r="J21">
        <f t="shared" si="3"/>
        <v>3.1759745517259623</v>
      </c>
      <c r="K21">
        <f t="shared" si="4"/>
        <v>32.126192550076794</v>
      </c>
      <c r="L21">
        <f t="shared" si="5"/>
        <v>6.1708650874510836E-2</v>
      </c>
      <c r="M21">
        <f t="shared" si="84"/>
        <v>1.3307776220935447E-2</v>
      </c>
      <c r="N21">
        <f t="shared" si="85"/>
        <v>0.77170803366140972</v>
      </c>
      <c r="O21">
        <f t="shared" si="6"/>
        <v>0.6890692412390188</v>
      </c>
      <c r="P21">
        <f t="shared" si="7"/>
        <v>0.59412646226148358</v>
      </c>
      <c r="Q21">
        <f t="shared" si="8"/>
        <v>6.4945142985436375</v>
      </c>
      <c r="R21">
        <f t="shared" si="9"/>
        <v>-2.190276066313801E-2</v>
      </c>
      <c r="S21">
        <f t="shared" si="10"/>
        <v>6.8108111310631907</v>
      </c>
      <c r="T21">
        <f t="shared" si="11"/>
        <v>2.7255672001534301</v>
      </c>
      <c r="U21">
        <f t="shared" si="12"/>
        <v>6.3783151292992519</v>
      </c>
      <c r="V21">
        <f t="shared" si="13"/>
        <v>3.1086170093071619</v>
      </c>
      <c r="W21">
        <f t="shared" si="14"/>
        <v>264.21570101109927</v>
      </c>
      <c r="X21">
        <f t="shared" si="15"/>
        <v>62.759737044163984</v>
      </c>
      <c r="Y21">
        <f t="shared" si="16"/>
        <v>301.26199766280979</v>
      </c>
      <c r="Z21">
        <f t="shared" si="17"/>
        <v>149.20074081459745</v>
      </c>
      <c r="AA21">
        <f t="shared" si="18"/>
        <v>48.245905935323258</v>
      </c>
      <c r="AB21">
        <f t="shared" si="19"/>
        <v>11.63945397272011</v>
      </c>
      <c r="AC21">
        <f t="shared" si="20"/>
        <v>298.49325628327887</v>
      </c>
      <c r="AD21">
        <f t="shared" si="21"/>
        <v>154.31856485565726</v>
      </c>
      <c r="AE21">
        <f t="shared" si="22"/>
        <v>48.005322856421955</v>
      </c>
      <c r="AF21">
        <f t="shared" si="23"/>
        <v>0</v>
      </c>
      <c r="AG21">
        <f t="shared" si="24"/>
        <v>33.414956345332953</v>
      </c>
      <c r="AH21">
        <f t="shared" si="25"/>
        <v>5.9328642524977868E-2</v>
      </c>
      <c r="AI21">
        <f t="shared" si="86"/>
        <v>1.2851019146817858E-2</v>
      </c>
      <c r="AJ21">
        <f t="shared" si="87"/>
        <v>0.73308527465031814</v>
      </c>
      <c r="AK21">
        <f t="shared" si="26"/>
        <v>0.68980143088514667</v>
      </c>
      <c r="AL21">
        <f t="shared" si="27"/>
        <v>0.59475776782284662</v>
      </c>
      <c r="AM21">
        <f t="shared" si="28"/>
        <v>6.4738554381428823</v>
      </c>
      <c r="AN21">
        <f t="shared" si="29"/>
        <v>-2.07954014328805E-2</v>
      </c>
      <c r="AO21">
        <f t="shared" si="30"/>
        <v>6.8180481474520374</v>
      </c>
      <c r="AP21">
        <f t="shared" si="31"/>
        <v>2.7284633272250578</v>
      </c>
      <c r="AQ21">
        <f t="shared" si="32"/>
        <v>6.3850925850582927</v>
      </c>
      <c r="AR21">
        <f t="shared" si="33"/>
        <v>3.1119201565843482</v>
      </c>
      <c r="AS21">
        <f t="shared" si="34"/>
        <v>263.93524928693188</v>
      </c>
      <c r="AT21">
        <f t="shared" si="35"/>
        <v>62.693120728801304</v>
      </c>
      <c r="AU21">
        <f t="shared" si="36"/>
        <v>300.94222315150216</v>
      </c>
      <c r="AV21">
        <f t="shared" si="37"/>
        <v>161.05755628934963</v>
      </c>
      <c r="AW21">
        <f t="shared" si="38"/>
        <v>48.194695324251342</v>
      </c>
      <c r="AX21">
        <f t="shared" si="39"/>
        <v>10.998232537690205</v>
      </c>
      <c r="AY21">
        <f t="shared" si="40"/>
        <v>295.31757020186478</v>
      </c>
      <c r="AZ21">
        <f t="shared" si="41"/>
        <v>152.55960245466389</v>
      </c>
      <c r="BA21">
        <f t="shared" si="42"/>
        <v>47.905116724158376</v>
      </c>
      <c r="BB21">
        <f t="shared" si="43"/>
        <v>0</v>
      </c>
      <c r="BC21">
        <f t="shared" si="44"/>
        <v>32.9853684135809</v>
      </c>
      <c r="BD21">
        <f t="shared" si="45"/>
        <v>6.0101314472018136E-2</v>
      </c>
      <c r="BE21">
        <f t="shared" si="88"/>
        <v>1.2999692426681215E-2</v>
      </c>
      <c r="BF21">
        <f t="shared" si="89"/>
        <v>0.74547346835370931</v>
      </c>
      <c r="BG21">
        <f t="shared" si="46"/>
        <v>0.68956641267639562</v>
      </c>
      <c r="BH21">
        <f t="shared" si="47"/>
        <v>0.59455513138433547</v>
      </c>
      <c r="BI21">
        <f t="shared" si="48"/>
        <v>6.4804769577914385</v>
      </c>
      <c r="BJ21">
        <f t="shared" si="49"/>
        <v>-2.1150457183008231E-2</v>
      </c>
      <c r="BK21">
        <f t="shared" si="50"/>
        <v>6.8157252101674093</v>
      </c>
      <c r="BL21">
        <f t="shared" si="51"/>
        <v>2.7275337284519954</v>
      </c>
      <c r="BM21">
        <f t="shared" si="52"/>
        <v>6.3829171575296426</v>
      </c>
      <c r="BN21">
        <f t="shared" si="53"/>
        <v>3.1108599124789711</v>
      </c>
      <c r="BO21">
        <f t="shared" si="54"/>
        <v>264.02520376901435</v>
      </c>
      <c r="BP21">
        <f t="shared" si="55"/>
        <v>62.714487814935225</v>
      </c>
      <c r="BQ21">
        <f t="shared" si="56"/>
        <v>301.04479036029085</v>
      </c>
      <c r="BR21">
        <f t="shared" si="57"/>
        <v>157.10602143478218</v>
      </c>
      <c r="BS21">
        <f t="shared" si="58"/>
        <v>44.204694519296964</v>
      </c>
      <c r="BT21">
        <f t="shared" si="59"/>
        <v>11.203203428168205</v>
      </c>
      <c r="BU21">
        <f t="shared" si="60"/>
        <v>296.33392935134805</v>
      </c>
      <c r="BV21">
        <f t="shared" si="61"/>
        <v>153.12224783044613</v>
      </c>
      <c r="BW21">
        <f t="shared" si="62"/>
        <v>47.937779362488442</v>
      </c>
      <c r="BX21">
        <f t="shared" si="63"/>
        <v>0</v>
      </c>
      <c r="BY21">
        <f t="shared" si="64"/>
        <v>32.126192550076794</v>
      </c>
      <c r="BZ21">
        <f t="shared" si="65"/>
        <v>6.1708650874510836E-2</v>
      </c>
      <c r="CA21">
        <f t="shared" si="90"/>
        <v>1.3307776220935447E-2</v>
      </c>
      <c r="CB21">
        <f t="shared" si="91"/>
        <v>0.77170803366140972</v>
      </c>
      <c r="CC21">
        <f t="shared" si="66"/>
        <v>0.6890692412390188</v>
      </c>
      <c r="CD21">
        <f t="shared" si="67"/>
        <v>0.59412646226148358</v>
      </c>
      <c r="CE21">
        <f t="shared" si="68"/>
        <v>6.4945142985436375</v>
      </c>
      <c r="CF21">
        <f t="shared" si="69"/>
        <v>-2.190276066313801E-2</v>
      </c>
      <c r="CG21">
        <f t="shared" si="70"/>
        <v>6.8108111310631907</v>
      </c>
      <c r="CH21">
        <f t="shared" si="71"/>
        <v>2.7255672001534301</v>
      </c>
      <c r="CI21">
        <f t="shared" si="72"/>
        <v>6.3783151292992519</v>
      </c>
      <c r="CJ21">
        <f t="shared" si="73"/>
        <v>3.1086170093071619</v>
      </c>
      <c r="CK21">
        <f t="shared" si="74"/>
        <v>264.21570101109927</v>
      </c>
      <c r="CL21">
        <f t="shared" si="75"/>
        <v>62.759737044163984</v>
      </c>
      <c r="CM21">
        <f t="shared" si="76"/>
        <v>293.24336322878071</v>
      </c>
      <c r="CN21">
        <f t="shared" si="77"/>
        <v>153.21005803161202</v>
      </c>
      <c r="CO21">
        <f t="shared" si="78"/>
        <v>48.245905935323258</v>
      </c>
      <c r="CP21">
        <f t="shared" si="79"/>
        <v>11.63945397272011</v>
      </c>
      <c r="CQ21">
        <f t="shared" si="80"/>
        <v>298.49325628327887</v>
      </c>
      <c r="CR21">
        <f t="shared" si="81"/>
        <v>154.31856485565726</v>
      </c>
      <c r="CS21">
        <f t="shared" si="82"/>
        <v>48.005322856421955</v>
      </c>
      <c r="CT21">
        <f t="shared" si="83"/>
        <v>0</v>
      </c>
    </row>
    <row r="22" spans="1:101" x14ac:dyDescent="0.25">
      <c r="A22">
        <f>Align!A22</f>
        <v>540</v>
      </c>
      <c r="B22">
        <f>Align!B22</f>
        <v>11.535873125323196</v>
      </c>
      <c r="C22">
        <f>Align!C22</f>
        <v>0.201745720055653</v>
      </c>
      <c r="D22">
        <f>Align!D22</f>
        <v>0.50523364660407499</v>
      </c>
      <c r="E22">
        <f>Align!F22</f>
        <v>0.18585489258700488</v>
      </c>
      <c r="F22">
        <f>Align!G22</f>
        <v>0.38153599077508715</v>
      </c>
      <c r="G22">
        <f t="shared" si="0"/>
        <v>6.9790823795993937</v>
      </c>
      <c r="H22">
        <f t="shared" si="1"/>
        <v>2.7868294391394235</v>
      </c>
      <c r="I22">
        <f t="shared" si="2"/>
        <v>6.5319776256720603</v>
      </c>
      <c r="J22">
        <f t="shared" si="3"/>
        <v>3.1818754438703651</v>
      </c>
      <c r="K22">
        <f t="shared" si="4"/>
        <v>32.311507271808203</v>
      </c>
      <c r="L22">
        <f t="shared" si="5"/>
        <v>6.1354736048779134E-2</v>
      </c>
      <c r="M22">
        <f t="shared" si="84"/>
        <v>2.3837299554621456E-2</v>
      </c>
      <c r="N22">
        <f t="shared" si="85"/>
        <v>0.79554533321603116</v>
      </c>
      <c r="O22">
        <f t="shared" si="6"/>
        <v>0.68861812163585789</v>
      </c>
      <c r="P22">
        <f t="shared" si="7"/>
        <v>0.59373749976273549</v>
      </c>
      <c r="Q22">
        <f t="shared" si="8"/>
        <v>6.5072864971490745</v>
      </c>
      <c r="R22">
        <f t="shared" si="9"/>
        <v>-2.2586790543968505E-2</v>
      </c>
      <c r="S22">
        <f t="shared" si="10"/>
        <v>6.8265946008262048</v>
      </c>
      <c r="T22">
        <f t="shared" si="11"/>
        <v>2.7259392808234391</v>
      </c>
      <c r="U22">
        <f t="shared" si="12"/>
        <v>6.389258754485434</v>
      </c>
      <c r="V22">
        <f t="shared" si="13"/>
        <v>3.112353823064308</v>
      </c>
      <c r="W22">
        <f t="shared" si="14"/>
        <v>265.64453226489621</v>
      </c>
      <c r="X22">
        <f t="shared" si="15"/>
        <v>63.034433529073659</v>
      </c>
      <c r="Y22">
        <f t="shared" si="16"/>
        <v>303.25512819607627</v>
      </c>
      <c r="Z22">
        <f t="shared" si="17"/>
        <v>150.13126157976251</v>
      </c>
      <c r="AA22">
        <f t="shared" si="18"/>
        <v>48.353986359771831</v>
      </c>
      <c r="AB22">
        <f t="shared" si="19"/>
        <v>12.03841960877379</v>
      </c>
      <c r="AC22">
        <f t="shared" si="20"/>
        <v>300.46349925619654</v>
      </c>
      <c r="AD22">
        <f t="shared" si="21"/>
        <v>155.4112358081484</v>
      </c>
      <c r="AE22">
        <f t="shared" si="22"/>
        <v>48.0647595912437</v>
      </c>
      <c r="AF22">
        <f t="shared" si="23"/>
        <v>0</v>
      </c>
      <c r="AG22">
        <f t="shared" si="24"/>
        <v>33.636540395860372</v>
      </c>
      <c r="AH22">
        <f t="shared" si="25"/>
        <v>5.8937809200020473E-2</v>
      </c>
      <c r="AI22">
        <f t="shared" si="86"/>
        <v>2.2908136266298656E-2</v>
      </c>
      <c r="AJ22">
        <f t="shared" si="87"/>
        <v>0.75599341091661676</v>
      </c>
      <c r="AK22">
        <f t="shared" si="26"/>
        <v>0.68936696303087353</v>
      </c>
      <c r="AL22">
        <f t="shared" si="27"/>
        <v>0.59438316272690372</v>
      </c>
      <c r="AM22">
        <f t="shared" si="28"/>
        <v>6.4861034364115158</v>
      </c>
      <c r="AN22">
        <f t="shared" si="29"/>
        <v>-2.1452062325430954E-2</v>
      </c>
      <c r="AO22">
        <f t="shared" si="30"/>
        <v>6.8340182169981771</v>
      </c>
      <c r="AP22">
        <f t="shared" si="31"/>
        <v>2.7289036178190011</v>
      </c>
      <c r="AQ22">
        <f t="shared" si="32"/>
        <v>6.3962067874931314</v>
      </c>
      <c r="AR22">
        <f t="shared" si="33"/>
        <v>3.1157383685844122</v>
      </c>
      <c r="AS22">
        <f t="shared" si="34"/>
        <v>265.35596952141208</v>
      </c>
      <c r="AT22">
        <f t="shared" si="35"/>
        <v>62.965960864050054</v>
      </c>
      <c r="AU22">
        <f t="shared" si="36"/>
        <v>302.92571004083777</v>
      </c>
      <c r="AV22">
        <f t="shared" si="37"/>
        <v>162.32928813121924</v>
      </c>
      <c r="AW22">
        <f t="shared" si="38"/>
        <v>48.301460682531619</v>
      </c>
      <c r="AX22">
        <f t="shared" si="39"/>
        <v>11.37778147039249</v>
      </c>
      <c r="AY22">
        <f t="shared" si="40"/>
        <v>297.19867085923028</v>
      </c>
      <c r="AZ22">
        <f t="shared" si="41"/>
        <v>153.60118167938478</v>
      </c>
      <c r="BA22">
        <f t="shared" si="42"/>
        <v>47.965130313405005</v>
      </c>
      <c r="BB22">
        <f t="shared" si="43"/>
        <v>0</v>
      </c>
      <c r="BC22">
        <f t="shared" si="44"/>
        <v>33.194862687842985</v>
      </c>
      <c r="BD22">
        <f t="shared" si="45"/>
        <v>5.9722012368077705E-2</v>
      </c>
      <c r="BE22">
        <f t="shared" si="88"/>
        <v>2.3209701983085307E-2</v>
      </c>
      <c r="BF22">
        <f t="shared" si="89"/>
        <v>0.76868317033679467</v>
      </c>
      <c r="BG22">
        <f t="shared" si="46"/>
        <v>0.68912652887792558</v>
      </c>
      <c r="BH22">
        <f t="shared" si="47"/>
        <v>0.59417585657514316</v>
      </c>
      <c r="BI22">
        <f t="shared" si="48"/>
        <v>6.4928947506985795</v>
      </c>
      <c r="BJ22">
        <f t="shared" si="49"/>
        <v>-2.1815991882955577E-2</v>
      </c>
      <c r="BK22">
        <f t="shared" si="50"/>
        <v>6.831634680406852</v>
      </c>
      <c r="BL22">
        <f t="shared" si="51"/>
        <v>2.7279518437059189</v>
      </c>
      <c r="BM22">
        <f t="shared" si="52"/>
        <v>6.3939759487040631</v>
      </c>
      <c r="BN22">
        <f t="shared" si="53"/>
        <v>3.1146516760742804</v>
      </c>
      <c r="BO22">
        <f t="shared" si="54"/>
        <v>265.44855141325337</v>
      </c>
      <c r="BP22">
        <f t="shared" si="55"/>
        <v>62.987929496558749</v>
      </c>
      <c r="BQ22">
        <f t="shared" si="56"/>
        <v>303.03139990104165</v>
      </c>
      <c r="BR22">
        <f t="shared" si="57"/>
        <v>158.26411666403004</v>
      </c>
      <c r="BS22">
        <f t="shared" si="58"/>
        <v>44.196505252664593</v>
      </c>
      <c r="BT22">
        <f t="shared" si="59"/>
        <v>11.589002507159099</v>
      </c>
      <c r="BU22">
        <f t="shared" si="60"/>
        <v>298.24380059506001</v>
      </c>
      <c r="BV22">
        <f t="shared" si="61"/>
        <v>154.18029556732176</v>
      </c>
      <c r="BW22">
        <f t="shared" si="62"/>
        <v>47.997648368460297</v>
      </c>
      <c r="BX22">
        <f t="shared" si="63"/>
        <v>0</v>
      </c>
      <c r="BY22">
        <f t="shared" si="64"/>
        <v>32.311507271808203</v>
      </c>
      <c r="BZ22">
        <f t="shared" si="65"/>
        <v>6.1354736048779134E-2</v>
      </c>
      <c r="CA22">
        <f t="shared" si="90"/>
        <v>2.3837299554621456E-2</v>
      </c>
      <c r="CB22">
        <f t="shared" si="91"/>
        <v>0.79554533321603116</v>
      </c>
      <c r="CC22">
        <f t="shared" si="66"/>
        <v>0.68861812163585789</v>
      </c>
      <c r="CD22">
        <f t="shared" si="67"/>
        <v>0.59373749976273549</v>
      </c>
      <c r="CE22">
        <f t="shared" si="68"/>
        <v>6.5072864971490745</v>
      </c>
      <c r="CF22">
        <f t="shared" si="69"/>
        <v>-2.2586790543968505E-2</v>
      </c>
      <c r="CG22">
        <f t="shared" si="70"/>
        <v>6.8265946008262048</v>
      </c>
      <c r="CH22">
        <f t="shared" si="71"/>
        <v>2.7259392808234391</v>
      </c>
      <c r="CI22">
        <f t="shared" si="72"/>
        <v>6.389258754485434</v>
      </c>
      <c r="CJ22">
        <f t="shared" si="73"/>
        <v>3.112353823064308</v>
      </c>
      <c r="CK22">
        <f t="shared" si="74"/>
        <v>265.64453226489621</v>
      </c>
      <c r="CL22">
        <f t="shared" si="75"/>
        <v>63.034433529073659</v>
      </c>
      <c r="CM22">
        <f t="shared" si="76"/>
        <v>295.00542660349987</v>
      </c>
      <c r="CN22">
        <f t="shared" si="77"/>
        <v>154.25611237605074</v>
      </c>
      <c r="CO22">
        <f t="shared" si="78"/>
        <v>48.353986359771831</v>
      </c>
      <c r="CP22">
        <f t="shared" si="79"/>
        <v>12.03841960877379</v>
      </c>
      <c r="CQ22">
        <f t="shared" si="80"/>
        <v>300.46349925619654</v>
      </c>
      <c r="CR22">
        <f t="shared" si="81"/>
        <v>155.4112358081484</v>
      </c>
      <c r="CS22">
        <f t="shared" si="82"/>
        <v>48.0647595912437</v>
      </c>
      <c r="CT22">
        <f t="shared" si="83"/>
        <v>0</v>
      </c>
    </row>
    <row r="23" spans="1:101" x14ac:dyDescent="0.25">
      <c r="A23">
        <f>Align!A23</f>
        <v>570</v>
      </c>
      <c r="B23">
        <f>Align!B23</f>
        <v>12.052404757800351</v>
      </c>
      <c r="C23">
        <f>Align!C23</f>
        <v>0.200945720055653</v>
      </c>
      <c r="D23">
        <f>Align!D23</f>
        <v>0.50583364660407504</v>
      </c>
      <c r="E23">
        <f>Align!F23</f>
        <v>0.18526701163294707</v>
      </c>
      <c r="F23">
        <f>Align!G23</f>
        <v>0.38060856099036655</v>
      </c>
      <c r="G23">
        <f t="shared" si="0"/>
        <v>7.0068673252162164</v>
      </c>
      <c r="H23">
        <f t="shared" si="1"/>
        <v>2.7835238115389078</v>
      </c>
      <c r="I23">
        <f t="shared" si="2"/>
        <v>6.552704603478948</v>
      </c>
      <c r="J23">
        <f t="shared" si="3"/>
        <v>3.1896287273231541</v>
      </c>
      <c r="K23">
        <f t="shared" si="4"/>
        <v>32.607264541248746</v>
      </c>
      <c r="L23">
        <f t="shared" si="5"/>
        <v>6.0798230943051021E-2</v>
      </c>
      <c r="M23">
        <f t="shared" si="84"/>
        <v>3.1547935726109068E-2</v>
      </c>
      <c r="N23">
        <f t="shared" si="85"/>
        <v>0.82709326894214019</v>
      </c>
      <c r="O23">
        <f t="shared" si="6"/>
        <v>0.68802198605335252</v>
      </c>
      <c r="P23">
        <f t="shared" si="7"/>
        <v>0.59322350217952413</v>
      </c>
      <c r="Q23">
        <f t="shared" si="8"/>
        <v>6.5242158419569609</v>
      </c>
      <c r="R23">
        <f t="shared" si="9"/>
        <v>-2.3492771895055942E-2</v>
      </c>
      <c r="S23">
        <f t="shared" si="10"/>
        <v>6.8478391663460272</v>
      </c>
      <c r="T23">
        <f t="shared" si="11"/>
        <v>2.7203488367070983</v>
      </c>
      <c r="U23">
        <f t="shared" si="12"/>
        <v>6.4039841410604144</v>
      </c>
      <c r="V23">
        <f t="shared" si="13"/>
        <v>3.1172367780478747</v>
      </c>
      <c r="W23">
        <f t="shared" si="14"/>
        <v>267.56469991956806</v>
      </c>
      <c r="X23">
        <f t="shared" si="15"/>
        <v>63.396882682760719</v>
      </c>
      <c r="Y23">
        <f t="shared" si="16"/>
        <v>305.93940919845562</v>
      </c>
      <c r="Z23">
        <f t="shared" si="17"/>
        <v>151.81506508266909</v>
      </c>
      <c r="AA23">
        <f t="shared" si="18"/>
        <v>48.28114009872759</v>
      </c>
      <c r="AB23">
        <f t="shared" si="19"/>
        <v>12.570229413057769</v>
      </c>
      <c r="AC23">
        <f t="shared" si="20"/>
        <v>303.08313176575479</v>
      </c>
      <c r="AD23">
        <f t="shared" si="21"/>
        <v>156.86568920446237</v>
      </c>
      <c r="AE23">
        <f t="shared" si="22"/>
        <v>48.14055358331936</v>
      </c>
      <c r="AF23">
        <f t="shared" si="23"/>
        <v>0</v>
      </c>
      <c r="AG23">
        <f t="shared" si="24"/>
        <v>33.914063416455136</v>
      </c>
      <c r="AH23">
        <f t="shared" si="25"/>
        <v>5.8455513739415439E-2</v>
      </c>
      <c r="AI23">
        <f t="shared" si="86"/>
        <v>3.0318682369912375E-2</v>
      </c>
      <c r="AJ23">
        <f t="shared" si="87"/>
        <v>0.78631209328652918</v>
      </c>
      <c r="AK23">
        <f t="shared" si="26"/>
        <v>0.68879279009725625</v>
      </c>
      <c r="AL23">
        <f t="shared" si="27"/>
        <v>0.59388810168896955</v>
      </c>
      <c r="AM23">
        <f t="shared" si="28"/>
        <v>6.5023372749870081</v>
      </c>
      <c r="AN23">
        <f t="shared" si="29"/>
        <v>-2.2321782377930921E-2</v>
      </c>
      <c r="AO23">
        <f t="shared" si="30"/>
        <v>6.8555109300809329</v>
      </c>
      <c r="AP23">
        <f t="shared" si="31"/>
        <v>2.7233964949602751</v>
      </c>
      <c r="AQ23">
        <f t="shared" si="32"/>
        <v>6.4111586456156244</v>
      </c>
      <c r="AR23">
        <f t="shared" si="33"/>
        <v>3.1207290773682899</v>
      </c>
      <c r="AS23">
        <f t="shared" si="34"/>
        <v>267.2652775741704</v>
      </c>
      <c r="AT23">
        <f t="shared" si="35"/>
        <v>63.325937437332321</v>
      </c>
      <c r="AU23">
        <f t="shared" si="36"/>
        <v>305.59704305120493</v>
      </c>
      <c r="AV23">
        <f t="shared" si="37"/>
        <v>163.84634109405988</v>
      </c>
      <c r="AW23">
        <f t="shared" si="38"/>
        <v>48.227110354851895</v>
      </c>
      <c r="AX23">
        <f t="shared" si="39"/>
        <v>11.883590628328118</v>
      </c>
      <c r="AY23">
        <f t="shared" si="40"/>
        <v>299.699406109682</v>
      </c>
      <c r="AZ23">
        <f t="shared" si="41"/>
        <v>154.98735400988014</v>
      </c>
      <c r="BA23">
        <f t="shared" si="42"/>
        <v>48.041957094465644</v>
      </c>
      <c r="BB23">
        <f t="shared" si="43"/>
        <v>0</v>
      </c>
      <c r="BC23">
        <f t="shared" si="44"/>
        <v>33.478463791386339</v>
      </c>
      <c r="BD23">
        <f t="shared" si="45"/>
        <v>5.9216098216252899E-2</v>
      </c>
      <c r="BE23">
        <f t="shared" si="88"/>
        <v>3.0717648211936371E-2</v>
      </c>
      <c r="BF23">
        <f t="shared" si="89"/>
        <v>0.79940081854873102</v>
      </c>
      <c r="BG23">
        <f t="shared" si="46"/>
        <v>0.6885452122736323</v>
      </c>
      <c r="BH23">
        <f t="shared" si="47"/>
        <v>0.59367463615070282</v>
      </c>
      <c r="BI23">
        <f t="shared" si="48"/>
        <v>6.5093538661751333</v>
      </c>
      <c r="BJ23">
        <f t="shared" si="49"/>
        <v>-2.2697468786123332E-2</v>
      </c>
      <c r="BK23">
        <f t="shared" si="50"/>
        <v>6.8530468037133208</v>
      </c>
      <c r="BL23">
        <f t="shared" si="51"/>
        <v>2.7224176046658628</v>
      </c>
      <c r="BM23">
        <f t="shared" si="52"/>
        <v>6.4088542360352552</v>
      </c>
      <c r="BN23">
        <f t="shared" si="53"/>
        <v>3.1196073709215861</v>
      </c>
      <c r="BO23">
        <f t="shared" si="54"/>
        <v>267.36137722684754</v>
      </c>
      <c r="BP23">
        <f t="shared" si="55"/>
        <v>63.348707325917978</v>
      </c>
      <c r="BQ23">
        <f t="shared" si="56"/>
        <v>305.7069255243901</v>
      </c>
      <c r="BR23">
        <f t="shared" si="57"/>
        <v>159.83673672378288</v>
      </c>
      <c r="BS23">
        <f t="shared" si="58"/>
        <v>44.175933177146703</v>
      </c>
      <c r="BT23">
        <f t="shared" si="59"/>
        <v>12.103180312340093</v>
      </c>
      <c r="BU23">
        <f t="shared" si="60"/>
        <v>300.78290708457121</v>
      </c>
      <c r="BV23">
        <f t="shared" si="61"/>
        <v>155.58847497048185</v>
      </c>
      <c r="BW23">
        <f t="shared" si="62"/>
        <v>48.074198453053079</v>
      </c>
      <c r="BX23">
        <f t="shared" si="63"/>
        <v>0</v>
      </c>
      <c r="BY23">
        <f t="shared" si="64"/>
        <v>32.607264541248746</v>
      </c>
      <c r="BZ23">
        <f t="shared" si="65"/>
        <v>6.0798230943051021E-2</v>
      </c>
      <c r="CA23">
        <f t="shared" si="90"/>
        <v>3.1547935726109068E-2</v>
      </c>
      <c r="CB23">
        <f t="shared" si="91"/>
        <v>0.82709326894214019</v>
      </c>
      <c r="CC23">
        <f t="shared" si="66"/>
        <v>0.68802198605335252</v>
      </c>
      <c r="CD23">
        <f t="shared" si="67"/>
        <v>0.59322350217952413</v>
      </c>
      <c r="CE23">
        <f t="shared" si="68"/>
        <v>6.5242158419569609</v>
      </c>
      <c r="CF23">
        <f t="shared" si="69"/>
        <v>-2.3492771895055942E-2</v>
      </c>
      <c r="CG23">
        <f t="shared" si="70"/>
        <v>6.8478391663460272</v>
      </c>
      <c r="CH23">
        <f t="shared" si="71"/>
        <v>2.7203488367070983</v>
      </c>
      <c r="CI23">
        <f t="shared" si="72"/>
        <v>6.4039841410604144</v>
      </c>
      <c r="CJ23">
        <f t="shared" si="73"/>
        <v>3.1172367780478747</v>
      </c>
      <c r="CK23">
        <f t="shared" si="74"/>
        <v>267.56469991956806</v>
      </c>
      <c r="CL23">
        <f t="shared" si="75"/>
        <v>63.396882682760719</v>
      </c>
      <c r="CM23">
        <f t="shared" si="76"/>
        <v>297.79618508763434</v>
      </c>
      <c r="CN23">
        <f t="shared" si="77"/>
        <v>155.88667713807973</v>
      </c>
      <c r="CO23">
        <f t="shared" si="78"/>
        <v>48.28114009872759</v>
      </c>
      <c r="CP23">
        <f t="shared" si="79"/>
        <v>12.570229413057769</v>
      </c>
      <c r="CQ23">
        <f t="shared" si="80"/>
        <v>303.08313176575479</v>
      </c>
      <c r="CR23">
        <f t="shared" si="81"/>
        <v>156.86568920446237</v>
      </c>
      <c r="CS23">
        <f t="shared" si="82"/>
        <v>48.14055358331936</v>
      </c>
      <c r="CT23">
        <f t="shared" si="83"/>
        <v>0</v>
      </c>
    </row>
    <row r="24" spans="1:101" x14ac:dyDescent="0.25">
      <c r="A24">
        <f>Align!A24</f>
        <v>600</v>
      </c>
      <c r="B24">
        <f>Align!B24</f>
        <v>12.31067057403893</v>
      </c>
      <c r="C24">
        <f>Align!C24</f>
        <v>0.20034572005565299</v>
      </c>
      <c r="D24">
        <f>Align!D24</f>
        <v>0.50703364660407502</v>
      </c>
      <c r="E24">
        <f>Align!F24</f>
        <v>0.18496783088172686</v>
      </c>
      <c r="F24">
        <f>Align!G24</f>
        <v>0.38015231839357838</v>
      </c>
      <c r="G24">
        <f t="shared" si="0"/>
        <v>7.0278516536758504</v>
      </c>
      <c r="H24">
        <f t="shared" si="1"/>
        <v>2.7769360266922449</v>
      </c>
      <c r="I24">
        <f t="shared" si="2"/>
        <v>6.5633034361324292</v>
      </c>
      <c r="J24">
        <f t="shared" si="3"/>
        <v>3.1934567836651317</v>
      </c>
      <c r="K24">
        <f t="shared" si="4"/>
        <v>32.795120399626001</v>
      </c>
      <c r="L24">
        <f t="shared" si="5"/>
        <v>6.0449968649074023E-2</v>
      </c>
      <c r="M24">
        <f t="shared" si="84"/>
        <v>1.565713261755914E-2</v>
      </c>
      <c r="N24">
        <f t="shared" si="85"/>
        <v>0.84275040155969938</v>
      </c>
      <c r="O24">
        <f t="shared" si="6"/>
        <v>0.68772650907755584</v>
      </c>
      <c r="P24">
        <f t="shared" si="7"/>
        <v>0.59296873723022225</v>
      </c>
      <c r="Q24">
        <f t="shared" si="8"/>
        <v>6.5326287091645172</v>
      </c>
      <c r="R24">
        <f t="shared" si="9"/>
        <v>-2.3942698683284469E-2</v>
      </c>
      <c r="S24">
        <f t="shared" si="10"/>
        <v>6.8653975626383819</v>
      </c>
      <c r="T24">
        <f t="shared" si="11"/>
        <v>2.7127450562056197</v>
      </c>
      <c r="U24">
        <f t="shared" si="12"/>
        <v>6.4115877274830728</v>
      </c>
      <c r="V24">
        <f t="shared" si="13"/>
        <v>3.1196376217614503</v>
      </c>
      <c r="W24">
        <f t="shared" si="14"/>
        <v>268.54628761063867</v>
      </c>
      <c r="X24">
        <f t="shared" si="15"/>
        <v>63.576449921638044</v>
      </c>
      <c r="Y24">
        <f t="shared" si="16"/>
        <v>307.90685526210058</v>
      </c>
      <c r="Z24">
        <f t="shared" si="17"/>
        <v>152.71896075441282</v>
      </c>
      <c r="AA24">
        <f t="shared" si="18"/>
        <v>48.073521515247442</v>
      </c>
      <c r="AB24">
        <f t="shared" si="19"/>
        <v>12.835774208348635</v>
      </c>
      <c r="AC24">
        <f t="shared" si="20"/>
        <v>304.38836433161453</v>
      </c>
      <c r="AD24">
        <f t="shared" si="21"/>
        <v>157.59106876056177</v>
      </c>
      <c r="AE24">
        <f t="shared" si="22"/>
        <v>48.176942946776563</v>
      </c>
      <c r="AF24">
        <f t="shared" si="23"/>
        <v>0</v>
      </c>
      <c r="AG24">
        <f t="shared" si="24"/>
        <v>34.135282205361563</v>
      </c>
      <c r="AH24">
        <f t="shared" si="25"/>
        <v>5.8076684061765804E-2</v>
      </c>
      <c r="AI24">
        <f t="shared" si="86"/>
        <v>1.5048141591598788E-2</v>
      </c>
      <c r="AJ24">
        <f t="shared" si="87"/>
        <v>0.80136023487812802</v>
      </c>
      <c r="AK24">
        <f t="shared" si="26"/>
        <v>0.68850816454266384</v>
      </c>
      <c r="AL24">
        <f t="shared" si="27"/>
        <v>0.59364269300766614</v>
      </c>
      <c r="AM24">
        <f t="shared" si="28"/>
        <v>6.510404702373453</v>
      </c>
      <c r="AN24">
        <f t="shared" si="29"/>
        <v>-2.2753721644680369E-2</v>
      </c>
      <c r="AO24">
        <f t="shared" si="30"/>
        <v>6.8732006289069387</v>
      </c>
      <c r="AP24">
        <f t="shared" si="31"/>
        <v>2.7158283050998229</v>
      </c>
      <c r="AQ24">
        <f t="shared" si="32"/>
        <v>6.4188750030512756</v>
      </c>
      <c r="AR24">
        <f t="shared" si="33"/>
        <v>3.1231833361755665</v>
      </c>
      <c r="AS24">
        <f t="shared" si="34"/>
        <v>268.24141007373277</v>
      </c>
      <c r="AT24">
        <f t="shared" si="35"/>
        <v>63.504272303284836</v>
      </c>
      <c r="AU24">
        <f t="shared" si="36"/>
        <v>307.55729212174236</v>
      </c>
      <c r="AV24">
        <f t="shared" si="37"/>
        <v>165.06341940655358</v>
      </c>
      <c r="AW24">
        <f t="shared" si="38"/>
        <v>48.018944194665707</v>
      </c>
      <c r="AX24">
        <f t="shared" si="39"/>
        <v>12.136117410637743</v>
      </c>
      <c r="AY24">
        <f t="shared" si="40"/>
        <v>300.94531375641628</v>
      </c>
      <c r="AZ24">
        <f t="shared" si="41"/>
        <v>155.67860497931997</v>
      </c>
      <c r="BA24">
        <f t="shared" si="42"/>
        <v>48.078976714323787</v>
      </c>
      <c r="BB24">
        <f t="shared" si="43"/>
        <v>0</v>
      </c>
      <c r="BC24">
        <f t="shared" si="44"/>
        <v>33.688561603449706</v>
      </c>
      <c r="BD24">
        <f t="shared" si="45"/>
        <v>5.8846798605880386E-2</v>
      </c>
      <c r="BE24">
        <f t="shared" si="88"/>
        <v>1.5245805207629675E-2</v>
      </c>
      <c r="BF24">
        <f t="shared" si="89"/>
        <v>0.81464662375636065</v>
      </c>
      <c r="BG24">
        <f t="shared" si="46"/>
        <v>0.68825705682484528</v>
      </c>
      <c r="BH24">
        <f t="shared" si="47"/>
        <v>0.59342618393846747</v>
      </c>
      <c r="BI24">
        <f t="shared" si="48"/>
        <v>6.5175331845787623</v>
      </c>
      <c r="BJ24">
        <f t="shared" si="49"/>
        <v>-2.3135240261657586E-2</v>
      </c>
      <c r="BK24">
        <f t="shared" si="50"/>
        <v>6.8706938848871637</v>
      </c>
      <c r="BL24">
        <f t="shared" si="51"/>
        <v>2.7148378078438702</v>
      </c>
      <c r="BM24">
        <f t="shared" si="52"/>
        <v>6.4165339573876423</v>
      </c>
      <c r="BN24">
        <f t="shared" si="53"/>
        <v>3.122044271339063</v>
      </c>
      <c r="BO24">
        <f t="shared" si="54"/>
        <v>268.3392768338918</v>
      </c>
      <c r="BP24">
        <f t="shared" si="55"/>
        <v>63.527441572283493</v>
      </c>
      <c r="BQ24">
        <f t="shared" si="56"/>
        <v>307.6695031175575</v>
      </c>
      <c r="BR24">
        <f t="shared" si="57"/>
        <v>160.94950683115766</v>
      </c>
      <c r="BS24">
        <f t="shared" si="58"/>
        <v>43.862328430450646</v>
      </c>
      <c r="BT24">
        <f t="shared" si="59"/>
        <v>12.359896888440433</v>
      </c>
      <c r="BU24">
        <f t="shared" si="60"/>
        <v>302.04795992782346</v>
      </c>
      <c r="BV24">
        <f t="shared" si="61"/>
        <v>156.29072508764543</v>
      </c>
      <c r="BW24">
        <f t="shared" si="62"/>
        <v>48.111043438794063</v>
      </c>
      <c r="BX24">
        <f t="shared" si="63"/>
        <v>0</v>
      </c>
      <c r="BY24">
        <f t="shared" si="64"/>
        <v>32.795120399626001</v>
      </c>
      <c r="BZ24">
        <f t="shared" si="65"/>
        <v>6.0449968649074023E-2</v>
      </c>
      <c r="CA24">
        <f t="shared" si="90"/>
        <v>1.565713261755914E-2</v>
      </c>
      <c r="CB24">
        <f t="shared" si="91"/>
        <v>0.84275040155969938</v>
      </c>
      <c r="CC24">
        <f t="shared" si="66"/>
        <v>0.68772650907755584</v>
      </c>
      <c r="CD24">
        <f t="shared" si="67"/>
        <v>0.59296873723022225</v>
      </c>
      <c r="CE24">
        <f t="shared" si="68"/>
        <v>6.5326287091645172</v>
      </c>
      <c r="CF24">
        <f t="shared" si="69"/>
        <v>-2.3942698683284469E-2</v>
      </c>
      <c r="CG24">
        <f t="shared" si="70"/>
        <v>6.8653975626383819</v>
      </c>
      <c r="CH24">
        <f t="shared" si="71"/>
        <v>2.7127450562056197</v>
      </c>
      <c r="CI24">
        <f t="shared" si="72"/>
        <v>6.4115877274830728</v>
      </c>
      <c r="CJ24">
        <f t="shared" si="73"/>
        <v>3.1196376217614503</v>
      </c>
      <c r="CK24">
        <f t="shared" si="74"/>
        <v>268.54628761063867</v>
      </c>
      <c r="CL24">
        <f t="shared" si="75"/>
        <v>63.576449921638044</v>
      </c>
      <c r="CM24">
        <f t="shared" si="76"/>
        <v>299.55214442341992</v>
      </c>
      <c r="CN24">
        <f t="shared" si="77"/>
        <v>156.89631617375318</v>
      </c>
      <c r="CO24">
        <f t="shared" si="78"/>
        <v>48.073521515247442</v>
      </c>
      <c r="CP24">
        <f t="shared" si="79"/>
        <v>12.835774208348635</v>
      </c>
      <c r="CQ24">
        <f t="shared" si="80"/>
        <v>304.38836433161453</v>
      </c>
      <c r="CR24">
        <f t="shared" si="81"/>
        <v>157.59106876056177</v>
      </c>
      <c r="CS24">
        <f t="shared" si="82"/>
        <v>48.176942946776563</v>
      </c>
      <c r="CT24">
        <f t="shared" si="83"/>
        <v>0</v>
      </c>
    </row>
    <row r="25" spans="1:101" x14ac:dyDescent="0.25">
      <c r="A25">
        <f>Align!A25</f>
        <v>630</v>
      </c>
      <c r="B25">
        <f>Align!B25</f>
        <v>12.482847784864649</v>
      </c>
      <c r="C25">
        <f>Align!C25</f>
        <v>0.199745720055653</v>
      </c>
      <c r="D25">
        <f>Align!D25</f>
        <v>0.50683364660407504</v>
      </c>
      <c r="E25">
        <f>Align!F25</f>
        <v>0.18476439555387808</v>
      </c>
      <c r="F25">
        <f>Align!G25</f>
        <v>0.37985075159874498</v>
      </c>
      <c r="G25">
        <f t="shared" si="0"/>
        <v>7.0489620483868389</v>
      </c>
      <c r="H25">
        <f t="shared" si="1"/>
        <v>2.7780318245128113</v>
      </c>
      <c r="I25">
        <f t="shared" si="2"/>
        <v>6.5705299787912459</v>
      </c>
      <c r="J25">
        <f t="shared" si="3"/>
        <v>3.1959920966074797</v>
      </c>
      <c r="K25">
        <f t="shared" si="4"/>
        <v>32.881916444853189</v>
      </c>
      <c r="L25">
        <f t="shared" si="5"/>
        <v>6.0290403186347825E-2</v>
      </c>
      <c r="M25">
        <f t="shared" si="84"/>
        <v>1.0394370228341575E-2</v>
      </c>
      <c r="N25">
        <f t="shared" si="85"/>
        <v>0.85314477178804093</v>
      </c>
      <c r="O25">
        <f t="shared" si="6"/>
        <v>0.68753048959309659</v>
      </c>
      <c r="P25">
        <f t="shared" si="7"/>
        <v>0.59279972611222964</v>
      </c>
      <c r="Q25">
        <f t="shared" si="8"/>
        <v>6.5382177891453122</v>
      </c>
      <c r="R25">
        <f t="shared" si="9"/>
        <v>-2.4241500321569798E-2</v>
      </c>
      <c r="S25">
        <f t="shared" si="10"/>
        <v>6.8840572844468193</v>
      </c>
      <c r="T25">
        <f t="shared" si="11"/>
        <v>2.7130420176313872</v>
      </c>
      <c r="U25">
        <f t="shared" si="12"/>
        <v>6.4168177460290687</v>
      </c>
      <c r="V25">
        <f t="shared" si="13"/>
        <v>3.1212244473241593</v>
      </c>
      <c r="W25">
        <f t="shared" si="14"/>
        <v>269.21471339469605</v>
      </c>
      <c r="X25">
        <f t="shared" si="15"/>
        <v>63.695592637664625</v>
      </c>
      <c r="Y25">
        <f t="shared" si="16"/>
        <v>309.84774090036365</v>
      </c>
      <c r="Z25">
        <f t="shared" si="17"/>
        <v>152.64782729177665</v>
      </c>
      <c r="AA25">
        <f t="shared" si="18"/>
        <v>48.125186175042813</v>
      </c>
      <c r="AB25">
        <f t="shared" si="19"/>
        <v>13.012653998994685</v>
      </c>
      <c r="AC25">
        <f t="shared" si="20"/>
        <v>305.2567528417747</v>
      </c>
      <c r="AD25">
        <f t="shared" si="21"/>
        <v>158.07393026429401</v>
      </c>
      <c r="AE25">
        <f t="shared" si="22"/>
        <v>48.20064736472731</v>
      </c>
      <c r="AF25">
        <f t="shared" si="23"/>
        <v>0</v>
      </c>
      <c r="AG25">
        <f t="shared" si="24"/>
        <v>34.404108875113685</v>
      </c>
      <c r="AH25">
        <f t="shared" si="25"/>
        <v>5.7622884731481042E-2</v>
      </c>
      <c r="AI25">
        <f t="shared" si="86"/>
        <v>9.9604145242798287E-3</v>
      </c>
      <c r="AJ25">
        <f t="shared" si="87"/>
        <v>0.81132064940240789</v>
      </c>
      <c r="AK25">
        <f t="shared" si="26"/>
        <v>0.68831989929217641</v>
      </c>
      <c r="AL25">
        <f t="shared" si="27"/>
        <v>0.59348036771356683</v>
      </c>
      <c r="AM25">
        <f t="shared" si="28"/>
        <v>6.5157482275812564</v>
      </c>
      <c r="AN25">
        <f t="shared" si="29"/>
        <v>-2.3039721859361872E-2</v>
      </c>
      <c r="AO25">
        <f t="shared" si="30"/>
        <v>6.8919614307670498</v>
      </c>
      <c r="AP25">
        <f t="shared" si="31"/>
        <v>2.7161570819305672</v>
      </c>
      <c r="AQ25">
        <f t="shared" si="32"/>
        <v>6.4241854166162167</v>
      </c>
      <c r="AR25">
        <f t="shared" si="33"/>
        <v>3.1248081790844489</v>
      </c>
      <c r="AS25">
        <f t="shared" si="34"/>
        <v>268.90596058062329</v>
      </c>
      <c r="AT25">
        <f t="shared" si="35"/>
        <v>63.622542419781162</v>
      </c>
      <c r="AU25">
        <f t="shared" si="36"/>
        <v>309.49238750704149</v>
      </c>
      <c r="AV25">
        <f t="shared" si="37"/>
        <v>166.69475335222856</v>
      </c>
      <c r="AW25">
        <f t="shared" si="38"/>
        <v>48.069993104530596</v>
      </c>
      <c r="AX25">
        <f t="shared" si="39"/>
        <v>12.303806298453399</v>
      </c>
      <c r="AY25">
        <f t="shared" si="40"/>
        <v>301.77170595899759</v>
      </c>
      <c r="AZ25">
        <f t="shared" si="41"/>
        <v>156.13733506915241</v>
      </c>
      <c r="BA25">
        <f t="shared" si="42"/>
        <v>48.103070863025025</v>
      </c>
      <c r="BB25">
        <f t="shared" si="43"/>
        <v>0</v>
      </c>
      <c r="BC25">
        <f t="shared" si="44"/>
        <v>33.896711398360182</v>
      </c>
      <c r="BD25">
        <f t="shared" si="45"/>
        <v>5.8485437619647827E-2</v>
      </c>
      <c r="BE25">
        <f t="shared" si="88"/>
        <v>1.0100968586627925E-2</v>
      </c>
      <c r="BF25">
        <f t="shared" si="89"/>
        <v>0.82474759234298856</v>
      </c>
      <c r="BG25">
        <f t="shared" si="46"/>
        <v>0.68806627486803695</v>
      </c>
      <c r="BH25">
        <f t="shared" si="47"/>
        <v>0.59326168870013984</v>
      </c>
      <c r="BI25">
        <f t="shared" si="48"/>
        <v>6.5229560889426734</v>
      </c>
      <c r="BJ25">
        <f t="shared" si="49"/>
        <v>-2.3425382665155814E-2</v>
      </c>
      <c r="BK25">
        <f t="shared" si="50"/>
        <v>6.8894219578404829</v>
      </c>
      <c r="BL25">
        <f t="shared" si="51"/>
        <v>2.7151562627235601</v>
      </c>
      <c r="BM25">
        <f t="shared" si="52"/>
        <v>6.421818304567692</v>
      </c>
      <c r="BN25">
        <f t="shared" si="53"/>
        <v>3.1236567846880625</v>
      </c>
      <c r="BO25">
        <f t="shared" si="54"/>
        <v>269.00508056643145</v>
      </c>
      <c r="BP25">
        <f t="shared" si="55"/>
        <v>63.64599398436571</v>
      </c>
      <c r="BQ25">
        <f t="shared" si="56"/>
        <v>309.60646783828872</v>
      </c>
      <c r="BR25">
        <f t="shared" si="57"/>
        <v>162.01378623362862</v>
      </c>
      <c r="BS25">
        <f t="shared" si="58"/>
        <v>43.345300348437064</v>
      </c>
      <c r="BT25">
        <f t="shared" si="59"/>
        <v>12.530538855686462</v>
      </c>
      <c r="BU25">
        <f t="shared" si="60"/>
        <v>302.88788071841145</v>
      </c>
      <c r="BV25">
        <f t="shared" si="61"/>
        <v>156.75721883768298</v>
      </c>
      <c r="BW25">
        <f t="shared" si="62"/>
        <v>48.135031483558677</v>
      </c>
      <c r="BX25">
        <f t="shared" si="63"/>
        <v>0</v>
      </c>
      <c r="BY25">
        <f t="shared" si="64"/>
        <v>32.881916444853189</v>
      </c>
      <c r="BZ25">
        <f t="shared" si="65"/>
        <v>6.0290403186347825E-2</v>
      </c>
      <c r="CA25">
        <f t="shared" si="90"/>
        <v>1.0394370228341575E-2</v>
      </c>
      <c r="CB25">
        <f t="shared" si="91"/>
        <v>0.85314477178804093</v>
      </c>
      <c r="CC25">
        <f t="shared" si="66"/>
        <v>0.68753048959309659</v>
      </c>
      <c r="CD25">
        <f t="shared" si="67"/>
        <v>0.59279972611222964</v>
      </c>
      <c r="CE25">
        <f t="shared" si="68"/>
        <v>6.5382177891453122</v>
      </c>
      <c r="CF25">
        <f t="shared" si="69"/>
        <v>-2.4241500321569798E-2</v>
      </c>
      <c r="CG25">
        <f t="shared" si="70"/>
        <v>6.8840572844468193</v>
      </c>
      <c r="CH25">
        <f t="shared" si="71"/>
        <v>2.7130420176313872</v>
      </c>
      <c r="CI25">
        <f t="shared" si="72"/>
        <v>6.4168177460290687</v>
      </c>
      <c r="CJ25">
        <f t="shared" si="73"/>
        <v>3.1212244473241593</v>
      </c>
      <c r="CK25">
        <f t="shared" si="74"/>
        <v>269.21471339469605</v>
      </c>
      <c r="CL25">
        <f t="shared" si="75"/>
        <v>63.695592637664625</v>
      </c>
      <c r="CM25">
        <f t="shared" si="76"/>
        <v>300.35552631993971</v>
      </c>
      <c r="CN25">
        <f t="shared" si="77"/>
        <v>157.39393458198862</v>
      </c>
      <c r="CO25">
        <f t="shared" si="78"/>
        <v>48.125186175042813</v>
      </c>
      <c r="CP25">
        <f t="shared" si="79"/>
        <v>13.012653998994685</v>
      </c>
      <c r="CQ25">
        <f t="shared" si="80"/>
        <v>305.2567528417747</v>
      </c>
      <c r="CR25">
        <f t="shared" si="81"/>
        <v>158.07393026429401</v>
      </c>
      <c r="CS25">
        <f t="shared" si="82"/>
        <v>48.20064736472731</v>
      </c>
      <c r="CT25">
        <f t="shared" si="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30</vt:i4>
      </vt:variant>
    </vt:vector>
  </HeadingPairs>
  <TitlesOfParts>
    <vt:vector size="43" baseType="lpstr">
      <vt:lpstr>Summary</vt:lpstr>
      <vt:lpstr>Inputs</vt:lpstr>
      <vt:lpstr>Align</vt:lpstr>
      <vt:lpstr>FS_NoVs111</vt:lpstr>
      <vt:lpstr>FS_NoVp111</vt:lpstr>
      <vt:lpstr>FS_NoVs100</vt:lpstr>
      <vt:lpstr>FS_NoVp100</vt:lpstr>
      <vt:lpstr>Cook_NoVs111</vt:lpstr>
      <vt:lpstr>Cook_NoVp111</vt:lpstr>
      <vt:lpstr>Cook_NoVs100</vt:lpstr>
      <vt:lpstr>Cook_NoVp100</vt:lpstr>
      <vt:lpstr>Global_FS</vt:lpstr>
      <vt:lpstr>Global_Cook</vt:lpstr>
      <vt:lpstr>alpha_100</vt:lpstr>
      <vt:lpstr>alpha_111</vt:lpstr>
      <vt:lpstr>CutoffLowBar</vt:lpstr>
      <vt:lpstr>CutoffOilBar</vt:lpstr>
      <vt:lpstr>gamma_100</vt:lpstr>
      <vt:lpstr>gamma_111</vt:lpstr>
      <vt:lpstr>gC11_0</vt:lpstr>
      <vt:lpstr>gC11a</vt:lpstr>
      <vt:lpstr>gC11p</vt:lpstr>
      <vt:lpstr>gC12_0</vt:lpstr>
      <vt:lpstr>gC12a</vt:lpstr>
      <vt:lpstr>gC12p</vt:lpstr>
      <vt:lpstr>gC44_0</vt:lpstr>
      <vt:lpstr>gC44a</vt:lpstr>
      <vt:lpstr>gC44p</vt:lpstr>
      <vt:lpstr>gK0</vt:lpstr>
      <vt:lpstr>gK0p</vt:lpstr>
      <vt:lpstr>Lfin_100</vt:lpstr>
      <vt:lpstr>Lfin_111</vt:lpstr>
      <vt:lpstr>Linit_100</vt:lpstr>
      <vt:lpstr>Linit_111</vt:lpstr>
      <vt:lpstr>NormalizeFlag</vt:lpstr>
      <vt:lpstr>rho_100</vt:lpstr>
      <vt:lpstr>rho_111</vt:lpstr>
      <vt:lpstr>SBR0_100</vt:lpstr>
      <vt:lpstr>SBR0_111</vt:lpstr>
      <vt:lpstr>scal_100</vt:lpstr>
      <vt:lpstr>scal_111</vt:lpstr>
      <vt:lpstr>T_100</vt:lpstr>
      <vt:lpstr>T_111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Gulick, Brian W.</dc:creator>
  <cp:lastModifiedBy>Gulick, Brian W.</cp:lastModifiedBy>
  <dcterms:created xsi:type="dcterms:W3CDTF">2026-07-29T21:44:51Z</dcterms:created>
  <dcterms:modified xsi:type="dcterms:W3CDTF">2026-07-29T22:55:02Z</dcterms:modified>
</cp:coreProperties>
</file>