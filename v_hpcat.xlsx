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
    </mc:Choice>
  </mc:AlternateContent>
  <xr:revisionPtr revIDLastSave="0" documentId="8_{DBA5E379-9954-4633-9E2E-184674F9EA80}" xr6:coauthVersionLast="47" xr6:coauthVersionMax="47" xr10:uidLastSave="{00000000-0000-0000-0000-000000000000}"/>
  <bookViews>
    <workbookView xWindow="-120" yWindow="-120" windowWidth="29040" windowHeight="15720" xr2:uid="{76F9D61D-FF86-42F5-BA62-54AF74FDBE95}"/>
  </bookViews>
  <sheets>
    <sheet name="July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1" l="1"/>
  <c r="K2" i="1"/>
  <c r="D3" i="1"/>
  <c r="K3" i="1"/>
  <c r="T3" i="1" s="1"/>
  <c r="O3" i="1"/>
  <c r="D4" i="1"/>
  <c r="K4" i="1"/>
  <c r="U4" i="1" s="1"/>
  <c r="W4" i="1" s="1"/>
  <c r="O4" i="1"/>
  <c r="V4" i="1" s="1"/>
  <c r="T4" i="1"/>
  <c r="D5" i="1"/>
  <c r="K5" i="1"/>
  <c r="O5" i="1"/>
  <c r="V5" i="1" s="1"/>
  <c r="T5" i="1"/>
  <c r="U5" i="1"/>
  <c r="D6" i="1"/>
  <c r="K6" i="1"/>
  <c r="T6" i="1" s="1"/>
  <c r="V6" i="1" s="1"/>
  <c r="O6" i="1"/>
  <c r="W6" i="1" s="1"/>
  <c r="U6" i="1"/>
  <c r="D7" i="1"/>
  <c r="K7" i="1"/>
  <c r="U7" i="1" s="1"/>
  <c r="O7" i="1"/>
  <c r="T7" i="1"/>
  <c r="D8" i="1"/>
  <c r="K8" i="1"/>
  <c r="U8" i="1" s="1"/>
  <c r="O8" i="1"/>
  <c r="T8" i="1"/>
  <c r="D9" i="1"/>
  <c r="K9" i="1"/>
  <c r="O9" i="1"/>
  <c r="V9" i="1" s="1"/>
  <c r="T9" i="1"/>
  <c r="U9" i="1"/>
  <c r="W9" i="1" s="1"/>
  <c r="D10" i="1"/>
  <c r="K10" i="1"/>
  <c r="D11" i="1"/>
  <c r="K11" i="1"/>
  <c r="D12" i="1"/>
  <c r="K12" i="1"/>
  <c r="D13" i="1"/>
  <c r="K13" i="1"/>
  <c r="D14" i="1"/>
  <c r="K14" i="1"/>
  <c r="D15" i="1"/>
  <c r="K15" i="1"/>
  <c r="D16" i="1"/>
  <c r="K16" i="1"/>
  <c r="K17" i="1"/>
  <c r="K18" i="1"/>
  <c r="D19" i="1"/>
  <c r="K19" i="1"/>
  <c r="D20" i="1"/>
  <c r="K20" i="1"/>
  <c r="D21" i="1"/>
  <c r="K21" i="1"/>
  <c r="AA21" i="1"/>
  <c r="AA20" i="1" s="1"/>
  <c r="D22" i="1"/>
  <c r="K22" i="1"/>
  <c r="D23" i="1"/>
  <c r="K23" i="1"/>
  <c r="D24" i="1"/>
  <c r="K24" i="1"/>
  <c r="D25" i="1"/>
  <c r="K25" i="1"/>
  <c r="K26" i="1"/>
  <c r="AA26" i="1"/>
  <c r="D27" i="1"/>
  <c r="K27" i="1"/>
  <c r="AA27" i="1"/>
  <c r="K28" i="1"/>
  <c r="AA28" i="1"/>
  <c r="AA31" i="1" s="1"/>
  <c r="AA30" i="1" s="1"/>
  <c r="K29" i="1"/>
  <c r="AA29" i="1"/>
  <c r="K30" i="1"/>
  <c r="D31" i="1"/>
  <c r="K31" i="1"/>
  <c r="K32" i="1"/>
  <c r="AA32" i="1"/>
  <c r="K33" i="1"/>
  <c r="D34" i="1"/>
  <c r="K34" i="1"/>
  <c r="D35" i="1"/>
  <c r="K35" i="1"/>
  <c r="D36" i="1"/>
  <c r="K36" i="1"/>
  <c r="D37" i="1"/>
  <c r="K37" i="1"/>
  <c r="D38" i="1"/>
  <c r="K38" i="1"/>
  <c r="AA38" i="1"/>
  <c r="D17" i="1" s="1"/>
  <c r="AA44" i="1"/>
  <c r="D26" i="1" s="1"/>
  <c r="AA47" i="1"/>
  <c r="D30" i="1" s="1"/>
  <c r="AA50" i="1"/>
  <c r="AB55" i="1"/>
  <c r="AB56" i="1"/>
  <c r="AB57" i="1"/>
  <c r="V7" i="1" l="1"/>
  <c r="W7" i="1"/>
  <c r="V3" i="1"/>
  <c r="V8" i="1"/>
  <c r="D33" i="1"/>
  <c r="D29" i="1"/>
  <c r="W5" i="1"/>
  <c r="W3" i="1"/>
  <c r="D32" i="1"/>
  <c r="D28" i="1"/>
  <c r="D18" i="1"/>
  <c r="W8" i="1"/>
  <c r="U3" i="1"/>
</calcChain>
</file>

<file path=xl/sharedStrings.xml><?xml version="1.0" encoding="utf-8"?>
<sst xmlns="http://schemas.openxmlformats.org/spreadsheetml/2006/main" count="72" uniqueCount="65">
  <si>
    <t>I also want to change the layout to be similar to the actual one (image attached). Basically there are three sections vertical upper 3/4 section which is itself divided in half with the left side have the pressure calculated, a PV for the setpoint pressure being read right below, then another separate PV for inputting the setpoint below that with the tweak arrows on the left and right of setpoint. Then beneath taht is the flow rate in ml/min and finally below that is Mode for Compress or Decompress, which are buttons and when you are on that mode that box has a red box around its border and below it it also reads decompress or compress too. Then on the right half of the uper 3/4 section is the pumps A and B at the top row then below that, their respective volume of oil with a status bar below each volume showing how % full it is and it inc from left to right as more oil is in the pumps to max volume, then below that is a stop button for when it is refilling that only pops up when refilling the pumps and a start button. Below that is a PV read of the setpoint for max flow for each A and B pump and below that is the manually entered in PV for maxflow rate with the buttons you made below that for each pump (0.0001, 1, 5, 10, 22 you did great!) and then in the lower 1/4 section it is the PE Press Line Valve with a box that says open or closed with buttons for open and close to the right of that. Below the words PE Press line Valve then is a PV read of the actual pressure in the line valve and then under Open and Close on the right side is a pump valve control button, which I will add more detail later</t>
  </si>
  <si>
    <t>K</t>
  </si>
  <si>
    <t>vanadium melts at 1910 C at 0 Gpa</t>
  </si>
  <si>
    <t>b3kc</t>
  </si>
  <si>
    <t>n3kc</t>
  </si>
  <si>
    <t>m3kc</t>
  </si>
  <si>
    <t>b3kh</t>
  </si>
  <si>
    <t>n3kh</t>
  </si>
  <si>
    <t>m3kh</t>
  </si>
  <si>
    <t>b5kc</t>
  </si>
  <si>
    <t>n5kc</t>
  </si>
  <si>
    <t>m5kc</t>
  </si>
  <si>
    <t>b5kh</t>
  </si>
  <si>
    <t>n5kh</t>
  </si>
  <si>
    <t>m5kh</t>
  </si>
  <si>
    <t>b7kc</t>
  </si>
  <si>
    <t>n7kc</t>
  </si>
  <si>
    <t>c= cooling</t>
  </si>
  <si>
    <t>m7kc</t>
  </si>
  <si>
    <t>h= heating</t>
  </si>
  <si>
    <t>b7kh</t>
  </si>
  <si>
    <t>7k= 7000</t>
  </si>
  <si>
    <t>n7kh</t>
  </si>
  <si>
    <t>form of mx^2 + nx + b</t>
  </si>
  <si>
    <t>m7kh</t>
  </si>
  <si>
    <t>Calibrations from dummy Ta cell</t>
  </si>
  <si>
    <t>Z#</t>
  </si>
  <si>
    <t>avocado</t>
  </si>
  <si>
    <t>VS</t>
  </si>
  <si>
    <t>VP</t>
  </si>
  <si>
    <t>GH</t>
  </si>
  <si>
    <t>GV</t>
  </si>
  <si>
    <t>GR</t>
  </si>
  <si>
    <t>C12</t>
  </si>
  <si>
    <t>C44</t>
  </si>
  <si>
    <t>C11</t>
  </si>
  <si>
    <t>below is paper Cij</t>
  </si>
  <si>
    <t>Vs</t>
  </si>
  <si>
    <t>Vp</t>
  </si>
  <si>
    <t>rho</t>
  </si>
  <si>
    <t>G</t>
  </si>
  <si>
    <t>From wikipedia</t>
  </si>
  <si>
    <t>bottom began to curve from heat</t>
  </si>
  <si>
    <t>854 measured</t>
  </si>
  <si>
    <t>rho should</t>
  </si>
  <si>
    <t>G should</t>
  </si>
  <si>
    <t>VP should</t>
  </si>
  <si>
    <t>std</t>
  </si>
  <si>
    <t>2TS (ns)</t>
  </si>
  <si>
    <t>2TP (ns)</t>
  </si>
  <si>
    <t>Density (XRD)</t>
  </si>
  <si>
    <t>Edge 2 (pixels)</t>
  </si>
  <si>
    <t>Edge 1 (pixels)</t>
  </si>
  <si>
    <t>Notes</t>
  </si>
  <si>
    <t>Distance length</t>
  </si>
  <si>
    <t>st.dev (pixels)</t>
  </si>
  <si>
    <t>Distance (pixels)</t>
  </si>
  <si>
    <t>V/V0 vanadium</t>
  </si>
  <si>
    <t>PressureV low</t>
  </si>
  <si>
    <t>V/V0 3p0294</t>
  </si>
  <si>
    <t>PressureV edge</t>
  </si>
  <si>
    <t>Temp calib</t>
  </si>
  <si>
    <t>W</t>
  </si>
  <si>
    <t>Pressure (PSI)</t>
  </si>
  <si>
    <t>Pressure MgO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</si>
</sst>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Aptos Narrow"/>
      <family val="2"/>
      <scheme val="minor"/>
    </font>
    <font>
      <sz val="11"/>
      <color rgb="FFFF0000"/>
      <name val="Aptos Narrow"/>
      <family val="2"/>
      <scheme val="minor"/>
    </font>
    <font>
      <sz val="10"/>
      <color theme="1"/>
      <name val="Segoe UI"/>
      <family val="2"/>
    </font>
    <font>
      <sz val="11"/>
      <color theme="7"/>
      <name val="Aptos Narrow"/>
      <family val="2"/>
      <scheme val="minor"/>
    </font>
    <font>
      <sz val="10"/>
      <color theme="1"/>
      <name val="Arial"/>
      <family val="2"/>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164" fontId="0" fillId="0" borderId="0" xfId="0" applyNumberFormat="1"/>
    <xf numFmtId="0" fontId="3" fillId="0" borderId="0" xfId="0" applyFont="1"/>
    <xf numFmtId="0" fontId="4" fillId="0" borderId="0" xfId="0" applyFont="1" applyAlignment="1">
      <alignment horizontal="left" vertical="top"/>
    </xf>
    <xf numFmtId="0" fontId="1" fillId="0" borderId="0" xfId="0" applyFont="1"/>
    <xf numFmtId="0" fontId="4" fillId="0" borderId="0" xfId="0" applyFont="1" applyAlignment="1">
      <alignment wrapText="1"/>
    </xf>
    <xf numFmtId="0" fontId="4" fillId="0" borderId="0" xfId="0" applyFont="1" applyAlignment="1">
      <alignment horizontal="right" wrapText="1"/>
    </xf>
    <xf numFmtId="0" fontId="4" fillId="0" borderId="0" xfId="0" applyFont="1" applyAlignment="1">
      <alignment horizontal="left"/>
    </xf>
    <xf numFmtId="0" fontId="0" fillId="0" borderId="0" xfId="0" quotePrefix="1"/>
    <xf numFmtId="0" fontId="5" fillId="0" borderId="0" xfId="0" applyFon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'July (2)'!$I$1</c:f>
              <c:strCache>
                <c:ptCount val="1"/>
                <c:pt idx="0">
                  <c:v>Distance (pixels)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0"/>
            <c:dispEq val="0"/>
          </c:trendline>
          <c:xVal>
            <c:numRef>
              <c:f>'July (2)'!$B$2:$B$9</c:f>
              <c:numCache>
                <c:formatCode>General</c:formatCode>
                <c:ptCount val="8"/>
                <c:pt idx="0">
                  <c:v>0</c:v>
                </c:pt>
                <c:pt idx="1">
                  <c:v>1000</c:v>
                </c:pt>
                <c:pt idx="2">
                  <c:v>2000</c:v>
                </c:pt>
                <c:pt idx="3">
                  <c:v>3000</c:v>
                </c:pt>
                <c:pt idx="4">
                  <c:v>4000</c:v>
                </c:pt>
                <c:pt idx="5">
                  <c:v>5000</c:v>
                </c:pt>
                <c:pt idx="6">
                  <c:v>6000</c:v>
                </c:pt>
                <c:pt idx="7">
                  <c:v>7000</c:v>
                </c:pt>
              </c:numCache>
            </c:numRef>
          </c:xVal>
          <c:yVal>
            <c:numRef>
              <c:f>'July (2)'!$I$2:$I$9</c:f>
              <c:numCache>
                <c:formatCode>0.0</c:formatCode>
                <c:ptCount val="8"/>
                <c:pt idx="0" formatCode="0.000">
                  <c:v>834.1</c:v>
                </c:pt>
                <c:pt idx="1">
                  <c:v>661.7</c:v>
                </c:pt>
                <c:pt idx="2">
                  <c:v>594.29999999999995</c:v>
                </c:pt>
                <c:pt idx="3">
                  <c:v>559.9</c:v>
                </c:pt>
                <c:pt idx="4">
                  <c:v>539.70000000000005</c:v>
                </c:pt>
                <c:pt idx="5">
                  <c:v>526.20000000000005</c:v>
                </c:pt>
                <c:pt idx="6">
                  <c:v>514</c:v>
                </c:pt>
                <c:pt idx="7">
                  <c:v>508.3</c:v>
                </c:pt>
              </c:numCache>
            </c:numRef>
          </c:yVal>
          <c:smooth val="0"/>
          <c:extLst>
            <c:ext xmlns:c16="http://schemas.microsoft.com/office/drawing/2014/chart" uri="{C3380CC4-5D6E-409C-BE32-E72D297353CC}">
              <c16:uniqueId val="{00000001-CE6C-4462-A540-383FDBBA5EAF}"/>
            </c:ext>
          </c:extLst>
        </c:ser>
        <c:dLbls>
          <c:showLegendKey val="0"/>
          <c:showVal val="0"/>
          <c:showCatName val="0"/>
          <c:showSerName val="0"/>
          <c:showPercent val="0"/>
          <c:showBubbleSize val="0"/>
        </c:dLbls>
        <c:axId val="909627824"/>
        <c:axId val="909620144"/>
      </c:scatterChart>
      <c:valAx>
        <c:axId val="90962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20144"/>
        <c:crosses val="autoZero"/>
        <c:crossBetween val="midCat"/>
      </c:valAx>
      <c:valAx>
        <c:axId val="909620144"/>
        <c:scaling>
          <c:orientation val="minMax"/>
          <c:min val="450"/>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278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'July (2)'!$U$1</c:f>
              <c:strCache>
                <c:ptCount val="1"/>
                <c:pt idx="0">
                  <c:v>VS</c:v>
                </c:pt>
              </c:strCache>
            </c:strRef>
          </c:tx>
          <c:spPr>
            <a:ln w="38100" cap="rnd">
              <a:noFill/>
              <a:round/>
            </a:ln>
            <a:effectLst/>
          </c:spPr>
          <c:marker>
            <c:symbol val="circle"/>
            <c:size val="5"/>
            <c:spPr>
              <a:solidFill>
                <a:schemeClr val="accent1"/>
              </a:solidFill>
              <a:ln w="9525">
                <a:solidFill>
                  <a:schemeClr val="accent1"/>
                </a:solidFill>
              </a:ln>
              <a:effectLst/>
            </c:spPr>
          </c:marker>
          <c:xVal>
            <c:numRef>
              <c:f>'July (2)'!$A$2:$A$9</c:f>
              <c:numCache>
                <c:formatCode>General</c:formatCode>
                <c:ptCount val="8"/>
                <c:pt idx="0">
                  <c:v>0.01</c:v>
                </c:pt>
                <c:pt idx="1">
                  <c:v>0.59</c:v>
                </c:pt>
                <c:pt idx="2">
                  <c:v>1.24</c:v>
                </c:pt>
                <c:pt idx="3">
                  <c:v>2.1</c:v>
                </c:pt>
                <c:pt idx="4">
                  <c:v>2.64</c:v>
                </c:pt>
                <c:pt idx="5">
                  <c:v>3.74</c:v>
                </c:pt>
                <c:pt idx="6">
                  <c:v>4.17</c:v>
                </c:pt>
                <c:pt idx="7">
                  <c:v>5.47</c:v>
                </c:pt>
              </c:numCache>
            </c:numRef>
          </c:xVal>
          <c:yVal>
            <c:numRef>
              <c:f>'July (2)'!$U$2:$U$9</c:f>
              <c:numCache>
                <c:formatCode>General</c:formatCode>
                <c:ptCount val="8"/>
                <c:pt idx="1">
                  <c:v>2.8367178030385851</c:v>
                </c:pt>
                <c:pt idx="2">
                  <c:v>2.7578602846540594</c:v>
                </c:pt>
                <c:pt idx="3">
                  <c:v>2.7152359117615736</c:v>
                </c:pt>
                <c:pt idx="4">
                  <c:v>2.8664346609045506</c:v>
                </c:pt>
                <c:pt idx="5">
                  <c:v>2.7723972500685465</c:v>
                </c:pt>
                <c:pt idx="6">
                  <c:v>2.7678627441635926</c:v>
                </c:pt>
                <c:pt idx="7">
                  <c:v>2.896324351859819</c:v>
                </c:pt>
              </c:numCache>
            </c:numRef>
          </c:yVal>
          <c:smooth val="0"/>
          <c:extLst>
            <c:ext xmlns:c16="http://schemas.microsoft.com/office/drawing/2014/chart" uri="{C3380CC4-5D6E-409C-BE32-E72D297353CC}">
              <c16:uniqueId val="{00000000-0024-4221-B691-93AED0C1FDBF}"/>
            </c:ext>
          </c:extLst>
        </c:ser>
        <c:dLbls>
          <c:showLegendKey val="0"/>
          <c:showVal val="0"/>
          <c:showCatName val="0"/>
          <c:showSerName val="0"/>
          <c:showPercent val="0"/>
          <c:showBubbleSize val="0"/>
        </c:dLbls>
        <c:axId val="1051635520"/>
        <c:axId val="909622544"/>
      </c:scatterChart>
      <c:valAx>
        <c:axId val="1051635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22544"/>
        <c:crosses val="autoZero"/>
        <c:crossBetween val="midCat"/>
      </c:valAx>
      <c:valAx>
        <c:axId val="90962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355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'July (2)'!$T$1</c:f>
              <c:strCache>
                <c:ptCount val="1"/>
                <c:pt idx="0">
                  <c:v>VP</c:v>
                </c:pt>
              </c:strCache>
            </c:strRef>
          </c:tx>
          <c:spPr>
            <a:ln w="25400" cap="rnd">
              <a:noFill/>
              <a:round/>
            </a:ln>
            <a:effectLst/>
          </c:spPr>
          <c:marker>
            <c:symbol val="circle"/>
            <c:size val="5"/>
            <c:spPr>
              <a:solidFill>
                <a:schemeClr val="accent1"/>
              </a:solidFill>
              <a:ln w="9525">
                <a:solidFill>
                  <a:schemeClr val="accent1"/>
                </a:solidFill>
              </a:ln>
              <a:effectLst/>
            </c:spPr>
          </c:marker>
          <c:xVal>
            <c:numRef>
              <c:f>'July (2)'!$A$2:$A$9</c:f>
              <c:numCache>
                <c:formatCode>General</c:formatCode>
                <c:ptCount val="8"/>
                <c:pt idx="0">
                  <c:v>0.01</c:v>
                </c:pt>
                <c:pt idx="1">
                  <c:v>0.59</c:v>
                </c:pt>
                <c:pt idx="2">
                  <c:v>1.24</c:v>
                </c:pt>
                <c:pt idx="3">
                  <c:v>2.1</c:v>
                </c:pt>
                <c:pt idx="4">
                  <c:v>2.64</c:v>
                </c:pt>
                <c:pt idx="5">
                  <c:v>3.74</c:v>
                </c:pt>
                <c:pt idx="6">
                  <c:v>4.17</c:v>
                </c:pt>
                <c:pt idx="7">
                  <c:v>5.47</c:v>
                </c:pt>
              </c:numCache>
            </c:numRef>
          </c:xVal>
          <c:yVal>
            <c:numRef>
              <c:f>'July (2)'!$T$2:$T$9</c:f>
              <c:numCache>
                <c:formatCode>General</c:formatCode>
                <c:ptCount val="8"/>
                <c:pt idx="1">
                  <c:v>5.8799756305800681</c:v>
                </c:pt>
                <c:pt idx="2">
                  <c:v>6.1082262997633379</c:v>
                </c:pt>
                <c:pt idx="3">
                  <c:v>5.813699938737579</c:v>
                </c:pt>
                <c:pt idx="4">
                  <c:v>6.1108713839906494</c:v>
                </c:pt>
                <c:pt idx="5">
                  <c:v>6.1308663839306528</c:v>
                </c:pt>
                <c:pt idx="6">
                  <c:v>5.8310790842936937</c:v>
                </c:pt>
                <c:pt idx="7">
                  <c:v>6.0008086865926265</c:v>
                </c:pt>
              </c:numCache>
            </c:numRef>
          </c:yVal>
          <c:smooth val="0"/>
          <c:extLst>
            <c:ext xmlns:c16="http://schemas.microsoft.com/office/drawing/2014/chart" uri="{C3380CC4-5D6E-409C-BE32-E72D297353CC}">
              <c16:uniqueId val="{00000000-D676-4A68-ABE2-E48887753592}"/>
            </c:ext>
          </c:extLst>
        </c:ser>
        <c:dLbls>
          <c:showLegendKey val="0"/>
          <c:showVal val="0"/>
          <c:showCatName val="0"/>
          <c:showSerName val="0"/>
          <c:showPercent val="0"/>
          <c:showBubbleSize val="0"/>
        </c:dLbls>
        <c:axId val="1051635520"/>
        <c:axId val="909622544"/>
      </c:scatterChart>
      <c:valAx>
        <c:axId val="1051635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22544"/>
        <c:crosses val="autoZero"/>
        <c:crossBetween val="midCat"/>
      </c:valAx>
      <c:valAx>
        <c:axId val="90962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355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'July (2)'!$C$30:$C$38</c:f>
              <c:numCache>
                <c:formatCode>General</c:formatCode>
                <c:ptCount val="9"/>
                <c:pt idx="0">
                  <c:v>30</c:v>
                </c:pt>
                <c:pt idx="1">
                  <c:v>60</c:v>
                </c:pt>
                <c:pt idx="2">
                  <c:v>90</c:v>
                </c:pt>
                <c:pt idx="3">
                  <c:v>120</c:v>
                </c:pt>
                <c:pt idx="4">
                  <c:v>90</c:v>
                </c:pt>
                <c:pt idx="5">
                  <c:v>60</c:v>
                </c:pt>
                <c:pt idx="6">
                  <c:v>30</c:v>
                </c:pt>
                <c:pt idx="7">
                  <c:v>0</c:v>
                </c:pt>
                <c:pt idx="8">
                  <c:v>0</c:v>
                </c:pt>
              </c:numCache>
            </c:numRef>
          </c:xVal>
          <c:yVal>
            <c:numRef>
              <c:f>'July (2)'!$I$30:$I$38</c:f>
              <c:numCache>
                <c:formatCode>0.0</c:formatCode>
                <c:ptCount val="9"/>
                <c:pt idx="0">
                  <c:v>469.7</c:v>
                </c:pt>
                <c:pt idx="1">
                  <c:v>470.9</c:v>
                </c:pt>
                <c:pt idx="2">
                  <c:v>471.1</c:v>
                </c:pt>
                <c:pt idx="3">
                  <c:v>472.4</c:v>
                </c:pt>
                <c:pt idx="4">
                  <c:v>471.5</c:v>
                </c:pt>
                <c:pt idx="5">
                  <c:v>471.3</c:v>
                </c:pt>
                <c:pt idx="6">
                  <c:v>470.5</c:v>
                </c:pt>
                <c:pt idx="7">
                  <c:v>470.1</c:v>
                </c:pt>
                <c:pt idx="8">
                  <c:v>468.6</c:v>
                </c:pt>
              </c:numCache>
            </c:numRef>
          </c:yVal>
          <c:smooth val="0"/>
          <c:extLst>
            <c:ext xmlns:c16="http://schemas.microsoft.com/office/drawing/2014/chart" uri="{C3380CC4-5D6E-409C-BE32-E72D297353CC}">
              <c16:uniqueId val="{00000000-322C-4D1C-8E81-17905E80FD77}"/>
            </c:ext>
          </c:extLst>
        </c:ser>
        <c:dLbls>
          <c:showLegendKey val="0"/>
          <c:showVal val="0"/>
          <c:showCatName val="0"/>
          <c:showSerName val="0"/>
          <c:showPercent val="0"/>
          <c:showBubbleSize val="0"/>
        </c:dLbls>
        <c:axId val="1718020176"/>
        <c:axId val="1718020656"/>
      </c:scatterChart>
      <c:valAx>
        <c:axId val="171802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20656"/>
        <c:crosses val="autoZero"/>
        <c:crossBetween val="midCat"/>
      </c:valAx>
      <c:valAx>
        <c:axId val="17180206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20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26</xdr:col>
      <xdr:colOff>247090</xdr:colOff>
      <xdr:row>1</xdr:row>
      <xdr:rowOff>142875</xdr:rowOff>
    </xdr:from>
    <xdr:ext cx="3405342" cy="1886200"/>
    <xdr:pic>
      <xdr:nvPicPr>
        <xdr:cNvPr id="2" name="Picture 1">
          <a:extLst>
            <a:ext uri="{FF2B5EF4-FFF2-40B4-BE49-F238E27FC236}">
              <a16:creationId xmlns:a16="http://schemas.microsoft.com/office/drawing/2014/main" id="{8556A984-F6DD-475D-BC95-FAE3DB931D88}"/>
            </a:ext>
          </a:extLst>
        </xdr:cNvPr>
        <xdr:cNvPicPr>
          <a:picLocks noChangeAspect="1"/>
        </xdr:cNvPicPr>
      </xdr:nvPicPr>
      <xdr:blipFill>
        <a:blip xmlns:r="http://schemas.openxmlformats.org/officeDocument/2006/relationships" r:embed="rId1"/>
        <a:stretch>
          <a:fillRect/>
        </a:stretch>
      </xdr:blipFill>
      <xdr:spPr>
        <a:xfrm>
          <a:off x="16096690" y="333375"/>
          <a:ext cx="3405342" cy="1886200"/>
        </a:xfrm>
        <a:prstGeom prst="rect">
          <a:avLst/>
        </a:prstGeom>
      </xdr:spPr>
    </xdr:pic>
    <xdr:clientData/>
  </xdr:oneCellAnchor>
  <xdr:twoCellAnchor>
    <xdr:from>
      <xdr:col>13</xdr:col>
      <xdr:colOff>451776</xdr:colOff>
      <xdr:row>12</xdr:row>
      <xdr:rowOff>8864</xdr:rowOff>
    </xdr:from>
    <xdr:to>
      <xdr:col>22</xdr:col>
      <xdr:colOff>534458</xdr:colOff>
      <xdr:row>33</xdr:row>
      <xdr:rowOff>88636</xdr:rowOff>
    </xdr:to>
    <xdr:graphicFrame macro="">
      <xdr:nvGraphicFramePr>
        <xdr:cNvPr id="3" name="Chart 2">
          <a:extLst>
            <a:ext uri="{FF2B5EF4-FFF2-40B4-BE49-F238E27FC236}">
              <a16:creationId xmlns:a16="http://schemas.microsoft.com/office/drawing/2014/main" id="{CA6322CA-7EBF-4391-AB8B-CD8AF2A02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89958</xdr:colOff>
      <xdr:row>26</xdr:row>
      <xdr:rowOff>125941</xdr:rowOff>
    </xdr:from>
    <xdr:to>
      <xdr:col>26</xdr:col>
      <xdr:colOff>978958</xdr:colOff>
      <xdr:row>41</xdr:row>
      <xdr:rowOff>11641</xdr:rowOff>
    </xdr:to>
    <xdr:graphicFrame macro="">
      <xdr:nvGraphicFramePr>
        <xdr:cNvPr id="4" name="Chart 3">
          <a:extLst>
            <a:ext uri="{FF2B5EF4-FFF2-40B4-BE49-F238E27FC236}">
              <a16:creationId xmlns:a16="http://schemas.microsoft.com/office/drawing/2014/main" id="{DC8E6056-02EC-47C4-9B9A-C92075D5F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455085</xdr:colOff>
      <xdr:row>11</xdr:row>
      <xdr:rowOff>74084</xdr:rowOff>
    </xdr:from>
    <xdr:to>
      <xdr:col>26</xdr:col>
      <xdr:colOff>730251</xdr:colOff>
      <xdr:row>25</xdr:row>
      <xdr:rowOff>150284</xdr:rowOff>
    </xdr:to>
    <xdr:graphicFrame macro="">
      <xdr:nvGraphicFramePr>
        <xdr:cNvPr id="5" name="Chart 4">
          <a:extLst>
            <a:ext uri="{FF2B5EF4-FFF2-40B4-BE49-F238E27FC236}">
              <a16:creationId xmlns:a16="http://schemas.microsoft.com/office/drawing/2014/main" id="{6E394E43-1C8D-466F-B745-128FCBAD3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428624</xdr:colOff>
      <xdr:row>8</xdr:row>
      <xdr:rowOff>125941</xdr:rowOff>
    </xdr:from>
    <xdr:to>
      <xdr:col>24</xdr:col>
      <xdr:colOff>89957</xdr:colOff>
      <xdr:row>23</xdr:row>
      <xdr:rowOff>11641</xdr:rowOff>
    </xdr:to>
    <xdr:graphicFrame macro="">
      <xdr:nvGraphicFramePr>
        <xdr:cNvPr id="6" name="Chart 5">
          <a:extLst>
            <a:ext uri="{FF2B5EF4-FFF2-40B4-BE49-F238E27FC236}">
              <a16:creationId xmlns:a16="http://schemas.microsoft.com/office/drawing/2014/main" id="{53E11FC8-14C7-4238-8071-672C0EDB9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C6AD-8D82-47A4-B933-C5BEFBD948BB}">
  <dimension ref="A1:AI61"/>
  <sheetViews>
    <sheetView tabSelected="1" zoomScale="90" zoomScaleNormal="90" workbookViewId="0">
      <pane xSplit="1" topLeftCell="B1" activePane="topRight" state="frozen"/>
      <selection pane="topRight" activeCell="K1" sqref="K1"/>
    </sheetView>
  </sheetViews>
  <sheetFormatPr defaultRowHeight="15" x14ac:dyDescent="0.25"/>
  <cols>
    <col min="1" max="4" width="13.140625" customWidth="1"/>
    <col min="5" max="5" width="16.7109375" bestFit="1" customWidth="1"/>
    <col min="6" max="6" width="13.85546875" bestFit="1" customWidth="1"/>
    <col min="7" max="7" width="16.7109375" bestFit="1" customWidth="1"/>
    <col min="8" max="9" width="13.28515625" customWidth="1"/>
    <col min="10" max="10" width="14.5703125" bestFit="1" customWidth="1"/>
    <col min="11" max="11" width="9.140625" bestFit="1" customWidth="1"/>
    <col min="12" max="12" width="13.42578125" bestFit="1" customWidth="1"/>
    <col min="15" max="15" width="12.5703125" bestFit="1" customWidth="1"/>
    <col min="27" max="27" width="19.42578125" customWidth="1"/>
  </cols>
  <sheetData>
    <row r="1" spans="1:26" x14ac:dyDescent="0.25">
      <c r="A1" t="s">
        <v>64</v>
      </c>
      <c r="B1" t="s">
        <v>63</v>
      </c>
      <c r="C1" t="s">
        <v>62</v>
      </c>
      <c r="D1" t="s">
        <v>61</v>
      </c>
      <c r="E1" t="s">
        <v>60</v>
      </c>
      <c r="F1" t="s">
        <v>59</v>
      </c>
      <c r="G1" t="s">
        <v>58</v>
      </c>
      <c r="H1" t="s">
        <v>57</v>
      </c>
      <c r="I1" t="s">
        <v>56</v>
      </c>
      <c r="J1" t="s">
        <v>55</v>
      </c>
      <c r="K1" t="s">
        <v>54</v>
      </c>
      <c r="L1" t="s">
        <v>53</v>
      </c>
      <c r="M1" t="s">
        <v>52</v>
      </c>
      <c r="N1" t="s">
        <v>51</v>
      </c>
      <c r="O1" t="s">
        <v>50</v>
      </c>
      <c r="P1" t="s">
        <v>49</v>
      </c>
      <c r="Q1" t="s">
        <v>47</v>
      </c>
      <c r="R1" t="s">
        <v>48</v>
      </c>
      <c r="S1" t="s">
        <v>47</v>
      </c>
      <c r="T1" t="s">
        <v>29</v>
      </c>
      <c r="U1" t="s">
        <v>28</v>
      </c>
      <c r="V1" t="s">
        <v>1</v>
      </c>
      <c r="W1" t="s">
        <v>40</v>
      </c>
      <c r="X1" t="s">
        <v>46</v>
      </c>
      <c r="Y1" t="s">
        <v>45</v>
      </c>
      <c r="Z1" t="s">
        <v>44</v>
      </c>
    </row>
    <row r="2" spans="1:26" x14ac:dyDescent="0.25">
      <c r="A2" s="5">
        <v>0.01</v>
      </c>
      <c r="B2">
        <v>0</v>
      </c>
      <c r="D2">
        <f>22</f>
        <v>22</v>
      </c>
      <c r="E2" s="10">
        <v>0.01</v>
      </c>
      <c r="F2">
        <v>1</v>
      </c>
      <c r="G2">
        <v>-0.35</v>
      </c>
      <c r="H2">
        <v>1.0023</v>
      </c>
      <c r="I2" s="11">
        <v>834.1</v>
      </c>
      <c r="J2">
        <v>2.2999999999999998</v>
      </c>
      <c r="K2">
        <f>I2/0.998</f>
        <v>835.77154308617241</v>
      </c>
      <c r="L2" t="s">
        <v>43</v>
      </c>
    </row>
    <row r="3" spans="1:26" x14ac:dyDescent="0.25">
      <c r="A3">
        <v>0.59</v>
      </c>
      <c r="B3">
        <v>1000</v>
      </c>
      <c r="D3">
        <f>22</f>
        <v>22</v>
      </c>
      <c r="E3">
        <v>0.48</v>
      </c>
      <c r="F3">
        <v>0.99680000000000002</v>
      </c>
      <c r="G3">
        <v>0.39</v>
      </c>
      <c r="H3">
        <v>0.99739999999999995</v>
      </c>
      <c r="I3" s="2">
        <v>661.7</v>
      </c>
      <c r="J3">
        <v>1.3</v>
      </c>
      <c r="K3">
        <f>I3/0.998</f>
        <v>663.02605210420847</v>
      </c>
      <c r="O3">
        <f>$AA$19/F3</f>
        <v>6.118579454253612</v>
      </c>
      <c r="P3">
        <v>225.52</v>
      </c>
      <c r="Q3">
        <v>0.27</v>
      </c>
      <c r="R3">
        <v>467.46</v>
      </c>
      <c r="S3">
        <v>0.56999999999999995</v>
      </c>
      <c r="T3">
        <f>2*K3/P3</f>
        <v>5.8799756305800681</v>
      </c>
      <c r="U3">
        <f>2*K3/R3</f>
        <v>2.8367178030385851</v>
      </c>
      <c r="V3">
        <f>O3*(T3^2-1.333334*U3^2)</f>
        <v>145.89641060583889</v>
      </c>
      <c r="W3">
        <f>O3*U3^2</f>
        <v>49.236012425732213</v>
      </c>
      <c r="X3">
        <v>5.96</v>
      </c>
      <c r="Y3">
        <v>46.9</v>
      </c>
      <c r="Z3">
        <v>6.09</v>
      </c>
    </row>
    <row r="4" spans="1:26" x14ac:dyDescent="0.25">
      <c r="A4">
        <v>1.24</v>
      </c>
      <c r="B4">
        <v>2000</v>
      </c>
      <c r="D4">
        <f>22</f>
        <v>22</v>
      </c>
      <c r="E4">
        <v>1.64</v>
      </c>
      <c r="F4">
        <v>0.98929999999999996</v>
      </c>
      <c r="G4">
        <v>1.49</v>
      </c>
      <c r="H4">
        <v>0.99029999999999996</v>
      </c>
      <c r="I4" s="2">
        <v>594.29999999999995</v>
      </c>
      <c r="J4">
        <v>0.2</v>
      </c>
      <c r="K4">
        <f>I4/0.998</f>
        <v>595.49098196392777</v>
      </c>
      <c r="O4">
        <f>$AA$19/F4</f>
        <v>6.164965126857374</v>
      </c>
      <c r="P4">
        <v>194.98</v>
      </c>
      <c r="Q4">
        <v>0.11</v>
      </c>
      <c r="R4">
        <v>431.85</v>
      </c>
      <c r="S4">
        <v>0.52</v>
      </c>
      <c r="T4">
        <f>2*K4/P4</f>
        <v>6.1082262997633379</v>
      </c>
      <c r="U4">
        <f>2*K4/R4</f>
        <v>2.7578602846540594</v>
      </c>
      <c r="V4">
        <f>O4*(T4^2-1.333334*U4^2)</f>
        <v>167.49819180674842</v>
      </c>
      <c r="W4">
        <f>O4*U4^2</f>
        <v>46.889450762812658</v>
      </c>
      <c r="X4">
        <v>6.01</v>
      </c>
      <c r="Y4">
        <v>47.5</v>
      </c>
      <c r="Z4">
        <v>6.12</v>
      </c>
    </row>
    <row r="5" spans="1:26" x14ac:dyDescent="0.25">
      <c r="A5">
        <v>2.1</v>
      </c>
      <c r="B5">
        <v>3000</v>
      </c>
      <c r="D5">
        <f>22</f>
        <v>22</v>
      </c>
      <c r="E5">
        <v>2.54</v>
      </c>
      <c r="F5">
        <v>0.98380000000000001</v>
      </c>
      <c r="G5">
        <v>2.82</v>
      </c>
      <c r="H5">
        <v>0.98209999999999997</v>
      </c>
      <c r="I5" s="2">
        <v>559.9</v>
      </c>
      <c r="J5">
        <v>1.4</v>
      </c>
      <c r="K5">
        <f>I5/0.998</f>
        <v>561.02204408817636</v>
      </c>
      <c r="O5">
        <f>$AA$19/F5</f>
        <v>6.1994307786135394</v>
      </c>
      <c r="P5">
        <v>193</v>
      </c>
      <c r="Q5">
        <v>0.23</v>
      </c>
      <c r="R5">
        <v>413.24</v>
      </c>
      <c r="S5">
        <v>0.54</v>
      </c>
      <c r="T5">
        <f>2*K5/P5</f>
        <v>5.813699938737579</v>
      </c>
      <c r="U5">
        <f>2*K5/R5</f>
        <v>2.7152359117615736</v>
      </c>
      <c r="V5">
        <f>O5*(T5^2-1.333334*U5^2)</f>
        <v>148.59473900043318</v>
      </c>
      <c r="W5">
        <f>O5*U5^2</f>
        <v>45.705340962302984</v>
      </c>
      <c r="X5">
        <v>6.03</v>
      </c>
      <c r="Y5">
        <v>48.3</v>
      </c>
      <c r="Z5">
        <v>6.15</v>
      </c>
    </row>
    <row r="6" spans="1:26" x14ac:dyDescent="0.25">
      <c r="A6">
        <v>2.64</v>
      </c>
      <c r="B6">
        <v>4000</v>
      </c>
      <c r="D6">
        <f>22</f>
        <v>22</v>
      </c>
      <c r="E6">
        <v>4.04</v>
      </c>
      <c r="F6">
        <v>0.97470000000000001</v>
      </c>
      <c r="G6">
        <v>3.89</v>
      </c>
      <c r="H6">
        <v>0.97560000000000002</v>
      </c>
      <c r="I6" s="2">
        <v>539.70000000000005</v>
      </c>
      <c r="J6">
        <v>0.8</v>
      </c>
      <c r="K6">
        <f>I6/0.998</f>
        <v>540.78156312625254</v>
      </c>
      <c r="O6">
        <f>$AA$19/F6</f>
        <v>6.257309941520468</v>
      </c>
      <c r="P6">
        <v>176.99</v>
      </c>
      <c r="Q6">
        <v>0.17</v>
      </c>
      <c r="R6" s="10">
        <v>377.32</v>
      </c>
      <c r="S6" s="10">
        <v>0.63</v>
      </c>
      <c r="T6">
        <f>2*K6/P6</f>
        <v>6.1108713839906494</v>
      </c>
      <c r="U6">
        <f>2*K6/R6</f>
        <v>2.8664346609045506</v>
      </c>
      <c r="V6">
        <f>O6*(T6^2-1.333334*U6^2)</f>
        <v>165.1146411884514</v>
      </c>
      <c r="W6">
        <f>O6*U6^2</f>
        <v>51.412859659657514</v>
      </c>
      <c r="X6">
        <v>6.06</v>
      </c>
      <c r="Y6">
        <v>48.9</v>
      </c>
      <c r="Z6">
        <v>6.17</v>
      </c>
    </row>
    <row r="7" spans="1:26" x14ac:dyDescent="0.25">
      <c r="A7">
        <v>3.74</v>
      </c>
      <c r="B7">
        <v>5000</v>
      </c>
      <c r="D7">
        <f>22</f>
        <v>22</v>
      </c>
      <c r="E7">
        <v>5.38</v>
      </c>
      <c r="F7">
        <v>0.96689999999999998</v>
      </c>
      <c r="G7">
        <v>4.5999999999999996</v>
      </c>
      <c r="H7">
        <v>0.97150000000000003</v>
      </c>
      <c r="I7" s="2">
        <v>526.20000000000005</v>
      </c>
      <c r="J7">
        <v>0.6</v>
      </c>
      <c r="K7">
        <f>I7/0.998</f>
        <v>527.25450901803617</v>
      </c>
      <c r="O7">
        <f>$AA$19/F7</f>
        <v>6.3077877753645675</v>
      </c>
      <c r="P7">
        <v>172</v>
      </c>
      <c r="Q7">
        <v>0.03</v>
      </c>
      <c r="R7">
        <v>380.36</v>
      </c>
      <c r="S7">
        <v>0.64</v>
      </c>
      <c r="T7">
        <f>2*K7/P7</f>
        <v>6.1308663839306528</v>
      </c>
      <c r="U7">
        <f>2*K7/R7</f>
        <v>2.7723972500685465</v>
      </c>
      <c r="V7">
        <f>O7*(T7^2-1.333334*U7^2)</f>
        <v>172.45030559071748</v>
      </c>
      <c r="W7">
        <f>O7*U7^2</f>
        <v>48.482833320749215</v>
      </c>
      <c r="X7">
        <v>6.08</v>
      </c>
      <c r="Y7">
        <v>50</v>
      </c>
      <c r="Z7">
        <v>6.22</v>
      </c>
    </row>
    <row r="8" spans="1:26" x14ac:dyDescent="0.25">
      <c r="A8">
        <v>4.17</v>
      </c>
      <c r="B8">
        <v>6000</v>
      </c>
      <c r="D8">
        <f>22</f>
        <v>22</v>
      </c>
      <c r="E8">
        <v>5.99</v>
      </c>
      <c r="F8">
        <v>0.96350000000000002</v>
      </c>
      <c r="G8">
        <v>5.62</v>
      </c>
      <c r="H8">
        <v>0.96560000000000001</v>
      </c>
      <c r="I8" s="2">
        <v>514</v>
      </c>
      <c r="J8" s="2">
        <v>1</v>
      </c>
      <c r="K8">
        <f>I8/0.998</f>
        <v>515.03006012024048</v>
      </c>
      <c r="O8">
        <f>$AA$19/F8</f>
        <v>6.3300467047223661</v>
      </c>
      <c r="P8">
        <v>176.65</v>
      </c>
      <c r="R8">
        <v>372.15</v>
      </c>
      <c r="S8">
        <v>0.49</v>
      </c>
      <c r="T8">
        <f>2*K8/P8</f>
        <v>5.8310790842936937</v>
      </c>
      <c r="U8">
        <f>2*K8/R8</f>
        <v>2.7678627441635926</v>
      </c>
      <c r="V8">
        <f>O8*(T8^2-1.333334*U8^2)</f>
        <v>150.57108623200673</v>
      </c>
      <c r="W8">
        <f>O8*U8^2</f>
        <v>48.4948940073225</v>
      </c>
      <c r="X8">
        <v>6.09</v>
      </c>
      <c r="Y8">
        <v>50.2</v>
      </c>
      <c r="Z8">
        <v>6.24</v>
      </c>
    </row>
    <row r="9" spans="1:26" x14ac:dyDescent="0.25">
      <c r="A9">
        <v>5.47</v>
      </c>
      <c r="B9">
        <v>7000</v>
      </c>
      <c r="D9">
        <f>22</f>
        <v>22</v>
      </c>
      <c r="E9">
        <v>6.56</v>
      </c>
      <c r="F9">
        <v>0.96030000000000004</v>
      </c>
      <c r="G9">
        <v>6.19</v>
      </c>
      <c r="H9">
        <v>0.96240000000000003</v>
      </c>
      <c r="I9" s="2">
        <v>508.3</v>
      </c>
      <c r="J9">
        <v>1.2</v>
      </c>
      <c r="K9">
        <f>I9/0.998</f>
        <v>509.31863727454913</v>
      </c>
      <c r="O9">
        <f>$AA$19/F9</f>
        <v>6.3511402686660414</v>
      </c>
      <c r="P9">
        <v>169.75</v>
      </c>
      <c r="R9">
        <v>351.7</v>
      </c>
      <c r="S9">
        <v>0.4</v>
      </c>
      <c r="T9">
        <f>2*K9/P9</f>
        <v>6.0008086865926265</v>
      </c>
      <c r="U9">
        <f>2*K9/R9</f>
        <v>2.896324351859819</v>
      </c>
      <c r="V9">
        <f>O9*(T9^2-1.333334*U9^2)</f>
        <v>157.66561524308119</v>
      </c>
      <c r="W9">
        <f>O9*U9^2</f>
        <v>53.277777035742616</v>
      </c>
      <c r="X9">
        <v>6.13</v>
      </c>
      <c r="Y9">
        <v>50.7</v>
      </c>
      <c r="Z9">
        <v>6.28</v>
      </c>
    </row>
    <row r="10" spans="1:26" x14ac:dyDescent="0.25">
      <c r="B10">
        <v>7000</v>
      </c>
      <c r="C10" s="5">
        <v>30</v>
      </c>
      <c r="D10" s="2">
        <f>$AA$35^2*C10+$AA$36*C10+$AA$37</f>
        <v>116.28984164868834</v>
      </c>
      <c r="I10" s="2">
        <v>496.2</v>
      </c>
      <c r="J10">
        <v>1.5</v>
      </c>
      <c r="K10" s="2">
        <f>I10/0.998</f>
        <v>497.1943887775551</v>
      </c>
    </row>
    <row r="11" spans="1:26" x14ac:dyDescent="0.25">
      <c r="B11">
        <v>7000</v>
      </c>
      <c r="C11" s="5">
        <v>60</v>
      </c>
      <c r="D11" s="2">
        <f>$AA$35^2*C11+$AA$36*C11+$AA$37</f>
        <v>210.97951372737666</v>
      </c>
      <c r="I11" s="2">
        <v>488.5</v>
      </c>
      <c r="J11" s="2">
        <v>2.2000000000000002</v>
      </c>
      <c r="K11">
        <f>I11/0.998</f>
        <v>489.47895791583164</v>
      </c>
    </row>
    <row r="12" spans="1:26" x14ac:dyDescent="0.25">
      <c r="B12">
        <v>7000</v>
      </c>
      <c r="C12" s="5">
        <v>90</v>
      </c>
      <c r="D12" s="2">
        <f>$AA$35^2*C12+$AA$36*C12+$AA$37</f>
        <v>305.669185806065</v>
      </c>
      <c r="I12" s="2">
        <v>486.7</v>
      </c>
      <c r="J12" s="2">
        <v>1.8</v>
      </c>
      <c r="K12">
        <f>I12/0.998</f>
        <v>487.67535070140281</v>
      </c>
    </row>
    <row r="13" spans="1:26" x14ac:dyDescent="0.25">
      <c r="B13">
        <v>7000</v>
      </c>
      <c r="C13" s="5">
        <v>120</v>
      </c>
      <c r="D13" s="2">
        <f>$AA$35^2*C13+$AA$36*C13+$AA$37</f>
        <v>400.35885788475332</v>
      </c>
      <c r="I13" s="2">
        <v>482.1</v>
      </c>
      <c r="J13" s="2">
        <v>2.2000000000000002</v>
      </c>
      <c r="K13">
        <f>I13/0.998</f>
        <v>483.06613226452907</v>
      </c>
    </row>
    <row r="14" spans="1:26" x14ac:dyDescent="0.25">
      <c r="B14">
        <v>7000</v>
      </c>
      <c r="C14" s="5">
        <v>150</v>
      </c>
      <c r="D14" s="2">
        <f>$AA$35^2*C14+$AA$36*C14+$AA$37</f>
        <v>495.04852996344164</v>
      </c>
      <c r="E14" s="9"/>
      <c r="F14" s="9"/>
      <c r="G14" s="9"/>
      <c r="I14" s="2">
        <v>477.2</v>
      </c>
      <c r="J14" s="2">
        <v>0.8</v>
      </c>
      <c r="K14">
        <f>I14/0.998</f>
        <v>478.15631262525051</v>
      </c>
    </row>
    <row r="15" spans="1:26" x14ac:dyDescent="0.25">
      <c r="B15">
        <v>7000</v>
      </c>
      <c r="C15" s="5">
        <v>165</v>
      </c>
      <c r="D15" s="2">
        <f>$AA$35^2*C15+$AA$36*C15+$AA$37</f>
        <v>542.39336600278591</v>
      </c>
      <c r="I15" s="2">
        <v>472.8</v>
      </c>
      <c r="J15" s="2">
        <v>3.2</v>
      </c>
      <c r="K15">
        <f>I15/0.998</f>
        <v>473.74749498998</v>
      </c>
      <c r="L15" t="s">
        <v>42</v>
      </c>
    </row>
    <row r="16" spans="1:26" x14ac:dyDescent="0.25">
      <c r="B16">
        <v>7000</v>
      </c>
      <c r="C16" s="3">
        <v>150</v>
      </c>
      <c r="D16" s="2">
        <f>$AA$38^2*C16+$AA$39*C16+$AA$40</f>
        <v>503.53878047868295</v>
      </c>
      <c r="I16" s="2">
        <v>472.1</v>
      </c>
      <c r="J16" s="2">
        <v>3.1</v>
      </c>
      <c r="K16">
        <f>I16/0.998</f>
        <v>473.04609218436877</v>
      </c>
      <c r="Z16" t="s">
        <v>41</v>
      </c>
    </row>
    <row r="17" spans="2:35" x14ac:dyDescent="0.25">
      <c r="B17">
        <v>7000</v>
      </c>
      <c r="C17" s="3">
        <v>120</v>
      </c>
      <c r="D17" s="2">
        <f>$AA$38^2*C17+$AA$39*C17+$AA$40</f>
        <v>410.6245207429464</v>
      </c>
      <c r="I17" s="2">
        <v>470.8</v>
      </c>
      <c r="J17" s="2">
        <v>2.7</v>
      </c>
      <c r="K17">
        <f>I17/0.998</f>
        <v>471.74348697394788</v>
      </c>
      <c r="Z17" t="s">
        <v>1</v>
      </c>
      <c r="AA17">
        <v>151</v>
      </c>
    </row>
    <row r="18" spans="2:35" x14ac:dyDescent="0.25">
      <c r="B18">
        <v>7000</v>
      </c>
      <c r="C18" s="3">
        <v>90</v>
      </c>
      <c r="D18" s="2">
        <f>$AA$38^2*C18+$AA$39*C18+$AA$40</f>
        <v>317.71026100720974</v>
      </c>
      <c r="I18" s="2">
        <v>470.5</v>
      </c>
      <c r="J18" s="2">
        <v>2.8</v>
      </c>
      <c r="K18">
        <f>I18/0.998</f>
        <v>471.4428857715431</v>
      </c>
      <c r="Z18" t="s">
        <v>40</v>
      </c>
      <c r="AA18">
        <v>47</v>
      </c>
    </row>
    <row r="19" spans="2:35" x14ac:dyDescent="0.25">
      <c r="B19">
        <v>7000</v>
      </c>
      <c r="C19" s="3">
        <v>60</v>
      </c>
      <c r="D19" s="2">
        <f>$AA$38^2*C19+$AA$39*C19+$AA$40</f>
        <v>224.79600127147319</v>
      </c>
      <c r="I19" s="2">
        <v>470.5</v>
      </c>
      <c r="J19" s="2">
        <v>2.7</v>
      </c>
      <c r="K19">
        <f>I19/0.998</f>
        <v>471.4428857715431</v>
      </c>
      <c r="Z19" t="s">
        <v>39</v>
      </c>
      <c r="AA19">
        <v>6.0990000000000002</v>
      </c>
    </row>
    <row r="20" spans="2:35" x14ac:dyDescent="0.25">
      <c r="B20">
        <v>7000</v>
      </c>
      <c r="C20" s="3">
        <v>30</v>
      </c>
      <c r="D20" s="2">
        <f>$AA$38^2*C20+$AA$39*C20+$AA$40</f>
        <v>131.88174153573658</v>
      </c>
      <c r="I20" s="2">
        <v>470.5</v>
      </c>
      <c r="J20" s="2">
        <v>3</v>
      </c>
      <c r="K20">
        <f>I20/0.998</f>
        <v>471.4428857715431</v>
      </c>
      <c r="Z20" t="s">
        <v>38</v>
      </c>
      <c r="AA20">
        <f>SQRT(1.33334*AA21^2+AA17/AA19)</f>
        <v>5.9188780106039154</v>
      </c>
    </row>
    <row r="21" spans="2:35" x14ac:dyDescent="0.25">
      <c r="B21">
        <v>5000</v>
      </c>
      <c r="C21" s="5">
        <v>30</v>
      </c>
      <c r="D21" s="2">
        <f>$AA$41^2*C21+$AA$42*C21+$AA$43</f>
        <v>114.97262261671619</v>
      </c>
      <c r="I21" s="2">
        <v>471.5</v>
      </c>
      <c r="J21" s="2">
        <v>3.3</v>
      </c>
      <c r="K21">
        <f>I21/0.998</f>
        <v>472.44488977955911</v>
      </c>
      <c r="Z21" t="s">
        <v>37</v>
      </c>
      <c r="AA21">
        <f>SQRT(AA18/AA19)</f>
        <v>2.7760009620321595</v>
      </c>
    </row>
    <row r="22" spans="2:35" x14ac:dyDescent="0.25">
      <c r="B22">
        <v>5000</v>
      </c>
      <c r="C22" s="5">
        <v>60</v>
      </c>
      <c r="D22" s="2">
        <f>$AA$41^2*C22+$AA$42*C22+$AA$43</f>
        <v>204.20429103343238</v>
      </c>
      <c r="I22" s="2">
        <v>471.6</v>
      </c>
      <c r="J22" s="2">
        <v>3.3</v>
      </c>
      <c r="K22">
        <f>I22/0.998</f>
        <v>472.54509018036072</v>
      </c>
      <c r="Z22" s="8" t="s">
        <v>36</v>
      </c>
      <c r="AA22" s="7"/>
      <c r="AB22" s="6"/>
      <c r="AC22" s="6"/>
      <c r="AD22" s="6"/>
      <c r="AE22" s="6"/>
      <c r="AF22" s="6"/>
      <c r="AG22" s="6"/>
      <c r="AH22" s="6"/>
      <c r="AI22" s="6"/>
    </row>
    <row r="23" spans="2:35" x14ac:dyDescent="0.25">
      <c r="B23">
        <v>5000</v>
      </c>
      <c r="C23" s="5">
        <v>90</v>
      </c>
      <c r="D23" s="2">
        <f>$AA$41^2*C23+$AA$42*C23+$AA$43</f>
        <v>293.43595945014852</v>
      </c>
      <c r="I23" s="2">
        <v>470.9</v>
      </c>
      <c r="J23" s="2">
        <v>2.8</v>
      </c>
      <c r="K23">
        <f>I23/0.998</f>
        <v>471.84368737474949</v>
      </c>
      <c r="Z23" s="6" t="s">
        <v>35</v>
      </c>
      <c r="AA23" s="7">
        <v>239</v>
      </c>
      <c r="AB23" s="7"/>
      <c r="AC23" s="7"/>
      <c r="AD23" s="7"/>
      <c r="AE23" s="7"/>
      <c r="AF23" s="7"/>
      <c r="AG23" s="7"/>
      <c r="AH23" s="6"/>
      <c r="AI23" s="6"/>
    </row>
    <row r="24" spans="2:35" x14ac:dyDescent="0.25">
      <c r="B24">
        <v>5000</v>
      </c>
      <c r="C24" s="5">
        <v>120</v>
      </c>
      <c r="D24" s="2">
        <f>$AA$41^2*C24+$AA$42*C24+$AA$43</f>
        <v>382.66762786686473</v>
      </c>
      <c r="I24" s="2">
        <v>471.3</v>
      </c>
      <c r="J24" s="2">
        <v>2.5</v>
      </c>
      <c r="K24">
        <f>I24/0.998</f>
        <v>472.24448897795594</v>
      </c>
      <c r="Z24" s="6" t="s">
        <v>34</v>
      </c>
      <c r="AA24" s="7">
        <v>44</v>
      </c>
    </row>
    <row r="25" spans="2:35" x14ac:dyDescent="0.25">
      <c r="B25">
        <v>5000</v>
      </c>
      <c r="C25" s="5">
        <v>150</v>
      </c>
      <c r="D25" s="2">
        <f>$AA$41^2*C25+$AA$42*C25+$AA$43</f>
        <v>471.8992962835809</v>
      </c>
      <c r="I25" s="2">
        <v>471.3</v>
      </c>
      <c r="J25" s="2">
        <v>3.2</v>
      </c>
      <c r="K25">
        <f>I25/0.998</f>
        <v>472.24448897795594</v>
      </c>
      <c r="Z25" s="6" t="s">
        <v>33</v>
      </c>
      <c r="AA25" s="7">
        <v>121</v>
      </c>
    </row>
    <row r="26" spans="2:35" x14ac:dyDescent="0.25">
      <c r="B26">
        <v>5000</v>
      </c>
      <c r="C26" s="3">
        <v>120</v>
      </c>
      <c r="D26" s="2">
        <f>$AA$44^2*C26+$AA$45*C26+$AA$46</f>
        <v>415.2550945512977</v>
      </c>
      <c r="I26" s="2">
        <v>469.6</v>
      </c>
      <c r="J26" s="2">
        <v>2.6</v>
      </c>
      <c r="K26">
        <f>I26/0.998</f>
        <v>470.54108216432866</v>
      </c>
      <c r="Z26" s="6" t="s">
        <v>32</v>
      </c>
      <c r="AA26" s="7">
        <f>(5*(AA23-AA25)*AA24)/(4*AA24+3*(AA23-AA25))</f>
        <v>48.981132075471699</v>
      </c>
    </row>
    <row r="27" spans="2:35" x14ac:dyDescent="0.25">
      <c r="B27">
        <v>5000</v>
      </c>
      <c r="C27" s="3">
        <v>90</v>
      </c>
      <c r="D27" s="2">
        <f>$AA$44^2*C27+$AA$45*C27+$AA$46</f>
        <v>321.3127849684733</v>
      </c>
      <c r="I27" s="2">
        <v>469.6</v>
      </c>
      <c r="J27" s="2">
        <v>2.8</v>
      </c>
      <c r="K27">
        <f>I27/0.998</f>
        <v>470.54108216432866</v>
      </c>
      <c r="Z27" s="6" t="s">
        <v>31</v>
      </c>
      <c r="AA27" s="7">
        <f>(AA23-AA25+3*AA24)/5</f>
        <v>50</v>
      </c>
    </row>
    <row r="28" spans="2:35" x14ac:dyDescent="0.25">
      <c r="B28">
        <v>5000</v>
      </c>
      <c r="C28" s="3">
        <v>60</v>
      </c>
      <c r="D28" s="2">
        <f>$AA$44^2*C28+$AA$45*C28+$AA$46</f>
        <v>227.37047538564883</v>
      </c>
      <c r="I28" s="2">
        <v>469</v>
      </c>
      <c r="J28" s="2">
        <v>3.1</v>
      </c>
      <c r="K28">
        <f>I28/0.998</f>
        <v>469.93987975951904</v>
      </c>
      <c r="Z28" s="6" t="s">
        <v>30</v>
      </c>
      <c r="AA28" s="7">
        <f>AVERAGE(AA26,AA27)</f>
        <v>49.490566037735846</v>
      </c>
    </row>
    <row r="29" spans="2:35" x14ac:dyDescent="0.25">
      <c r="B29">
        <v>5000</v>
      </c>
      <c r="C29" s="3">
        <v>30</v>
      </c>
      <c r="D29" s="2">
        <f>$AA$44^2*C29+$AA$45*C29+$AA$46</f>
        <v>133.42816580282442</v>
      </c>
      <c r="I29" s="2">
        <v>468.7</v>
      </c>
      <c r="J29" s="2">
        <v>2.5</v>
      </c>
      <c r="K29">
        <f>I29/0.998</f>
        <v>469.63927855711421</v>
      </c>
      <c r="Z29" s="6" t="s">
        <v>1</v>
      </c>
      <c r="AA29" s="7">
        <f>(AA23+2*AA25)/3</f>
        <v>160.33333333333334</v>
      </c>
    </row>
    <row r="30" spans="2:35" x14ac:dyDescent="0.25">
      <c r="B30">
        <v>3000</v>
      </c>
      <c r="C30" s="5">
        <v>30</v>
      </c>
      <c r="D30" s="2">
        <f>$AA$47^2*C30+$AA$48*C30+$AA$49</f>
        <v>114.90595423569124</v>
      </c>
      <c r="I30" s="2">
        <v>469.7</v>
      </c>
      <c r="J30" s="2">
        <v>2.6</v>
      </c>
      <c r="K30">
        <f>I30/0.998</f>
        <v>470.64128256513027</v>
      </c>
      <c r="Z30" s="6" t="s">
        <v>29</v>
      </c>
      <c r="AA30">
        <f>SQRT(1.33334*AA31^2+AA29/AA19)</f>
        <v>6.0916254332297557</v>
      </c>
    </row>
    <row r="31" spans="2:35" x14ac:dyDescent="0.25">
      <c r="B31">
        <v>3000</v>
      </c>
      <c r="C31" s="5">
        <v>60</v>
      </c>
      <c r="D31" s="2">
        <f>$AA$47^2*C31+$AA$48*C31+$AA$49</f>
        <v>200.90612792138248</v>
      </c>
      <c r="I31" s="2">
        <v>470.9</v>
      </c>
      <c r="J31" s="2">
        <v>3.1</v>
      </c>
      <c r="K31">
        <f>I31/0.998</f>
        <v>471.84368737474949</v>
      </c>
      <c r="Z31" s="6" t="s">
        <v>28</v>
      </c>
      <c r="AA31">
        <f>SQRT(AA28/AA19)</f>
        <v>2.8486027801833043</v>
      </c>
    </row>
    <row r="32" spans="2:35" x14ac:dyDescent="0.25">
      <c r="B32">
        <v>3000</v>
      </c>
      <c r="C32" s="5">
        <v>90</v>
      </c>
      <c r="D32" s="2">
        <f>$AA$47^2*C32+$AA$48*C32+$AA$49</f>
        <v>286.90630160707371</v>
      </c>
      <c r="I32" s="2">
        <v>471.1</v>
      </c>
      <c r="J32" s="2">
        <v>2.5</v>
      </c>
      <c r="K32">
        <f>I32/0.998</f>
        <v>472.04408817635272</v>
      </c>
      <c r="Z32" t="s">
        <v>27</v>
      </c>
      <c r="AA32">
        <f>6.02214*10^23</f>
        <v>6.0221399999999997E+23</v>
      </c>
    </row>
    <row r="33" spans="2:28" x14ac:dyDescent="0.25">
      <c r="B33">
        <v>3000</v>
      </c>
      <c r="C33" s="5">
        <v>120</v>
      </c>
      <c r="D33" s="2">
        <f>$AA$47^2*C33+$AA$48*C33+$AA$49</f>
        <v>372.90647529276492</v>
      </c>
      <c r="I33" s="2">
        <v>472.4</v>
      </c>
      <c r="J33" s="2">
        <v>2.9</v>
      </c>
      <c r="K33">
        <f>I33/0.998</f>
        <v>473.34669338677355</v>
      </c>
      <c r="Z33" t="s">
        <v>26</v>
      </c>
      <c r="AA33">
        <v>2</v>
      </c>
    </row>
    <row r="34" spans="2:28" x14ac:dyDescent="0.25">
      <c r="B34">
        <v>3000</v>
      </c>
      <c r="C34" s="3">
        <v>90</v>
      </c>
      <c r="D34" s="2">
        <f>$AA$50^2*C34+$AA$51*C34+$AA$52</f>
        <v>321.18365485161507</v>
      </c>
      <c r="I34" s="2">
        <v>471.5</v>
      </c>
      <c r="J34" s="2">
        <v>3</v>
      </c>
      <c r="K34">
        <f>I34/0.998</f>
        <v>472.44488977955911</v>
      </c>
      <c r="Z34" s="4" t="s">
        <v>25</v>
      </c>
      <c r="AA34" s="4"/>
    </row>
    <row r="35" spans="2:28" x14ac:dyDescent="0.25">
      <c r="B35">
        <v>3000</v>
      </c>
      <c r="C35" s="3">
        <v>60</v>
      </c>
      <c r="D35" s="2">
        <f>$AA$50^2*C35+$AA$51*C35+$AA$52</f>
        <v>227.76564700774335</v>
      </c>
      <c r="I35" s="2">
        <v>471.3</v>
      </c>
      <c r="J35" s="2">
        <v>2.9</v>
      </c>
      <c r="K35">
        <f>I35/0.998</f>
        <v>472.24448897795594</v>
      </c>
      <c r="Z35" t="s">
        <v>24</v>
      </c>
      <c r="AA35">
        <v>1.8446199999999999E-3</v>
      </c>
      <c r="AB35" t="s">
        <v>23</v>
      </c>
    </row>
    <row r="36" spans="2:28" x14ac:dyDescent="0.25">
      <c r="B36">
        <v>3000</v>
      </c>
      <c r="C36" s="3">
        <v>30</v>
      </c>
      <c r="D36" s="2">
        <f>$AA$50^2*C36+$AA$51*C36+$AA$52</f>
        <v>134.34763916387169</v>
      </c>
      <c r="I36" s="2">
        <v>470.5</v>
      </c>
      <c r="J36" s="2">
        <v>2.4</v>
      </c>
      <c r="K36">
        <f>I36/0.998</f>
        <v>471.4428857715431</v>
      </c>
      <c r="Z36" t="s">
        <v>22</v>
      </c>
      <c r="AA36">
        <v>3.1563189999999999</v>
      </c>
      <c r="AB36" t="s">
        <v>21</v>
      </c>
    </row>
    <row r="37" spans="2:28" x14ac:dyDescent="0.25">
      <c r="B37">
        <v>3000</v>
      </c>
      <c r="C37" s="3">
        <v>0</v>
      </c>
      <c r="D37" s="2">
        <f>$AA$50^2*C37+$AA$51*C37+$AA$52</f>
        <v>40.929631319999999</v>
      </c>
      <c r="I37" s="2">
        <v>470.1</v>
      </c>
      <c r="J37" s="2">
        <v>2.5</v>
      </c>
      <c r="K37">
        <f>I37/0.998</f>
        <v>471.04208416833671</v>
      </c>
      <c r="Z37" t="s">
        <v>20</v>
      </c>
      <c r="AA37">
        <v>21.600169569999998</v>
      </c>
      <c r="AB37" t="s">
        <v>19</v>
      </c>
    </row>
    <row r="38" spans="2:28" x14ac:dyDescent="0.25">
      <c r="B38">
        <v>20</v>
      </c>
      <c r="C38" s="3">
        <v>0</v>
      </c>
      <c r="D38" s="2">
        <f>$AA$35^2*C38+$AA$36*C38+$AA$37</f>
        <v>21.600169569999998</v>
      </c>
      <c r="I38" s="2">
        <v>468.6</v>
      </c>
      <c r="J38" s="2">
        <v>4.8</v>
      </c>
      <c r="K38">
        <f>I38/0.998</f>
        <v>469.53907815631266</v>
      </c>
      <c r="Z38" t="s">
        <v>18</v>
      </c>
      <c r="AA38">
        <f xml:space="preserve"> 0.00145986</f>
        <v>1.4598600000000001E-3</v>
      </c>
      <c r="AB38" t="s">
        <v>17</v>
      </c>
    </row>
    <row r="39" spans="2:28" x14ac:dyDescent="0.25">
      <c r="D39" s="2"/>
      <c r="Z39" t="s">
        <v>16</v>
      </c>
      <c r="AA39">
        <v>3.09713986</v>
      </c>
    </row>
    <row r="40" spans="2:28" x14ac:dyDescent="0.25">
      <c r="Z40" t="s">
        <v>15</v>
      </c>
      <c r="AA40">
        <v>38.967481800000002</v>
      </c>
    </row>
    <row r="41" spans="2:28" x14ac:dyDescent="0.25">
      <c r="Z41" t="s">
        <v>14</v>
      </c>
      <c r="AA41">
        <v>2.4672299999999999E-3</v>
      </c>
    </row>
    <row r="42" spans="2:28" x14ac:dyDescent="0.25">
      <c r="Z42" t="s">
        <v>13</v>
      </c>
      <c r="AA42">
        <v>2.97438286</v>
      </c>
    </row>
    <row r="43" spans="2:28" x14ac:dyDescent="0.25">
      <c r="Z43" t="s">
        <v>12</v>
      </c>
      <c r="AA43">
        <v>25.740954200000001</v>
      </c>
    </row>
    <row r="44" spans="2:28" x14ac:dyDescent="0.25">
      <c r="Z44" t="s">
        <v>11</v>
      </c>
      <c r="AA44">
        <f xml:space="preserve"> 0.00105803</f>
        <v>1.05803E-3</v>
      </c>
    </row>
    <row r="45" spans="2:28" x14ac:dyDescent="0.25">
      <c r="Z45" t="s">
        <v>10</v>
      </c>
      <c r="AA45">
        <v>3.1314091999999998</v>
      </c>
    </row>
    <row r="46" spans="2:28" x14ac:dyDescent="0.25">
      <c r="Z46" t="s">
        <v>9</v>
      </c>
      <c r="AA46">
        <v>39.485856220000002</v>
      </c>
    </row>
    <row r="47" spans="2:28" x14ac:dyDescent="0.25">
      <c r="Z47" t="s">
        <v>8</v>
      </c>
      <c r="AA47">
        <f xml:space="preserve"> 0.00314741</f>
        <v>3.1474099999999998E-3</v>
      </c>
    </row>
    <row r="48" spans="2:28" x14ac:dyDescent="0.25">
      <c r="Z48" t="s">
        <v>7</v>
      </c>
      <c r="AA48">
        <v>2.86666255</v>
      </c>
    </row>
    <row r="49" spans="15:28" x14ac:dyDescent="0.25">
      <c r="Z49" t="s">
        <v>6</v>
      </c>
      <c r="AA49">
        <v>28.905780549999999</v>
      </c>
    </row>
    <row r="50" spans="15:28" x14ac:dyDescent="0.25">
      <c r="Z50" t="s">
        <v>5</v>
      </c>
      <c r="AA50">
        <f xml:space="preserve"> 0.00135085</f>
        <v>1.35085E-3</v>
      </c>
    </row>
    <row r="51" spans="15:28" x14ac:dyDescent="0.25">
      <c r="Z51" t="s">
        <v>4</v>
      </c>
      <c r="AA51">
        <v>3.1139317700000002</v>
      </c>
    </row>
    <row r="52" spans="15:28" x14ac:dyDescent="0.25">
      <c r="Z52" t="s">
        <v>3</v>
      </c>
      <c r="AA52">
        <v>40.929631319999999</v>
      </c>
    </row>
    <row r="54" spans="15:28" x14ac:dyDescent="0.25">
      <c r="Z54" t="s">
        <v>2</v>
      </c>
      <c r="AB54" t="s">
        <v>1</v>
      </c>
    </row>
    <row r="55" spans="15:28" x14ac:dyDescent="0.25">
      <c r="Z55">
        <v>1941</v>
      </c>
      <c r="AA55">
        <v>1</v>
      </c>
      <c r="AB55">
        <f>Z55+273.15</f>
        <v>2214.15</v>
      </c>
    </row>
    <row r="56" spans="15:28" x14ac:dyDescent="0.25">
      <c r="Z56">
        <v>2002</v>
      </c>
      <c r="AA56">
        <v>3</v>
      </c>
      <c r="AB56">
        <f>Z56+273.15</f>
        <v>2275.15</v>
      </c>
    </row>
    <row r="57" spans="15:28" x14ac:dyDescent="0.25">
      <c r="Z57">
        <v>2061</v>
      </c>
      <c r="AA57">
        <v>5</v>
      </c>
      <c r="AB57">
        <f>Z57+273.15</f>
        <v>2334.15</v>
      </c>
    </row>
    <row r="61" spans="15:28" x14ac:dyDescent="0.25">
      <c r="O61" s="1" t="s">
        <v>0</v>
      </c>
    </row>
  </sheetData>
  <mergeCells count="1">
    <mergeCell ref="Z34:AA34"/>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July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Gulick, Brian W.</dc:creator>
  <cp:lastModifiedBy>Gulick, Brian W.</cp:lastModifiedBy>
  <dcterms:created xsi:type="dcterms:W3CDTF">2026-07-29T21:59:01Z</dcterms:created>
  <dcterms:modified xsi:type="dcterms:W3CDTF">2026-07-29T21:59:19Z</dcterms:modified>
</cp:coreProperties>
</file>