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ulick\Downloads\vCIJ_tests\"/>
    </mc:Choice>
  </mc:AlternateContent>
  <xr:revisionPtr revIDLastSave="0" documentId="13_ncr:1_{22D8452F-EA75-4A79-AAD9-86F6F50DA857}" xr6:coauthVersionLast="47" xr6:coauthVersionMax="47" xr10:uidLastSave="{00000000-0000-0000-0000-000000000000}"/>
  <bookViews>
    <workbookView xWindow="28680" yWindow="-120" windowWidth="29040" windowHeight="15720" xr2:uid="{AF17594D-297A-453C-A603-553966F3F3E4}"/>
  </bookViews>
  <sheets>
    <sheet name="Summary" sheetId="24" r:id="rId1"/>
    <sheet name="Inputs" sheetId="1" r:id="rId2"/>
    <sheet name="Align" sheetId="2" r:id="rId3"/>
    <sheet name="FS_NoVs111" sheetId="14" r:id="rId4"/>
    <sheet name="FS_NoVp111" sheetId="15" r:id="rId5"/>
    <sheet name="FS_NoVs100" sheetId="16" r:id="rId6"/>
    <sheet name="FS_NoVp100" sheetId="17" r:id="rId7"/>
    <sheet name="Cook_NoVs111" sheetId="18" r:id="rId8"/>
    <sheet name="Cook_NoVp111" sheetId="19" r:id="rId9"/>
    <sheet name="Cook_NoVs100" sheetId="20" r:id="rId10"/>
    <sheet name="Cook_NoVp100" sheetId="21" r:id="rId11"/>
    <sheet name="Global_FS" sheetId="22" r:id="rId12"/>
    <sheet name="Global_Cook" sheetId="23" r:id="rId13"/>
  </sheets>
  <definedNames>
    <definedName name="alpha_100">Inputs!$M$6</definedName>
    <definedName name="alpha_111">Inputs!$M$15</definedName>
    <definedName name="CutoffLowBar">Inputs!$M$23</definedName>
    <definedName name="CutoffOilBar">Inputs!$M$22</definedName>
    <definedName name="gamma_100">Inputs!$M$8</definedName>
    <definedName name="gamma_111">Inputs!$M$17</definedName>
    <definedName name="gC11_0">Global_Cook!$CW$4</definedName>
    <definedName name="gC11a">Global_Cook!$CW$14</definedName>
    <definedName name="gC11p">Global_Cook!$CW$7</definedName>
    <definedName name="gC12_0">Global_Cook!$CW$5</definedName>
    <definedName name="gC12a">Global_Cook!$CW$15</definedName>
    <definedName name="gC12p">Global_Cook!$CW$8</definedName>
    <definedName name="gC44_0">Global_Cook!$CW$6</definedName>
    <definedName name="gC44a">Global_Cook!$CW$16</definedName>
    <definedName name="gC44p">Global_Cook!$CW$9</definedName>
    <definedName name="gK0">Global_Cook!$CW$11</definedName>
    <definedName name="gK0p">Global_Cook!$CW$12</definedName>
    <definedName name="Lfin_100">Inputs!$M$5</definedName>
    <definedName name="Lfin_111">Inputs!$M$14</definedName>
    <definedName name="Linit_100">Inputs!$M$4</definedName>
    <definedName name="Linit_111">Inputs!$M$13</definedName>
    <definedName name="nData">22</definedName>
    <definedName name="NormalizeFlag">Inputs!$M$24</definedName>
    <definedName name="rho_100">Inputs!$M$7</definedName>
    <definedName name="rho_111">Inputs!$M$16</definedName>
    <definedName name="SBR0_100">Inputs!$M$10</definedName>
    <definedName name="SBR0_111">Inputs!$M$19</definedName>
    <definedName name="scal_100">Inputs!$M$11</definedName>
    <definedName name="scal_111">Inputs!$M$20</definedName>
    <definedName name="solver_adj" localSheetId="10" hidden="1">Cook_NoVp100!$AP$4:$AP$9</definedName>
    <definedName name="solver_adj" localSheetId="8" hidden="1">Cook_NoVp111!$AP$4:$AP$9</definedName>
    <definedName name="solver_adj" localSheetId="9" hidden="1">Cook_NoVs100!$AP$4:$AP$9</definedName>
    <definedName name="solver_adj" localSheetId="7" hidden="1">Cook_NoVs111!$AP$4:$AP$9</definedName>
    <definedName name="solver_adj" localSheetId="6" hidden="1">FS_NoVp100!$AI$4:$AI$9,FS_NoVp100!$G$5:$G$25</definedName>
    <definedName name="solver_adj" localSheetId="4" hidden="1">FS_NoVp111!$AI$4:$AI$9,FS_NoVp111!$G$8:$G$18</definedName>
    <definedName name="solver_adj" localSheetId="5" hidden="1">FS_NoVs100!$AI$4:$AI$9,FS_NoVs100!$G$5:$G$25</definedName>
    <definedName name="solver_adj" localSheetId="3" hidden="1">FS_NoVs111!$AI$4:$AI$9,FS_NoVs111!$G$5:$G$25</definedName>
    <definedName name="solver_adj" localSheetId="12" hidden="1">Global_Cook!$CW$4:$CW$9</definedName>
    <definedName name="solver_adj" localSheetId="11" hidden="1">Global_FS!$AP$4:$AP$9,Global_FS!$G$5:$G$25</definedName>
    <definedName name="solver_cvg" localSheetId="4" hidden="1">0.0001</definedName>
    <definedName name="solver_cvg" localSheetId="5" hidden="1">0.0001</definedName>
    <definedName name="solver_drv" localSheetId="4" hidden="1">2</definedName>
    <definedName name="solver_drv" localSheetId="5" hidden="1">2</definedName>
    <definedName name="solver_eng" localSheetId="10" hidden="1">1</definedName>
    <definedName name="solver_eng" localSheetId="8" hidden="1">1</definedName>
    <definedName name="solver_eng" localSheetId="9" hidden="1">1</definedName>
    <definedName name="solver_eng" localSheetId="7" hidden="1">1</definedName>
    <definedName name="solver_eng" localSheetId="6" hidden="1">1</definedName>
    <definedName name="solver_eng" localSheetId="4" hidden="1">1</definedName>
    <definedName name="solver_eng" localSheetId="5" hidden="1">1</definedName>
    <definedName name="solver_eng" localSheetId="3" hidden="1">1</definedName>
    <definedName name="solver_eng" localSheetId="12" hidden="1">1</definedName>
    <definedName name="solver_eng" localSheetId="11" hidden="1">1</definedName>
    <definedName name="solver_eng" localSheetId="0" hidden="1">1</definedName>
    <definedName name="solver_est" localSheetId="4" hidden="1">1</definedName>
    <definedName name="solver_est" localSheetId="5" hidden="1">1</definedName>
    <definedName name="solver_itr" localSheetId="4" hidden="1">2147483647</definedName>
    <definedName name="solver_itr" localSheetId="5" hidden="1">2147483647</definedName>
    <definedName name="solver_mip" localSheetId="4" hidden="1">2147483647</definedName>
    <definedName name="solver_mip" localSheetId="5" hidden="1">2147483647</definedName>
    <definedName name="solver_mni" localSheetId="4" hidden="1">30</definedName>
    <definedName name="solver_mni" localSheetId="5" hidden="1">30</definedName>
    <definedName name="solver_mrt" localSheetId="4" hidden="1">0.075</definedName>
    <definedName name="solver_mrt" localSheetId="5" hidden="1">0.075</definedName>
    <definedName name="solver_msl" localSheetId="4" hidden="1">2</definedName>
    <definedName name="solver_msl" localSheetId="5" hidden="1">2</definedName>
    <definedName name="solver_neg" localSheetId="10" hidden="1">1</definedName>
    <definedName name="solver_neg" localSheetId="8" hidden="1">1</definedName>
    <definedName name="solver_neg" localSheetId="9" hidden="1">1</definedName>
    <definedName name="solver_neg" localSheetId="7" hidden="1">1</definedName>
    <definedName name="solver_neg" localSheetId="6" hidden="1">1</definedName>
    <definedName name="solver_neg" localSheetId="4" hidden="1">1</definedName>
    <definedName name="solver_neg" localSheetId="5" hidden="1">1</definedName>
    <definedName name="solver_neg" localSheetId="3" hidden="1">1</definedName>
    <definedName name="solver_neg" localSheetId="12" hidden="1">1</definedName>
    <definedName name="solver_neg" localSheetId="11" hidden="1">1</definedName>
    <definedName name="solver_neg" localSheetId="0" hidden="1">1</definedName>
    <definedName name="solver_nod" localSheetId="4" hidden="1">2147483647</definedName>
    <definedName name="solver_nod" localSheetId="5" hidden="1">2147483647</definedName>
    <definedName name="solver_num" localSheetId="10" hidden="1">0</definedName>
    <definedName name="solver_num" localSheetId="8" hidden="1">0</definedName>
    <definedName name="solver_num" localSheetId="9" hidden="1">0</definedName>
    <definedName name="solver_num" localSheetId="7" hidden="1">0</definedName>
    <definedName name="solver_num" localSheetId="6" hidden="1">0</definedName>
    <definedName name="solver_num" localSheetId="4" hidden="1">0</definedName>
    <definedName name="solver_num" localSheetId="5" hidden="1">0</definedName>
    <definedName name="solver_num" localSheetId="3" hidden="1">0</definedName>
    <definedName name="solver_num" localSheetId="12" hidden="1">0</definedName>
    <definedName name="solver_num" localSheetId="11" hidden="1">0</definedName>
    <definedName name="solver_num" localSheetId="0" hidden="1">0</definedName>
    <definedName name="solver_nwt" localSheetId="4" hidden="1">1</definedName>
    <definedName name="solver_nwt" localSheetId="5" hidden="1">1</definedName>
    <definedName name="solver_opt" localSheetId="10" hidden="1">Cook_NoVp100!$AP$18</definedName>
    <definedName name="solver_opt" localSheetId="8" hidden="1">Cook_NoVp111!$AP$18</definedName>
    <definedName name="solver_opt" localSheetId="9" hidden="1">Cook_NoVs100!$AP$18</definedName>
    <definedName name="solver_opt" localSheetId="7" hidden="1">Cook_NoVs111!$AP$18</definedName>
    <definedName name="solver_opt" localSheetId="6" hidden="1">FS_NoVp100!$AI$18</definedName>
    <definedName name="solver_opt" localSheetId="4" hidden="1">FS_NoVp111!$AI$18</definedName>
    <definedName name="solver_opt" localSheetId="5" hidden="1">FS_NoVs100!$AI$18</definedName>
    <definedName name="solver_opt" localSheetId="3" hidden="1">FS_NoVs111!$AI$18</definedName>
    <definedName name="solver_opt" localSheetId="12" hidden="1">Global_Cook!$CW$18</definedName>
    <definedName name="solver_opt" localSheetId="11" hidden="1">Global_FS!$AP$18</definedName>
    <definedName name="solver_opt" localSheetId="0" hidden="1">Summary!$B$4</definedName>
    <definedName name="solver_pre" localSheetId="4" hidden="1">0.000001</definedName>
    <definedName name="solver_pre" localSheetId="5" hidden="1">0.000001</definedName>
    <definedName name="solver_rbv" localSheetId="4" hidden="1">2</definedName>
    <definedName name="solver_rbv" localSheetId="5" hidden="1">2</definedName>
    <definedName name="solver_rlx" localSheetId="4" hidden="1">2</definedName>
    <definedName name="solver_rlx" localSheetId="5" hidden="1">2</definedName>
    <definedName name="solver_rsd" localSheetId="4" hidden="1">0</definedName>
    <definedName name="solver_rsd" localSheetId="5" hidden="1">0</definedName>
    <definedName name="solver_scl" localSheetId="4" hidden="1">2</definedName>
    <definedName name="solver_scl" localSheetId="5" hidden="1">2</definedName>
    <definedName name="solver_sho" localSheetId="4" hidden="1">2</definedName>
    <definedName name="solver_sho" localSheetId="5" hidden="1">2</definedName>
    <definedName name="solver_ssz" localSheetId="4" hidden="1">100</definedName>
    <definedName name="solver_ssz" localSheetId="5" hidden="1">100</definedName>
    <definedName name="solver_tim" localSheetId="4" hidden="1">2147483647</definedName>
    <definedName name="solver_tim" localSheetId="5" hidden="1">2147483647</definedName>
    <definedName name="solver_tol" localSheetId="4" hidden="1">0.01</definedName>
    <definedName name="solver_tol" localSheetId="5" hidden="1">0.01</definedName>
    <definedName name="solver_typ" localSheetId="10" hidden="1">2</definedName>
    <definedName name="solver_typ" localSheetId="8" hidden="1">2</definedName>
    <definedName name="solver_typ" localSheetId="9" hidden="1">2</definedName>
    <definedName name="solver_typ" localSheetId="7" hidden="1">2</definedName>
    <definedName name="solver_typ" localSheetId="6" hidden="1">2</definedName>
    <definedName name="solver_typ" localSheetId="4" hidden="1">2</definedName>
    <definedName name="solver_typ" localSheetId="5" hidden="1">2</definedName>
    <definedName name="solver_typ" localSheetId="3" hidden="1">2</definedName>
    <definedName name="solver_typ" localSheetId="12" hidden="1">2</definedName>
    <definedName name="solver_typ" localSheetId="11" hidden="1">2</definedName>
    <definedName name="solver_typ" localSheetId="0" hidden="1">1</definedName>
    <definedName name="solver_val" localSheetId="10" hidden="1">0</definedName>
    <definedName name="solver_val" localSheetId="8" hidden="1">0</definedName>
    <definedName name="solver_val" localSheetId="9" hidden="1">0</definedName>
    <definedName name="solver_val" localSheetId="7" hidden="1">0</definedName>
    <definedName name="solver_val" localSheetId="6" hidden="1">0</definedName>
    <definedName name="solver_val" localSheetId="4" hidden="1">0</definedName>
    <definedName name="solver_val" localSheetId="5" hidden="1">0</definedName>
    <definedName name="solver_val" localSheetId="3" hidden="1">0</definedName>
    <definedName name="solver_val" localSheetId="12" hidden="1">0</definedName>
    <definedName name="solver_val" localSheetId="11" hidden="1">0</definedName>
    <definedName name="solver_val" localSheetId="0" hidden="1">0</definedName>
    <definedName name="solver_ver" localSheetId="10" hidden="1">3</definedName>
    <definedName name="solver_ver" localSheetId="8" hidden="1">3</definedName>
    <definedName name="solver_ver" localSheetId="9" hidden="1">3</definedName>
    <definedName name="solver_ver" localSheetId="7" hidden="1">3</definedName>
    <definedName name="solver_ver" localSheetId="6" hidden="1">3</definedName>
    <definedName name="solver_ver" localSheetId="4" hidden="1">3</definedName>
    <definedName name="solver_ver" localSheetId="5" hidden="1">3</definedName>
    <definedName name="solver_ver" localSheetId="3" hidden="1">3</definedName>
    <definedName name="solver_ver" localSheetId="12" hidden="1">3</definedName>
    <definedName name="solver_ver" localSheetId="11" hidden="1">3</definedName>
    <definedName name="solver_ver" localSheetId="0" hidden="1">3</definedName>
    <definedName name="T_100">Inputs!$M$9</definedName>
    <definedName name="T_111">Inputs!$M$18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" i="15" l="1"/>
  <c r="P5" i="15"/>
  <c r="P6" i="15"/>
  <c r="P7" i="15"/>
  <c r="P8" i="15"/>
  <c r="P9" i="15"/>
  <c r="P10" i="15"/>
  <c r="P11" i="15"/>
  <c r="P12" i="15"/>
  <c r="P13" i="15"/>
  <c r="P14" i="15"/>
  <c r="P15" i="15"/>
  <c r="P16" i="15"/>
  <c r="P17" i="15"/>
  <c r="O10" i="24"/>
  <c r="N10" i="24"/>
  <c r="M10" i="24"/>
  <c r="F8" i="24"/>
  <c r="F7" i="24"/>
  <c r="DA9" i="23"/>
  <c r="F22" i="24" s="1"/>
  <c r="DA8" i="23"/>
  <c r="F21" i="24" s="1"/>
  <c r="DA7" i="23"/>
  <c r="F20" i="24" s="1"/>
  <c r="DA6" i="23"/>
  <c r="F19" i="24" s="1"/>
  <c r="DA5" i="23"/>
  <c r="F18" i="24" s="1"/>
  <c r="DA4" i="23"/>
  <c r="F17" i="24" s="1"/>
  <c r="CW12" i="23"/>
  <c r="DA11" i="23" s="1"/>
  <c r="F24" i="24" s="1"/>
  <c r="CW11" i="23"/>
  <c r="CW16" i="23" s="1"/>
  <c r="CT25" i="23"/>
  <c r="CT24" i="23"/>
  <c r="CT23" i="23"/>
  <c r="CT22" i="23"/>
  <c r="CT21" i="23"/>
  <c r="CT20" i="23"/>
  <c r="CT19" i="23"/>
  <c r="CT7" i="23"/>
  <c r="CT6" i="23"/>
  <c r="CT5" i="23"/>
  <c r="CT4" i="23"/>
  <c r="CO4" i="23"/>
  <c r="CH4" i="23"/>
  <c r="CG4" i="23"/>
  <c r="CF4" i="23"/>
  <c r="CE4" i="23"/>
  <c r="CD4" i="23"/>
  <c r="CC4" i="23"/>
  <c r="BX25" i="23"/>
  <c r="BX24" i="23"/>
  <c r="BX23" i="23"/>
  <c r="BX22" i="23"/>
  <c r="BX21" i="23"/>
  <c r="BX20" i="23"/>
  <c r="BX19" i="23"/>
  <c r="BX7" i="23"/>
  <c r="BX6" i="23"/>
  <c r="BX5" i="23"/>
  <c r="BX4" i="23"/>
  <c r="BQ4" i="23"/>
  <c r="BL4" i="23"/>
  <c r="BK4" i="23"/>
  <c r="BJ4" i="23"/>
  <c r="BI4" i="23"/>
  <c r="BH4" i="23"/>
  <c r="BG4" i="23"/>
  <c r="BB25" i="23"/>
  <c r="BB24" i="23"/>
  <c r="BB23" i="23"/>
  <c r="BB22" i="23"/>
  <c r="BB21" i="23"/>
  <c r="BB20" i="23"/>
  <c r="BB19" i="23"/>
  <c r="BB7" i="23"/>
  <c r="BB6" i="23"/>
  <c r="BB5" i="23"/>
  <c r="BB4" i="23"/>
  <c r="AW4" i="23"/>
  <c r="AU4" i="23"/>
  <c r="AP4" i="23"/>
  <c r="AO4" i="23"/>
  <c r="AN4" i="23"/>
  <c r="AM4" i="23"/>
  <c r="AL4" i="23"/>
  <c r="AK4" i="23"/>
  <c r="AF25" i="23"/>
  <c r="AF24" i="23"/>
  <c r="AF23" i="23"/>
  <c r="AF22" i="23"/>
  <c r="AF21" i="23"/>
  <c r="AF20" i="23"/>
  <c r="AF19" i="23"/>
  <c r="AF7" i="23"/>
  <c r="AF6" i="23"/>
  <c r="AF5" i="23"/>
  <c r="AF4" i="23"/>
  <c r="AA4" i="23"/>
  <c r="Y4" i="23"/>
  <c r="T4" i="23"/>
  <c r="S4" i="23"/>
  <c r="R4" i="23"/>
  <c r="Q4" i="23"/>
  <c r="P4" i="23"/>
  <c r="O4" i="23"/>
  <c r="H25" i="23"/>
  <c r="G25" i="23"/>
  <c r="D25" i="23"/>
  <c r="C25" i="23"/>
  <c r="B25" i="23"/>
  <c r="A25" i="23"/>
  <c r="H24" i="23"/>
  <c r="G24" i="23"/>
  <c r="D24" i="23"/>
  <c r="C24" i="23"/>
  <c r="B24" i="23"/>
  <c r="A24" i="23"/>
  <c r="H23" i="23"/>
  <c r="G23" i="23"/>
  <c r="D23" i="23"/>
  <c r="C23" i="23"/>
  <c r="B23" i="23"/>
  <c r="A23" i="23"/>
  <c r="H22" i="23"/>
  <c r="G22" i="23"/>
  <c r="D22" i="23"/>
  <c r="C22" i="23"/>
  <c r="B22" i="23"/>
  <c r="A22" i="23"/>
  <c r="H21" i="23"/>
  <c r="G21" i="23"/>
  <c r="D21" i="23"/>
  <c r="C21" i="23"/>
  <c r="B21" i="23"/>
  <c r="A21" i="23"/>
  <c r="H20" i="23"/>
  <c r="G20" i="23"/>
  <c r="D20" i="23"/>
  <c r="C20" i="23"/>
  <c r="B20" i="23"/>
  <c r="A20" i="23"/>
  <c r="H19" i="23"/>
  <c r="G19" i="23"/>
  <c r="D19" i="23"/>
  <c r="C19" i="23"/>
  <c r="B19" i="23"/>
  <c r="A19" i="23"/>
  <c r="H18" i="23"/>
  <c r="G18" i="23"/>
  <c r="D18" i="23"/>
  <c r="C18" i="23"/>
  <c r="B18" i="23"/>
  <c r="A18" i="23"/>
  <c r="H17" i="23"/>
  <c r="G17" i="23"/>
  <c r="D17" i="23"/>
  <c r="C17" i="23"/>
  <c r="B17" i="23"/>
  <c r="A17" i="23"/>
  <c r="H16" i="23"/>
  <c r="G16" i="23"/>
  <c r="D16" i="23"/>
  <c r="C16" i="23"/>
  <c r="B16" i="23"/>
  <c r="A16" i="23"/>
  <c r="H15" i="23"/>
  <c r="G15" i="23"/>
  <c r="D15" i="23"/>
  <c r="C15" i="23"/>
  <c r="B15" i="23"/>
  <c r="A15" i="23"/>
  <c r="H14" i="23"/>
  <c r="G14" i="23"/>
  <c r="D14" i="23"/>
  <c r="C14" i="23"/>
  <c r="B14" i="23"/>
  <c r="A14" i="23"/>
  <c r="H13" i="23"/>
  <c r="G13" i="23"/>
  <c r="D13" i="23"/>
  <c r="C13" i="23"/>
  <c r="B13" i="23"/>
  <c r="A13" i="23"/>
  <c r="H12" i="23"/>
  <c r="G12" i="23"/>
  <c r="D12" i="23"/>
  <c r="C12" i="23"/>
  <c r="B12" i="23"/>
  <c r="A12" i="23"/>
  <c r="H11" i="23"/>
  <c r="G11" i="23"/>
  <c r="D11" i="23"/>
  <c r="C11" i="23"/>
  <c r="B11" i="23"/>
  <c r="A11" i="23"/>
  <c r="H10" i="23"/>
  <c r="G10" i="23"/>
  <c r="D10" i="23"/>
  <c r="C10" i="23"/>
  <c r="B10" i="23"/>
  <c r="A10" i="23"/>
  <c r="H9" i="23"/>
  <c r="G9" i="23"/>
  <c r="D9" i="23"/>
  <c r="C9" i="23"/>
  <c r="B9" i="23"/>
  <c r="A9" i="23"/>
  <c r="H8" i="23"/>
  <c r="G8" i="23"/>
  <c r="D8" i="23"/>
  <c r="C8" i="23"/>
  <c r="B8" i="23"/>
  <c r="A8" i="23"/>
  <c r="H7" i="23"/>
  <c r="G7" i="23"/>
  <c r="D7" i="23"/>
  <c r="C7" i="23"/>
  <c r="B7" i="23"/>
  <c r="A7" i="23"/>
  <c r="H6" i="23"/>
  <c r="G6" i="23"/>
  <c r="D6" i="23"/>
  <c r="C6" i="23"/>
  <c r="B6" i="23"/>
  <c r="A6" i="23"/>
  <c r="H5" i="23"/>
  <c r="G5" i="23"/>
  <c r="D5" i="23"/>
  <c r="C5" i="23"/>
  <c r="B5" i="23"/>
  <c r="A5" i="23"/>
  <c r="H4" i="23"/>
  <c r="G4" i="23"/>
  <c r="D4" i="23"/>
  <c r="C4" i="23"/>
  <c r="B4" i="23"/>
  <c r="A4" i="23"/>
  <c r="AT9" i="22"/>
  <c r="F9" i="24" s="1"/>
  <c r="AT8" i="22"/>
  <c r="AT7" i="22"/>
  <c r="AT6" i="22"/>
  <c r="F6" i="24" s="1"/>
  <c r="AT5" i="22"/>
  <c r="F5" i="24" s="1"/>
  <c r="AT4" i="22"/>
  <c r="F4" i="24" s="1"/>
  <c r="AP12" i="22"/>
  <c r="AT11" i="22" s="1"/>
  <c r="F11" i="24" s="1"/>
  <c r="AP11" i="22"/>
  <c r="AP15" i="22" s="1"/>
  <c r="AI25" i="22"/>
  <c r="M25" i="22"/>
  <c r="L25" i="22"/>
  <c r="I25" i="22"/>
  <c r="K25" i="22" s="1"/>
  <c r="H25" i="22"/>
  <c r="D25" i="22"/>
  <c r="C25" i="22"/>
  <c r="B25" i="22"/>
  <c r="A25" i="22"/>
  <c r="AI24" i="22"/>
  <c r="M24" i="22"/>
  <c r="L24" i="22"/>
  <c r="I24" i="22"/>
  <c r="K24" i="22" s="1"/>
  <c r="H24" i="22"/>
  <c r="D24" i="22"/>
  <c r="C24" i="22"/>
  <c r="B24" i="22"/>
  <c r="A24" i="22"/>
  <c r="AI23" i="22"/>
  <c r="M23" i="22"/>
  <c r="L23" i="22"/>
  <c r="I23" i="22"/>
  <c r="J23" i="22" s="1"/>
  <c r="H23" i="22"/>
  <c r="D23" i="22"/>
  <c r="C23" i="22"/>
  <c r="B23" i="22"/>
  <c r="A23" i="22"/>
  <c r="AI22" i="22"/>
  <c r="M22" i="22"/>
  <c r="L22" i="22"/>
  <c r="I22" i="22"/>
  <c r="J22" i="22" s="1"/>
  <c r="H22" i="22"/>
  <c r="D22" i="22"/>
  <c r="C22" i="22"/>
  <c r="B22" i="22"/>
  <c r="A22" i="22"/>
  <c r="AI21" i="22"/>
  <c r="M21" i="22"/>
  <c r="L21" i="22"/>
  <c r="I21" i="22"/>
  <c r="K21" i="22" s="1"/>
  <c r="H21" i="22"/>
  <c r="D21" i="22"/>
  <c r="C21" i="22"/>
  <c r="B21" i="22"/>
  <c r="A21" i="22"/>
  <c r="AI20" i="22"/>
  <c r="M20" i="22"/>
  <c r="L20" i="22"/>
  <c r="I20" i="22"/>
  <c r="J20" i="22" s="1"/>
  <c r="H20" i="22"/>
  <c r="D20" i="22"/>
  <c r="C20" i="22"/>
  <c r="B20" i="22"/>
  <c r="A20" i="22"/>
  <c r="AI19" i="22"/>
  <c r="M19" i="22"/>
  <c r="L19" i="22"/>
  <c r="I19" i="22"/>
  <c r="K19" i="22" s="1"/>
  <c r="H19" i="22"/>
  <c r="D19" i="22"/>
  <c r="C19" i="22"/>
  <c r="B19" i="22"/>
  <c r="A19" i="22"/>
  <c r="M18" i="22"/>
  <c r="L18" i="22"/>
  <c r="I18" i="22"/>
  <c r="K18" i="22" s="1"/>
  <c r="H18" i="22"/>
  <c r="D18" i="22"/>
  <c r="C18" i="22"/>
  <c r="B18" i="22"/>
  <c r="A18" i="22"/>
  <c r="M17" i="22"/>
  <c r="L17" i="22"/>
  <c r="I17" i="22"/>
  <c r="K17" i="22" s="1"/>
  <c r="H17" i="22"/>
  <c r="D17" i="22"/>
  <c r="C17" i="22"/>
  <c r="B17" i="22"/>
  <c r="A17" i="22"/>
  <c r="M16" i="22"/>
  <c r="L16" i="22"/>
  <c r="I16" i="22"/>
  <c r="K16" i="22" s="1"/>
  <c r="H16" i="22"/>
  <c r="D16" i="22"/>
  <c r="C16" i="22"/>
  <c r="B16" i="22"/>
  <c r="A16" i="22"/>
  <c r="M15" i="22"/>
  <c r="L15" i="22"/>
  <c r="I15" i="22"/>
  <c r="K15" i="22" s="1"/>
  <c r="H15" i="22"/>
  <c r="D15" i="22"/>
  <c r="C15" i="22"/>
  <c r="B15" i="22"/>
  <c r="A15" i="22"/>
  <c r="M14" i="22"/>
  <c r="L14" i="22"/>
  <c r="I14" i="22"/>
  <c r="K14" i="22" s="1"/>
  <c r="H14" i="22"/>
  <c r="D14" i="22"/>
  <c r="C14" i="22"/>
  <c r="B14" i="22"/>
  <c r="A14" i="22"/>
  <c r="M13" i="22"/>
  <c r="L13" i="22"/>
  <c r="I13" i="22"/>
  <c r="K13" i="22" s="1"/>
  <c r="H13" i="22"/>
  <c r="D13" i="22"/>
  <c r="C13" i="22"/>
  <c r="B13" i="22"/>
  <c r="A13" i="22"/>
  <c r="M12" i="22"/>
  <c r="L12" i="22"/>
  <c r="I12" i="22"/>
  <c r="K12" i="22" s="1"/>
  <c r="H12" i="22"/>
  <c r="D12" i="22"/>
  <c r="C12" i="22"/>
  <c r="B12" i="22"/>
  <c r="A12" i="22"/>
  <c r="M11" i="22"/>
  <c r="L11" i="22"/>
  <c r="I11" i="22"/>
  <c r="K11" i="22" s="1"/>
  <c r="H11" i="22"/>
  <c r="D11" i="22"/>
  <c r="C11" i="22"/>
  <c r="B11" i="22"/>
  <c r="A11" i="22"/>
  <c r="M10" i="22"/>
  <c r="L10" i="22"/>
  <c r="I10" i="22"/>
  <c r="K10" i="22" s="1"/>
  <c r="H10" i="22"/>
  <c r="D10" i="22"/>
  <c r="C10" i="22"/>
  <c r="B10" i="22"/>
  <c r="A10" i="22"/>
  <c r="M9" i="22"/>
  <c r="L9" i="22"/>
  <c r="I9" i="22"/>
  <c r="J9" i="22" s="1"/>
  <c r="H9" i="22"/>
  <c r="D9" i="22"/>
  <c r="C9" i="22"/>
  <c r="B9" i="22"/>
  <c r="A9" i="22"/>
  <c r="M8" i="22"/>
  <c r="L8" i="22"/>
  <c r="I8" i="22"/>
  <c r="J8" i="22" s="1"/>
  <c r="H8" i="22"/>
  <c r="D8" i="22"/>
  <c r="C8" i="22"/>
  <c r="B8" i="22"/>
  <c r="A8" i="22"/>
  <c r="AI7" i="22"/>
  <c r="M7" i="22"/>
  <c r="L7" i="22"/>
  <c r="I7" i="22"/>
  <c r="K7" i="22" s="1"/>
  <c r="H7" i="22"/>
  <c r="D7" i="22"/>
  <c r="C7" i="22"/>
  <c r="B7" i="22"/>
  <c r="A7" i="22"/>
  <c r="AI6" i="22"/>
  <c r="M6" i="22"/>
  <c r="L6" i="22"/>
  <c r="I6" i="22"/>
  <c r="J6" i="22" s="1"/>
  <c r="H6" i="22"/>
  <c r="D6" i="22"/>
  <c r="C6" i="22"/>
  <c r="B6" i="22"/>
  <c r="A6" i="22"/>
  <c r="AI5" i="22"/>
  <c r="M5" i="22"/>
  <c r="L5" i="22"/>
  <c r="I5" i="22"/>
  <c r="J5" i="22" s="1"/>
  <c r="H5" i="22"/>
  <c r="D5" i="22"/>
  <c r="C5" i="22"/>
  <c r="B5" i="22"/>
  <c r="A5" i="22"/>
  <c r="AI4" i="22"/>
  <c r="AC4" i="22"/>
  <c r="X4" i="22"/>
  <c r="W4" i="22"/>
  <c r="U4" i="22"/>
  <c r="T4" i="22"/>
  <c r="R4" i="22"/>
  <c r="M4" i="22"/>
  <c r="L4" i="22"/>
  <c r="K4" i="22"/>
  <c r="J4" i="22"/>
  <c r="I4" i="22"/>
  <c r="H4" i="22"/>
  <c r="G4" i="22"/>
  <c r="D4" i="22"/>
  <c r="C4" i="22"/>
  <c r="B4" i="22"/>
  <c r="A4" i="22"/>
  <c r="AT9" i="21"/>
  <c r="E22" i="24" s="1"/>
  <c r="AT8" i="21"/>
  <c r="E21" i="24" s="1"/>
  <c r="AT7" i="21"/>
  <c r="E20" i="24" s="1"/>
  <c r="AT6" i="21"/>
  <c r="E19" i="24" s="1"/>
  <c r="AT5" i="21"/>
  <c r="E18" i="24" s="1"/>
  <c r="AT4" i="21"/>
  <c r="E17" i="24" s="1"/>
  <c r="AP12" i="21"/>
  <c r="AP11" i="21"/>
  <c r="AT10" i="21" s="1"/>
  <c r="E23" i="24" s="1"/>
  <c r="AJ25" i="21"/>
  <c r="H25" i="21"/>
  <c r="G25" i="21"/>
  <c r="D25" i="21"/>
  <c r="C25" i="21"/>
  <c r="B25" i="21"/>
  <c r="A25" i="21"/>
  <c r="AJ24" i="21"/>
  <c r="H24" i="21"/>
  <c r="G24" i="21"/>
  <c r="D24" i="21"/>
  <c r="C24" i="21"/>
  <c r="B24" i="21"/>
  <c r="A24" i="21"/>
  <c r="AJ23" i="21"/>
  <c r="H23" i="21"/>
  <c r="G23" i="21"/>
  <c r="D23" i="21"/>
  <c r="C23" i="21"/>
  <c r="B23" i="21"/>
  <c r="A23" i="21"/>
  <c r="AJ22" i="21"/>
  <c r="H22" i="21"/>
  <c r="G22" i="21"/>
  <c r="D22" i="21"/>
  <c r="C22" i="21"/>
  <c r="B22" i="21"/>
  <c r="A22" i="21"/>
  <c r="AJ21" i="21"/>
  <c r="H21" i="21"/>
  <c r="G21" i="21"/>
  <c r="D21" i="21"/>
  <c r="C21" i="21"/>
  <c r="B21" i="21"/>
  <c r="A21" i="21"/>
  <c r="AJ20" i="21"/>
  <c r="H20" i="21"/>
  <c r="G20" i="21"/>
  <c r="D20" i="21"/>
  <c r="C20" i="21"/>
  <c r="B20" i="21"/>
  <c r="A20" i="21"/>
  <c r="AJ19" i="21"/>
  <c r="H19" i="21"/>
  <c r="G19" i="21"/>
  <c r="D19" i="21"/>
  <c r="C19" i="21"/>
  <c r="B19" i="21"/>
  <c r="A19" i="21"/>
  <c r="H18" i="21"/>
  <c r="G18" i="21"/>
  <c r="D18" i="21"/>
  <c r="C18" i="21"/>
  <c r="B18" i="21"/>
  <c r="A18" i="21"/>
  <c r="H17" i="21"/>
  <c r="G17" i="21"/>
  <c r="D17" i="21"/>
  <c r="C17" i="21"/>
  <c r="B17" i="21"/>
  <c r="A17" i="21"/>
  <c r="H16" i="21"/>
  <c r="G16" i="21"/>
  <c r="D16" i="21"/>
  <c r="C16" i="21"/>
  <c r="B16" i="21"/>
  <c r="A16" i="21"/>
  <c r="H15" i="21"/>
  <c r="G15" i="21"/>
  <c r="D15" i="21"/>
  <c r="C15" i="21"/>
  <c r="B15" i="21"/>
  <c r="A15" i="21"/>
  <c r="H14" i="21"/>
  <c r="G14" i="21"/>
  <c r="D14" i="21"/>
  <c r="C14" i="21"/>
  <c r="B14" i="21"/>
  <c r="A14" i="21"/>
  <c r="H13" i="21"/>
  <c r="G13" i="21"/>
  <c r="D13" i="21"/>
  <c r="C13" i="21"/>
  <c r="B13" i="21"/>
  <c r="A13" i="21"/>
  <c r="H12" i="21"/>
  <c r="G12" i="21"/>
  <c r="D12" i="21"/>
  <c r="C12" i="21"/>
  <c r="B12" i="21"/>
  <c r="A12" i="21"/>
  <c r="H11" i="21"/>
  <c r="G11" i="21"/>
  <c r="D11" i="21"/>
  <c r="C11" i="21"/>
  <c r="B11" i="21"/>
  <c r="A11" i="21"/>
  <c r="H10" i="21"/>
  <c r="G10" i="21"/>
  <c r="D10" i="21"/>
  <c r="C10" i="21"/>
  <c r="B10" i="21"/>
  <c r="A10" i="21"/>
  <c r="H9" i="21"/>
  <c r="G9" i="21"/>
  <c r="D9" i="21"/>
  <c r="C9" i="21"/>
  <c r="B9" i="21"/>
  <c r="A9" i="21"/>
  <c r="H8" i="21"/>
  <c r="G8" i="21"/>
  <c r="D8" i="21"/>
  <c r="C8" i="21"/>
  <c r="B8" i="21"/>
  <c r="A8" i="21"/>
  <c r="AJ7" i="21"/>
  <c r="H7" i="21"/>
  <c r="G7" i="21"/>
  <c r="D7" i="21"/>
  <c r="C7" i="21"/>
  <c r="B7" i="21"/>
  <c r="A7" i="21"/>
  <c r="AJ6" i="21"/>
  <c r="H6" i="21"/>
  <c r="G6" i="21"/>
  <c r="D6" i="21"/>
  <c r="C6" i="21"/>
  <c r="B6" i="21"/>
  <c r="A6" i="21"/>
  <c r="AJ5" i="21"/>
  <c r="H5" i="21"/>
  <c r="G5" i="21"/>
  <c r="D5" i="21"/>
  <c r="C5" i="21"/>
  <c r="B5" i="21"/>
  <c r="A5" i="21"/>
  <c r="AJ4" i="21"/>
  <c r="AA4" i="21"/>
  <c r="T4" i="21"/>
  <c r="S4" i="21"/>
  <c r="R4" i="21"/>
  <c r="Q4" i="21"/>
  <c r="P4" i="21"/>
  <c r="O4" i="21"/>
  <c r="H4" i="21"/>
  <c r="G4" i="21"/>
  <c r="D4" i="21"/>
  <c r="C4" i="21"/>
  <c r="B4" i="21"/>
  <c r="A4" i="21"/>
  <c r="AT9" i="20"/>
  <c r="D22" i="24" s="1"/>
  <c r="AT8" i="20"/>
  <c r="D21" i="24" s="1"/>
  <c r="AT7" i="20"/>
  <c r="D20" i="24" s="1"/>
  <c r="AT6" i="20"/>
  <c r="D19" i="24" s="1"/>
  <c r="AT5" i="20"/>
  <c r="D18" i="24" s="1"/>
  <c r="AT4" i="20"/>
  <c r="D17" i="24" s="1"/>
  <c r="AP12" i="20"/>
  <c r="AP11" i="20"/>
  <c r="AP16" i="20" s="1"/>
  <c r="AJ25" i="20"/>
  <c r="H25" i="20"/>
  <c r="G25" i="20"/>
  <c r="D25" i="20"/>
  <c r="C25" i="20"/>
  <c r="B25" i="20"/>
  <c r="A25" i="20"/>
  <c r="AJ24" i="20"/>
  <c r="H24" i="20"/>
  <c r="G24" i="20"/>
  <c r="D24" i="20"/>
  <c r="C24" i="20"/>
  <c r="B24" i="20"/>
  <c r="A24" i="20"/>
  <c r="AJ23" i="20"/>
  <c r="H23" i="20"/>
  <c r="G23" i="20"/>
  <c r="D23" i="20"/>
  <c r="C23" i="20"/>
  <c r="B23" i="20"/>
  <c r="A23" i="20"/>
  <c r="AJ22" i="20"/>
  <c r="H22" i="20"/>
  <c r="G22" i="20"/>
  <c r="D22" i="20"/>
  <c r="C22" i="20"/>
  <c r="B22" i="20"/>
  <c r="A22" i="20"/>
  <c r="AJ21" i="20"/>
  <c r="H21" i="20"/>
  <c r="G21" i="20"/>
  <c r="D21" i="20"/>
  <c r="C21" i="20"/>
  <c r="B21" i="20"/>
  <c r="A21" i="20"/>
  <c r="AJ20" i="20"/>
  <c r="H20" i="20"/>
  <c r="G20" i="20"/>
  <c r="D20" i="20"/>
  <c r="C20" i="20"/>
  <c r="B20" i="20"/>
  <c r="A20" i="20"/>
  <c r="AJ19" i="20"/>
  <c r="H19" i="20"/>
  <c r="G19" i="20"/>
  <c r="D19" i="20"/>
  <c r="C19" i="20"/>
  <c r="B19" i="20"/>
  <c r="A19" i="20"/>
  <c r="H18" i="20"/>
  <c r="G18" i="20"/>
  <c r="D18" i="20"/>
  <c r="C18" i="20"/>
  <c r="B18" i="20"/>
  <c r="A18" i="20"/>
  <c r="H17" i="20"/>
  <c r="G17" i="20"/>
  <c r="D17" i="20"/>
  <c r="C17" i="20"/>
  <c r="B17" i="20"/>
  <c r="A17" i="20"/>
  <c r="H16" i="20"/>
  <c r="G16" i="20"/>
  <c r="D16" i="20"/>
  <c r="C16" i="20"/>
  <c r="B16" i="20"/>
  <c r="A16" i="20"/>
  <c r="H15" i="20"/>
  <c r="G15" i="20"/>
  <c r="D15" i="20"/>
  <c r="C15" i="20"/>
  <c r="B15" i="20"/>
  <c r="A15" i="20"/>
  <c r="H14" i="20"/>
  <c r="G14" i="20"/>
  <c r="D14" i="20"/>
  <c r="C14" i="20"/>
  <c r="B14" i="20"/>
  <c r="A14" i="20"/>
  <c r="H13" i="20"/>
  <c r="G13" i="20"/>
  <c r="D13" i="20"/>
  <c r="C13" i="20"/>
  <c r="B13" i="20"/>
  <c r="A13" i="20"/>
  <c r="H12" i="20"/>
  <c r="G12" i="20"/>
  <c r="D12" i="20"/>
  <c r="C12" i="20"/>
  <c r="B12" i="20"/>
  <c r="A12" i="20"/>
  <c r="H11" i="20"/>
  <c r="G11" i="20"/>
  <c r="D11" i="20"/>
  <c r="C11" i="20"/>
  <c r="B11" i="20"/>
  <c r="A11" i="20"/>
  <c r="H10" i="20"/>
  <c r="G10" i="20"/>
  <c r="D10" i="20"/>
  <c r="C10" i="20"/>
  <c r="B10" i="20"/>
  <c r="A10" i="20"/>
  <c r="H9" i="20"/>
  <c r="G9" i="20"/>
  <c r="D9" i="20"/>
  <c r="C9" i="20"/>
  <c r="B9" i="20"/>
  <c r="A9" i="20"/>
  <c r="H8" i="20"/>
  <c r="G8" i="20"/>
  <c r="D8" i="20"/>
  <c r="C8" i="20"/>
  <c r="B8" i="20"/>
  <c r="A8" i="20"/>
  <c r="AJ7" i="20"/>
  <c r="H7" i="20"/>
  <c r="G7" i="20"/>
  <c r="D7" i="20"/>
  <c r="C7" i="20"/>
  <c r="B7" i="20"/>
  <c r="A7" i="20"/>
  <c r="AJ6" i="20"/>
  <c r="H6" i="20"/>
  <c r="G6" i="20"/>
  <c r="D6" i="20"/>
  <c r="C6" i="20"/>
  <c r="B6" i="20"/>
  <c r="A6" i="20"/>
  <c r="AJ5" i="20"/>
  <c r="H5" i="20"/>
  <c r="G5" i="20"/>
  <c r="D5" i="20"/>
  <c r="C5" i="20"/>
  <c r="B5" i="20"/>
  <c r="A5" i="20"/>
  <c r="AJ4" i="20"/>
  <c r="Y4" i="20"/>
  <c r="T4" i="20"/>
  <c r="S4" i="20"/>
  <c r="R4" i="20"/>
  <c r="Q4" i="20"/>
  <c r="P4" i="20"/>
  <c r="O4" i="20"/>
  <c r="H4" i="20"/>
  <c r="G4" i="20"/>
  <c r="D4" i="20"/>
  <c r="C4" i="20"/>
  <c r="B4" i="20"/>
  <c r="A4" i="20"/>
  <c r="AT9" i="19"/>
  <c r="C22" i="24" s="1"/>
  <c r="AT8" i="19"/>
  <c r="C21" i="24" s="1"/>
  <c r="AT7" i="19"/>
  <c r="C20" i="24" s="1"/>
  <c r="AT6" i="19"/>
  <c r="C19" i="24" s="1"/>
  <c r="AT5" i="19"/>
  <c r="C18" i="24" s="1"/>
  <c r="AT4" i="19"/>
  <c r="C17" i="24" s="1"/>
  <c r="AP12" i="19"/>
  <c r="AT11" i="19" s="1"/>
  <c r="C24" i="24" s="1"/>
  <c r="AP11" i="19"/>
  <c r="AJ25" i="19"/>
  <c r="H25" i="19"/>
  <c r="G25" i="19"/>
  <c r="D25" i="19"/>
  <c r="C25" i="19"/>
  <c r="B25" i="19"/>
  <c r="A25" i="19"/>
  <c r="AJ24" i="19"/>
  <c r="H24" i="19"/>
  <c r="G24" i="19"/>
  <c r="D24" i="19"/>
  <c r="C24" i="19"/>
  <c r="B24" i="19"/>
  <c r="A24" i="19"/>
  <c r="AJ23" i="19"/>
  <c r="H23" i="19"/>
  <c r="G23" i="19"/>
  <c r="D23" i="19"/>
  <c r="C23" i="19"/>
  <c r="B23" i="19"/>
  <c r="A23" i="19"/>
  <c r="AJ22" i="19"/>
  <c r="H22" i="19"/>
  <c r="G22" i="19"/>
  <c r="D22" i="19"/>
  <c r="C22" i="19"/>
  <c r="B22" i="19"/>
  <c r="A22" i="19"/>
  <c r="AJ21" i="19"/>
  <c r="H21" i="19"/>
  <c r="G21" i="19"/>
  <c r="D21" i="19"/>
  <c r="C21" i="19"/>
  <c r="B21" i="19"/>
  <c r="A21" i="19"/>
  <c r="AJ20" i="19"/>
  <c r="H20" i="19"/>
  <c r="G20" i="19"/>
  <c r="D20" i="19"/>
  <c r="C20" i="19"/>
  <c r="B20" i="19"/>
  <c r="A20" i="19"/>
  <c r="AJ19" i="19"/>
  <c r="H19" i="19"/>
  <c r="G19" i="19"/>
  <c r="D19" i="19"/>
  <c r="C19" i="19"/>
  <c r="B19" i="19"/>
  <c r="A19" i="19"/>
  <c r="H18" i="19"/>
  <c r="G18" i="19"/>
  <c r="D18" i="19"/>
  <c r="C18" i="19"/>
  <c r="B18" i="19"/>
  <c r="A18" i="19"/>
  <c r="H17" i="19"/>
  <c r="G17" i="19"/>
  <c r="D17" i="19"/>
  <c r="C17" i="19"/>
  <c r="B17" i="19"/>
  <c r="A17" i="19"/>
  <c r="H16" i="19"/>
  <c r="G16" i="19"/>
  <c r="D16" i="19"/>
  <c r="C16" i="19"/>
  <c r="B16" i="19"/>
  <c r="A16" i="19"/>
  <c r="H15" i="19"/>
  <c r="G15" i="19"/>
  <c r="D15" i="19"/>
  <c r="C15" i="19"/>
  <c r="B15" i="19"/>
  <c r="A15" i="19"/>
  <c r="H14" i="19"/>
  <c r="G14" i="19"/>
  <c r="D14" i="19"/>
  <c r="C14" i="19"/>
  <c r="B14" i="19"/>
  <c r="A14" i="19"/>
  <c r="H13" i="19"/>
  <c r="G13" i="19"/>
  <c r="D13" i="19"/>
  <c r="C13" i="19"/>
  <c r="B13" i="19"/>
  <c r="A13" i="19"/>
  <c r="H12" i="19"/>
  <c r="G12" i="19"/>
  <c r="D12" i="19"/>
  <c r="C12" i="19"/>
  <c r="B12" i="19"/>
  <c r="A12" i="19"/>
  <c r="H11" i="19"/>
  <c r="G11" i="19"/>
  <c r="D11" i="19"/>
  <c r="C11" i="19"/>
  <c r="B11" i="19"/>
  <c r="A11" i="19"/>
  <c r="H10" i="19"/>
  <c r="G10" i="19"/>
  <c r="D10" i="19"/>
  <c r="C10" i="19"/>
  <c r="B10" i="19"/>
  <c r="A10" i="19"/>
  <c r="H9" i="19"/>
  <c r="G9" i="19"/>
  <c r="D9" i="19"/>
  <c r="C9" i="19"/>
  <c r="B9" i="19"/>
  <c r="A9" i="19"/>
  <c r="H8" i="19"/>
  <c r="G8" i="19"/>
  <c r="D8" i="19"/>
  <c r="C8" i="19"/>
  <c r="B8" i="19"/>
  <c r="A8" i="19"/>
  <c r="AJ7" i="19"/>
  <c r="H7" i="19"/>
  <c r="G7" i="19"/>
  <c r="D7" i="19"/>
  <c r="C7" i="19"/>
  <c r="B7" i="19"/>
  <c r="A7" i="19"/>
  <c r="AJ6" i="19"/>
  <c r="H6" i="19"/>
  <c r="G6" i="19"/>
  <c r="D6" i="19"/>
  <c r="C6" i="19"/>
  <c r="B6" i="19"/>
  <c r="A6" i="19"/>
  <c r="AJ5" i="19"/>
  <c r="H5" i="19"/>
  <c r="G5" i="19"/>
  <c r="D5" i="19"/>
  <c r="C5" i="19"/>
  <c r="B5" i="19"/>
  <c r="A5" i="19"/>
  <c r="AJ4" i="19"/>
  <c r="AA4" i="19"/>
  <c r="Y4" i="19"/>
  <c r="T4" i="19"/>
  <c r="S4" i="19"/>
  <c r="R4" i="19"/>
  <c r="Q4" i="19"/>
  <c r="P4" i="19"/>
  <c r="O4" i="19"/>
  <c r="H4" i="19"/>
  <c r="G4" i="19"/>
  <c r="D4" i="19"/>
  <c r="C4" i="19"/>
  <c r="B4" i="19"/>
  <c r="A4" i="19"/>
  <c r="AT9" i="18"/>
  <c r="B22" i="24" s="1"/>
  <c r="AT8" i="18"/>
  <c r="B21" i="24" s="1"/>
  <c r="AT7" i="18"/>
  <c r="B20" i="24" s="1"/>
  <c r="AT6" i="18"/>
  <c r="B19" i="24" s="1"/>
  <c r="AT5" i="18"/>
  <c r="B18" i="24" s="1"/>
  <c r="AT4" i="18"/>
  <c r="B17" i="24" s="1"/>
  <c r="AP12" i="18"/>
  <c r="AT11" i="18" s="1"/>
  <c r="B24" i="24" s="1"/>
  <c r="AP11" i="18"/>
  <c r="AP16" i="18" s="1"/>
  <c r="AJ25" i="18"/>
  <c r="H25" i="18"/>
  <c r="G25" i="18"/>
  <c r="D25" i="18"/>
  <c r="C25" i="18"/>
  <c r="B25" i="18"/>
  <c r="A25" i="18"/>
  <c r="AJ24" i="18"/>
  <c r="H24" i="18"/>
  <c r="G24" i="18"/>
  <c r="D24" i="18"/>
  <c r="C24" i="18"/>
  <c r="B24" i="18"/>
  <c r="A24" i="18"/>
  <c r="AJ23" i="18"/>
  <c r="H23" i="18"/>
  <c r="G23" i="18"/>
  <c r="D23" i="18"/>
  <c r="C23" i="18"/>
  <c r="B23" i="18"/>
  <c r="A23" i="18"/>
  <c r="AJ22" i="18"/>
  <c r="H22" i="18"/>
  <c r="G22" i="18"/>
  <c r="D22" i="18"/>
  <c r="C22" i="18"/>
  <c r="B22" i="18"/>
  <c r="A22" i="18"/>
  <c r="AJ21" i="18"/>
  <c r="H21" i="18"/>
  <c r="G21" i="18"/>
  <c r="D21" i="18"/>
  <c r="C21" i="18"/>
  <c r="B21" i="18"/>
  <c r="A21" i="18"/>
  <c r="AJ20" i="18"/>
  <c r="H20" i="18"/>
  <c r="G20" i="18"/>
  <c r="D20" i="18"/>
  <c r="C20" i="18"/>
  <c r="B20" i="18"/>
  <c r="A20" i="18"/>
  <c r="AJ19" i="18"/>
  <c r="H19" i="18"/>
  <c r="G19" i="18"/>
  <c r="D19" i="18"/>
  <c r="C19" i="18"/>
  <c r="B19" i="18"/>
  <c r="A19" i="18"/>
  <c r="H18" i="18"/>
  <c r="G18" i="18"/>
  <c r="D18" i="18"/>
  <c r="C18" i="18"/>
  <c r="B18" i="18"/>
  <c r="A18" i="18"/>
  <c r="H17" i="18"/>
  <c r="G17" i="18"/>
  <c r="D17" i="18"/>
  <c r="C17" i="18"/>
  <c r="B17" i="18"/>
  <c r="A17" i="18"/>
  <c r="H16" i="18"/>
  <c r="G16" i="18"/>
  <c r="D16" i="18"/>
  <c r="C16" i="18"/>
  <c r="B16" i="18"/>
  <c r="A16" i="18"/>
  <c r="H15" i="18"/>
  <c r="G15" i="18"/>
  <c r="D15" i="18"/>
  <c r="C15" i="18"/>
  <c r="B15" i="18"/>
  <c r="A15" i="18"/>
  <c r="H14" i="18"/>
  <c r="G14" i="18"/>
  <c r="D14" i="18"/>
  <c r="C14" i="18"/>
  <c r="B14" i="18"/>
  <c r="A14" i="18"/>
  <c r="H13" i="18"/>
  <c r="G13" i="18"/>
  <c r="D13" i="18"/>
  <c r="C13" i="18"/>
  <c r="B13" i="18"/>
  <c r="A13" i="18"/>
  <c r="H12" i="18"/>
  <c r="G12" i="18"/>
  <c r="D12" i="18"/>
  <c r="C12" i="18"/>
  <c r="B12" i="18"/>
  <c r="A12" i="18"/>
  <c r="H11" i="18"/>
  <c r="G11" i="18"/>
  <c r="D11" i="18"/>
  <c r="C11" i="18"/>
  <c r="B11" i="18"/>
  <c r="A11" i="18"/>
  <c r="H10" i="18"/>
  <c r="G10" i="18"/>
  <c r="D10" i="18"/>
  <c r="C10" i="18"/>
  <c r="B10" i="18"/>
  <c r="A10" i="18"/>
  <c r="H9" i="18"/>
  <c r="G9" i="18"/>
  <c r="D9" i="18"/>
  <c r="C9" i="18"/>
  <c r="B9" i="18"/>
  <c r="A9" i="18"/>
  <c r="H8" i="18"/>
  <c r="G8" i="18"/>
  <c r="D8" i="18"/>
  <c r="C8" i="18"/>
  <c r="B8" i="18"/>
  <c r="A8" i="18"/>
  <c r="AJ7" i="18"/>
  <c r="H7" i="18"/>
  <c r="G7" i="18"/>
  <c r="D7" i="18"/>
  <c r="C7" i="18"/>
  <c r="B7" i="18"/>
  <c r="A7" i="18"/>
  <c r="AJ6" i="18"/>
  <c r="H6" i="18"/>
  <c r="G6" i="18"/>
  <c r="D6" i="18"/>
  <c r="C6" i="18"/>
  <c r="B6" i="18"/>
  <c r="A6" i="18"/>
  <c r="AJ5" i="18"/>
  <c r="H5" i="18"/>
  <c r="G5" i="18"/>
  <c r="D5" i="18"/>
  <c r="C5" i="18"/>
  <c r="B5" i="18"/>
  <c r="A5" i="18"/>
  <c r="AJ4" i="18"/>
  <c r="AA4" i="18"/>
  <c r="Y4" i="18"/>
  <c r="T4" i="18"/>
  <c r="S4" i="18"/>
  <c r="R4" i="18"/>
  <c r="Q4" i="18"/>
  <c r="P4" i="18"/>
  <c r="O4" i="18"/>
  <c r="H4" i="18"/>
  <c r="G4" i="18"/>
  <c r="D4" i="18"/>
  <c r="C4" i="18"/>
  <c r="B4" i="18"/>
  <c r="A4" i="18"/>
  <c r="AM9" i="17"/>
  <c r="E9" i="24" s="1"/>
  <c r="AM8" i="17"/>
  <c r="E8" i="24" s="1"/>
  <c r="AM7" i="17"/>
  <c r="E7" i="24" s="1"/>
  <c r="AM6" i="17"/>
  <c r="E6" i="24" s="1"/>
  <c r="AM5" i="17"/>
  <c r="E5" i="24" s="1"/>
  <c r="AM4" i="17"/>
  <c r="E4" i="24" s="1"/>
  <c r="AI12" i="17"/>
  <c r="AM11" i="17" s="1"/>
  <c r="E11" i="24" s="1"/>
  <c r="AI11" i="17"/>
  <c r="AI16" i="17" s="1"/>
  <c r="AC25" i="17"/>
  <c r="M25" i="17"/>
  <c r="L25" i="17"/>
  <c r="I25" i="17"/>
  <c r="K25" i="17" s="1"/>
  <c r="H25" i="17"/>
  <c r="D25" i="17"/>
  <c r="C25" i="17"/>
  <c r="B25" i="17"/>
  <c r="A25" i="17"/>
  <c r="AC24" i="17"/>
  <c r="M24" i="17"/>
  <c r="L24" i="17"/>
  <c r="I24" i="17"/>
  <c r="K24" i="17" s="1"/>
  <c r="H24" i="17"/>
  <c r="D24" i="17"/>
  <c r="C24" i="17"/>
  <c r="B24" i="17"/>
  <c r="A24" i="17"/>
  <c r="AC23" i="17"/>
  <c r="M23" i="17"/>
  <c r="L23" i="17"/>
  <c r="I23" i="17"/>
  <c r="K23" i="17" s="1"/>
  <c r="H23" i="17"/>
  <c r="D23" i="17"/>
  <c r="C23" i="17"/>
  <c r="B23" i="17"/>
  <c r="A23" i="17"/>
  <c r="AC22" i="17"/>
  <c r="M22" i="17"/>
  <c r="L22" i="17"/>
  <c r="I22" i="17"/>
  <c r="J22" i="17" s="1"/>
  <c r="H22" i="17"/>
  <c r="D22" i="17"/>
  <c r="C22" i="17"/>
  <c r="B22" i="17"/>
  <c r="A22" i="17"/>
  <c r="AC21" i="17"/>
  <c r="M21" i="17"/>
  <c r="L21" i="17"/>
  <c r="I21" i="17"/>
  <c r="K21" i="17" s="1"/>
  <c r="H21" i="17"/>
  <c r="D21" i="17"/>
  <c r="C21" i="17"/>
  <c r="B21" i="17"/>
  <c r="A21" i="17"/>
  <c r="AC20" i="17"/>
  <c r="M20" i="17"/>
  <c r="L20" i="17"/>
  <c r="I20" i="17"/>
  <c r="J20" i="17" s="1"/>
  <c r="H20" i="17"/>
  <c r="D20" i="17"/>
  <c r="C20" i="17"/>
  <c r="B20" i="17"/>
  <c r="A20" i="17"/>
  <c r="AC19" i="17"/>
  <c r="M19" i="17"/>
  <c r="L19" i="17"/>
  <c r="I19" i="17"/>
  <c r="K19" i="17" s="1"/>
  <c r="H19" i="17"/>
  <c r="D19" i="17"/>
  <c r="C19" i="17"/>
  <c r="B19" i="17"/>
  <c r="A19" i="17"/>
  <c r="M18" i="17"/>
  <c r="L18" i="17"/>
  <c r="I18" i="17"/>
  <c r="K18" i="17" s="1"/>
  <c r="H18" i="17"/>
  <c r="D18" i="17"/>
  <c r="C18" i="17"/>
  <c r="B18" i="17"/>
  <c r="A18" i="17"/>
  <c r="M17" i="17"/>
  <c r="L17" i="17"/>
  <c r="I17" i="17"/>
  <c r="K17" i="17" s="1"/>
  <c r="H17" i="17"/>
  <c r="D17" i="17"/>
  <c r="C17" i="17"/>
  <c r="B17" i="17"/>
  <c r="A17" i="17"/>
  <c r="M16" i="17"/>
  <c r="L16" i="17"/>
  <c r="I16" i="17"/>
  <c r="J16" i="17" s="1"/>
  <c r="H16" i="17"/>
  <c r="D16" i="17"/>
  <c r="C16" i="17"/>
  <c r="B16" i="17"/>
  <c r="A16" i="17"/>
  <c r="M15" i="17"/>
  <c r="L15" i="17"/>
  <c r="I15" i="17"/>
  <c r="K15" i="17" s="1"/>
  <c r="H15" i="17"/>
  <c r="D15" i="17"/>
  <c r="C15" i="17"/>
  <c r="B15" i="17"/>
  <c r="A15" i="17"/>
  <c r="M14" i="17"/>
  <c r="L14" i="17"/>
  <c r="I14" i="17"/>
  <c r="J14" i="17" s="1"/>
  <c r="H14" i="17"/>
  <c r="D14" i="17"/>
  <c r="C14" i="17"/>
  <c r="B14" i="17"/>
  <c r="A14" i="17"/>
  <c r="M13" i="17"/>
  <c r="L13" i="17"/>
  <c r="I13" i="17"/>
  <c r="K13" i="17" s="1"/>
  <c r="H13" i="17"/>
  <c r="D13" i="17"/>
  <c r="C13" i="17"/>
  <c r="B13" i="17"/>
  <c r="A13" i="17"/>
  <c r="M12" i="17"/>
  <c r="L12" i="17"/>
  <c r="I12" i="17"/>
  <c r="K12" i="17" s="1"/>
  <c r="H12" i="17"/>
  <c r="D12" i="17"/>
  <c r="C12" i="17"/>
  <c r="B12" i="17"/>
  <c r="A12" i="17"/>
  <c r="M11" i="17"/>
  <c r="L11" i="17"/>
  <c r="I11" i="17"/>
  <c r="J11" i="17" s="1"/>
  <c r="H11" i="17"/>
  <c r="D11" i="17"/>
  <c r="C11" i="17"/>
  <c r="B11" i="17"/>
  <c r="A11" i="17"/>
  <c r="M10" i="17"/>
  <c r="L10" i="17"/>
  <c r="I10" i="17"/>
  <c r="K10" i="17" s="1"/>
  <c r="H10" i="17"/>
  <c r="D10" i="17"/>
  <c r="C10" i="17"/>
  <c r="B10" i="17"/>
  <c r="A10" i="17"/>
  <c r="M9" i="17"/>
  <c r="L9" i="17"/>
  <c r="I9" i="17"/>
  <c r="K9" i="17" s="1"/>
  <c r="H9" i="17"/>
  <c r="D9" i="17"/>
  <c r="C9" i="17"/>
  <c r="B9" i="17"/>
  <c r="A9" i="17"/>
  <c r="M8" i="17"/>
  <c r="L8" i="17"/>
  <c r="I8" i="17"/>
  <c r="K8" i="17" s="1"/>
  <c r="H8" i="17"/>
  <c r="D8" i="17"/>
  <c r="C8" i="17"/>
  <c r="B8" i="17"/>
  <c r="A8" i="17"/>
  <c r="AC7" i="17"/>
  <c r="M7" i="17"/>
  <c r="L7" i="17"/>
  <c r="I7" i="17"/>
  <c r="K7" i="17" s="1"/>
  <c r="H7" i="17"/>
  <c r="D7" i="17"/>
  <c r="C7" i="17"/>
  <c r="B7" i="17"/>
  <c r="A7" i="17"/>
  <c r="AC6" i="17"/>
  <c r="M6" i="17"/>
  <c r="L6" i="17"/>
  <c r="I6" i="17"/>
  <c r="K6" i="17" s="1"/>
  <c r="H6" i="17"/>
  <c r="D6" i="17"/>
  <c r="C6" i="17"/>
  <c r="B6" i="17"/>
  <c r="A6" i="17"/>
  <c r="AC5" i="17"/>
  <c r="M5" i="17"/>
  <c r="L5" i="17"/>
  <c r="I5" i="17"/>
  <c r="J5" i="17" s="1"/>
  <c r="H5" i="17"/>
  <c r="D5" i="17"/>
  <c r="C5" i="17"/>
  <c r="B5" i="17"/>
  <c r="A5" i="17"/>
  <c r="AC4" i="17"/>
  <c r="T4" i="17"/>
  <c r="M4" i="17"/>
  <c r="L4" i="17"/>
  <c r="K4" i="17"/>
  <c r="J4" i="17"/>
  <c r="I4" i="17"/>
  <c r="H4" i="17"/>
  <c r="G4" i="17"/>
  <c r="D4" i="17"/>
  <c r="C4" i="17"/>
  <c r="B4" i="17"/>
  <c r="A4" i="17"/>
  <c r="AM9" i="16"/>
  <c r="D9" i="24" s="1"/>
  <c r="AM8" i="16"/>
  <c r="D8" i="24" s="1"/>
  <c r="AM7" i="16"/>
  <c r="D7" i="24" s="1"/>
  <c r="AM6" i="16"/>
  <c r="D6" i="24" s="1"/>
  <c r="AM5" i="16"/>
  <c r="D5" i="24" s="1"/>
  <c r="AM4" i="16"/>
  <c r="D4" i="24" s="1"/>
  <c r="AI12" i="16"/>
  <c r="AM11" i="16" s="1"/>
  <c r="D11" i="24" s="1"/>
  <c r="AI11" i="16"/>
  <c r="AI16" i="16" s="1"/>
  <c r="AC25" i="16"/>
  <c r="M25" i="16"/>
  <c r="L25" i="16"/>
  <c r="I25" i="16"/>
  <c r="K25" i="16" s="1"/>
  <c r="H25" i="16"/>
  <c r="D25" i="16"/>
  <c r="C25" i="16"/>
  <c r="B25" i="16"/>
  <c r="A25" i="16"/>
  <c r="AC24" i="16"/>
  <c r="M24" i="16"/>
  <c r="L24" i="16"/>
  <c r="I24" i="16"/>
  <c r="K24" i="16" s="1"/>
  <c r="H24" i="16"/>
  <c r="D24" i="16"/>
  <c r="C24" i="16"/>
  <c r="B24" i="16"/>
  <c r="A24" i="16"/>
  <c r="AC23" i="16"/>
  <c r="M23" i="16"/>
  <c r="L23" i="16"/>
  <c r="I23" i="16"/>
  <c r="J23" i="16" s="1"/>
  <c r="H23" i="16"/>
  <c r="D23" i="16"/>
  <c r="C23" i="16"/>
  <c r="B23" i="16"/>
  <c r="A23" i="16"/>
  <c r="AC22" i="16"/>
  <c r="M22" i="16"/>
  <c r="L22" i="16"/>
  <c r="I22" i="16"/>
  <c r="K22" i="16" s="1"/>
  <c r="H22" i="16"/>
  <c r="D22" i="16"/>
  <c r="C22" i="16"/>
  <c r="B22" i="16"/>
  <c r="A22" i="16"/>
  <c r="AC21" i="16"/>
  <c r="M21" i="16"/>
  <c r="L21" i="16"/>
  <c r="I21" i="16"/>
  <c r="J21" i="16" s="1"/>
  <c r="H21" i="16"/>
  <c r="D21" i="16"/>
  <c r="C21" i="16"/>
  <c r="B21" i="16"/>
  <c r="A21" i="16"/>
  <c r="AC20" i="16"/>
  <c r="M20" i="16"/>
  <c r="L20" i="16"/>
  <c r="I20" i="16"/>
  <c r="K20" i="16" s="1"/>
  <c r="H20" i="16"/>
  <c r="D20" i="16"/>
  <c r="C20" i="16"/>
  <c r="B20" i="16"/>
  <c r="A20" i="16"/>
  <c r="AC19" i="16"/>
  <c r="M19" i="16"/>
  <c r="L19" i="16"/>
  <c r="I19" i="16"/>
  <c r="J19" i="16" s="1"/>
  <c r="H19" i="16"/>
  <c r="D19" i="16"/>
  <c r="C19" i="16"/>
  <c r="B19" i="16"/>
  <c r="A19" i="16"/>
  <c r="M18" i="16"/>
  <c r="L18" i="16"/>
  <c r="I18" i="16"/>
  <c r="J18" i="16" s="1"/>
  <c r="H18" i="16"/>
  <c r="D18" i="16"/>
  <c r="C18" i="16"/>
  <c r="B18" i="16"/>
  <c r="A18" i="16"/>
  <c r="M17" i="16"/>
  <c r="L17" i="16"/>
  <c r="I17" i="16"/>
  <c r="J17" i="16" s="1"/>
  <c r="H17" i="16"/>
  <c r="D17" i="16"/>
  <c r="C17" i="16"/>
  <c r="B17" i="16"/>
  <c r="A17" i="16"/>
  <c r="M16" i="16"/>
  <c r="L16" i="16"/>
  <c r="I16" i="16"/>
  <c r="K16" i="16" s="1"/>
  <c r="H16" i="16"/>
  <c r="D16" i="16"/>
  <c r="C16" i="16"/>
  <c r="B16" i="16"/>
  <c r="A16" i="16"/>
  <c r="M15" i="16"/>
  <c r="L15" i="16"/>
  <c r="I15" i="16"/>
  <c r="K15" i="16" s="1"/>
  <c r="H15" i="16"/>
  <c r="D15" i="16"/>
  <c r="C15" i="16"/>
  <c r="B15" i="16"/>
  <c r="A15" i="16"/>
  <c r="M14" i="16"/>
  <c r="L14" i="16"/>
  <c r="I14" i="16"/>
  <c r="K14" i="16" s="1"/>
  <c r="H14" i="16"/>
  <c r="D14" i="16"/>
  <c r="C14" i="16"/>
  <c r="B14" i="16"/>
  <c r="A14" i="16"/>
  <c r="M13" i="16"/>
  <c r="L13" i="16"/>
  <c r="I13" i="16"/>
  <c r="K13" i="16" s="1"/>
  <c r="H13" i="16"/>
  <c r="D13" i="16"/>
  <c r="C13" i="16"/>
  <c r="B13" i="16"/>
  <c r="A13" i="16"/>
  <c r="M12" i="16"/>
  <c r="L12" i="16"/>
  <c r="I12" i="16"/>
  <c r="J12" i="16" s="1"/>
  <c r="H12" i="16"/>
  <c r="D12" i="16"/>
  <c r="C12" i="16"/>
  <c r="B12" i="16"/>
  <c r="A12" i="16"/>
  <c r="M11" i="16"/>
  <c r="L11" i="16"/>
  <c r="I11" i="16"/>
  <c r="J11" i="16" s="1"/>
  <c r="H11" i="16"/>
  <c r="D11" i="16"/>
  <c r="C11" i="16"/>
  <c r="B11" i="16"/>
  <c r="A11" i="16"/>
  <c r="M10" i="16"/>
  <c r="L10" i="16"/>
  <c r="I10" i="16"/>
  <c r="J10" i="16" s="1"/>
  <c r="H10" i="16"/>
  <c r="D10" i="16"/>
  <c r="C10" i="16"/>
  <c r="B10" i="16"/>
  <c r="A10" i="16"/>
  <c r="M9" i="16"/>
  <c r="L9" i="16"/>
  <c r="I9" i="16"/>
  <c r="K9" i="16" s="1"/>
  <c r="H9" i="16"/>
  <c r="D9" i="16"/>
  <c r="C9" i="16"/>
  <c r="B9" i="16"/>
  <c r="A9" i="16"/>
  <c r="M8" i="16"/>
  <c r="L8" i="16"/>
  <c r="I8" i="16"/>
  <c r="K8" i="16" s="1"/>
  <c r="H8" i="16"/>
  <c r="D8" i="16"/>
  <c r="C8" i="16"/>
  <c r="B8" i="16"/>
  <c r="A8" i="16"/>
  <c r="AC7" i="16"/>
  <c r="M7" i="16"/>
  <c r="L7" i="16"/>
  <c r="I7" i="16"/>
  <c r="J7" i="16" s="1"/>
  <c r="H7" i="16"/>
  <c r="D7" i="16"/>
  <c r="C7" i="16"/>
  <c r="B7" i="16"/>
  <c r="A7" i="16"/>
  <c r="AC6" i="16"/>
  <c r="M6" i="16"/>
  <c r="L6" i="16"/>
  <c r="I6" i="16"/>
  <c r="K6" i="16" s="1"/>
  <c r="H6" i="16"/>
  <c r="D6" i="16"/>
  <c r="C6" i="16"/>
  <c r="B6" i="16"/>
  <c r="A6" i="16"/>
  <c r="AC5" i="16"/>
  <c r="M5" i="16"/>
  <c r="L5" i="16"/>
  <c r="I5" i="16"/>
  <c r="J5" i="16" s="1"/>
  <c r="H5" i="16"/>
  <c r="D5" i="16"/>
  <c r="C5" i="16"/>
  <c r="B5" i="16"/>
  <c r="A5" i="16"/>
  <c r="AC4" i="16"/>
  <c r="R4" i="16"/>
  <c r="M4" i="16"/>
  <c r="L4" i="16"/>
  <c r="K4" i="16"/>
  <c r="J4" i="16"/>
  <c r="I4" i="16"/>
  <c r="H4" i="16"/>
  <c r="G4" i="16"/>
  <c r="D4" i="16"/>
  <c r="C4" i="16"/>
  <c r="B4" i="16"/>
  <c r="A4" i="16"/>
  <c r="AM9" i="15"/>
  <c r="C9" i="24" s="1"/>
  <c r="AM8" i="15"/>
  <c r="C8" i="24" s="1"/>
  <c r="AM7" i="15"/>
  <c r="C7" i="24" s="1"/>
  <c r="AM6" i="15"/>
  <c r="C6" i="24" s="1"/>
  <c r="AM5" i="15"/>
  <c r="C5" i="24" s="1"/>
  <c r="AM4" i="15"/>
  <c r="C4" i="24" s="1"/>
  <c r="AI12" i="15"/>
  <c r="AM11" i="15" s="1"/>
  <c r="C11" i="24" s="1"/>
  <c r="AI11" i="15"/>
  <c r="AI16" i="15" s="1"/>
  <c r="AC25" i="15"/>
  <c r="M25" i="15"/>
  <c r="L25" i="15"/>
  <c r="I25" i="15"/>
  <c r="J25" i="15" s="1"/>
  <c r="H25" i="15"/>
  <c r="D25" i="15"/>
  <c r="C25" i="15"/>
  <c r="B25" i="15"/>
  <c r="A25" i="15"/>
  <c r="AC24" i="15"/>
  <c r="M24" i="15"/>
  <c r="L24" i="15"/>
  <c r="I24" i="15"/>
  <c r="J24" i="15" s="1"/>
  <c r="H24" i="15"/>
  <c r="D24" i="15"/>
  <c r="C24" i="15"/>
  <c r="B24" i="15"/>
  <c r="A24" i="15"/>
  <c r="AC23" i="15"/>
  <c r="M23" i="15"/>
  <c r="L23" i="15"/>
  <c r="I23" i="15"/>
  <c r="K23" i="15" s="1"/>
  <c r="H23" i="15"/>
  <c r="D23" i="15"/>
  <c r="C23" i="15"/>
  <c r="B23" i="15"/>
  <c r="A23" i="15"/>
  <c r="AC22" i="15"/>
  <c r="M22" i="15"/>
  <c r="L22" i="15"/>
  <c r="I22" i="15"/>
  <c r="K22" i="15" s="1"/>
  <c r="H22" i="15"/>
  <c r="D22" i="15"/>
  <c r="C22" i="15"/>
  <c r="B22" i="15"/>
  <c r="A22" i="15"/>
  <c r="AC21" i="15"/>
  <c r="M21" i="15"/>
  <c r="L21" i="15"/>
  <c r="I21" i="15"/>
  <c r="J21" i="15" s="1"/>
  <c r="H21" i="15"/>
  <c r="D21" i="15"/>
  <c r="C21" i="15"/>
  <c r="B21" i="15"/>
  <c r="A21" i="15"/>
  <c r="AC20" i="15"/>
  <c r="M20" i="15"/>
  <c r="L20" i="15"/>
  <c r="I20" i="15"/>
  <c r="K20" i="15" s="1"/>
  <c r="H20" i="15"/>
  <c r="D20" i="15"/>
  <c r="C20" i="15"/>
  <c r="B20" i="15"/>
  <c r="A20" i="15"/>
  <c r="AC19" i="15"/>
  <c r="M19" i="15"/>
  <c r="L19" i="15"/>
  <c r="I19" i="15"/>
  <c r="K19" i="15" s="1"/>
  <c r="H19" i="15"/>
  <c r="D19" i="15"/>
  <c r="C19" i="15"/>
  <c r="B19" i="15"/>
  <c r="A19" i="15"/>
  <c r="M18" i="15"/>
  <c r="L18" i="15"/>
  <c r="I18" i="15"/>
  <c r="K18" i="15" s="1"/>
  <c r="H18" i="15"/>
  <c r="D18" i="15"/>
  <c r="C18" i="15"/>
  <c r="B18" i="15"/>
  <c r="A18" i="15"/>
  <c r="M17" i="15"/>
  <c r="L17" i="15"/>
  <c r="I17" i="15"/>
  <c r="K17" i="15" s="1"/>
  <c r="H17" i="15"/>
  <c r="D17" i="15"/>
  <c r="C17" i="15"/>
  <c r="B17" i="15"/>
  <c r="A17" i="15"/>
  <c r="M16" i="15"/>
  <c r="L16" i="15"/>
  <c r="I16" i="15"/>
  <c r="K16" i="15" s="1"/>
  <c r="H16" i="15"/>
  <c r="D16" i="15"/>
  <c r="C16" i="15"/>
  <c r="B16" i="15"/>
  <c r="A16" i="15"/>
  <c r="M15" i="15"/>
  <c r="L15" i="15"/>
  <c r="I15" i="15"/>
  <c r="J15" i="15" s="1"/>
  <c r="H15" i="15"/>
  <c r="D15" i="15"/>
  <c r="C15" i="15"/>
  <c r="B15" i="15"/>
  <c r="A15" i="15"/>
  <c r="M14" i="15"/>
  <c r="L14" i="15"/>
  <c r="I14" i="15"/>
  <c r="J14" i="15" s="1"/>
  <c r="H14" i="15"/>
  <c r="D14" i="15"/>
  <c r="C14" i="15"/>
  <c r="B14" i="15"/>
  <c r="A14" i="15"/>
  <c r="M13" i="15"/>
  <c r="L13" i="15"/>
  <c r="I13" i="15"/>
  <c r="K13" i="15" s="1"/>
  <c r="H13" i="15"/>
  <c r="D13" i="15"/>
  <c r="C13" i="15"/>
  <c r="B13" i="15"/>
  <c r="A13" i="15"/>
  <c r="M12" i="15"/>
  <c r="L12" i="15"/>
  <c r="I12" i="15"/>
  <c r="J12" i="15" s="1"/>
  <c r="H12" i="15"/>
  <c r="D12" i="15"/>
  <c r="C12" i="15"/>
  <c r="B12" i="15"/>
  <c r="A12" i="15"/>
  <c r="M11" i="15"/>
  <c r="L11" i="15"/>
  <c r="I11" i="15"/>
  <c r="K11" i="15" s="1"/>
  <c r="H11" i="15"/>
  <c r="D11" i="15"/>
  <c r="C11" i="15"/>
  <c r="B11" i="15"/>
  <c r="A11" i="15"/>
  <c r="M10" i="15"/>
  <c r="L10" i="15"/>
  <c r="I10" i="15"/>
  <c r="K10" i="15" s="1"/>
  <c r="H10" i="15"/>
  <c r="D10" i="15"/>
  <c r="C10" i="15"/>
  <c r="B10" i="15"/>
  <c r="A10" i="15"/>
  <c r="M9" i="15"/>
  <c r="L9" i="15"/>
  <c r="I9" i="15"/>
  <c r="K9" i="15" s="1"/>
  <c r="H9" i="15"/>
  <c r="D9" i="15"/>
  <c r="C9" i="15"/>
  <c r="B9" i="15"/>
  <c r="A9" i="15"/>
  <c r="M8" i="15"/>
  <c r="L8" i="15"/>
  <c r="I8" i="15"/>
  <c r="J8" i="15" s="1"/>
  <c r="H8" i="15"/>
  <c r="D8" i="15"/>
  <c r="C8" i="15"/>
  <c r="B8" i="15"/>
  <c r="A8" i="15"/>
  <c r="AC7" i="15"/>
  <c r="M7" i="15"/>
  <c r="L7" i="15"/>
  <c r="I7" i="15"/>
  <c r="J7" i="15" s="1"/>
  <c r="H7" i="15"/>
  <c r="D7" i="15"/>
  <c r="C7" i="15"/>
  <c r="B7" i="15"/>
  <c r="A7" i="15"/>
  <c r="AC6" i="15"/>
  <c r="M6" i="15"/>
  <c r="L6" i="15"/>
  <c r="I6" i="15"/>
  <c r="J6" i="15" s="1"/>
  <c r="H6" i="15"/>
  <c r="D6" i="15"/>
  <c r="C6" i="15"/>
  <c r="B6" i="15"/>
  <c r="A6" i="15"/>
  <c r="AC5" i="15"/>
  <c r="M5" i="15"/>
  <c r="L5" i="15"/>
  <c r="I5" i="15"/>
  <c r="K5" i="15" s="1"/>
  <c r="H5" i="15"/>
  <c r="D5" i="15"/>
  <c r="C5" i="15"/>
  <c r="B5" i="15"/>
  <c r="A5" i="15"/>
  <c r="AC4" i="15"/>
  <c r="T4" i="15"/>
  <c r="R4" i="15"/>
  <c r="M4" i="15"/>
  <c r="L4" i="15"/>
  <c r="K4" i="15"/>
  <c r="J4" i="15"/>
  <c r="I4" i="15"/>
  <c r="H4" i="15"/>
  <c r="G4" i="15"/>
  <c r="D4" i="15"/>
  <c r="C4" i="15"/>
  <c r="B4" i="15"/>
  <c r="A4" i="15"/>
  <c r="AM9" i="14"/>
  <c r="B9" i="24" s="1"/>
  <c r="AM8" i="14"/>
  <c r="B8" i="24" s="1"/>
  <c r="AM7" i="14"/>
  <c r="B7" i="24" s="1"/>
  <c r="AM6" i="14"/>
  <c r="B6" i="24" s="1"/>
  <c r="AM5" i="14"/>
  <c r="B5" i="24" s="1"/>
  <c r="AM4" i="14"/>
  <c r="B4" i="24" s="1"/>
  <c r="AI12" i="14"/>
  <c r="AM11" i="14" s="1"/>
  <c r="B11" i="24" s="1"/>
  <c r="AI11" i="14"/>
  <c r="AI16" i="14" s="1"/>
  <c r="AC25" i="14"/>
  <c r="M25" i="14"/>
  <c r="L25" i="14"/>
  <c r="I25" i="14"/>
  <c r="K25" i="14" s="1"/>
  <c r="H25" i="14"/>
  <c r="D25" i="14"/>
  <c r="C25" i="14"/>
  <c r="B25" i="14"/>
  <c r="A25" i="14"/>
  <c r="AC24" i="14"/>
  <c r="M24" i="14"/>
  <c r="L24" i="14"/>
  <c r="I24" i="14"/>
  <c r="K24" i="14" s="1"/>
  <c r="H24" i="14"/>
  <c r="D24" i="14"/>
  <c r="C24" i="14"/>
  <c r="B24" i="14"/>
  <c r="A24" i="14"/>
  <c r="AC23" i="14"/>
  <c r="M23" i="14"/>
  <c r="L23" i="14"/>
  <c r="I23" i="14"/>
  <c r="J23" i="14" s="1"/>
  <c r="H23" i="14"/>
  <c r="D23" i="14"/>
  <c r="C23" i="14"/>
  <c r="B23" i="14"/>
  <c r="A23" i="14"/>
  <c r="AC22" i="14"/>
  <c r="M22" i="14"/>
  <c r="L22" i="14"/>
  <c r="I22" i="14"/>
  <c r="K22" i="14" s="1"/>
  <c r="H22" i="14"/>
  <c r="D22" i="14"/>
  <c r="C22" i="14"/>
  <c r="B22" i="14"/>
  <c r="A22" i="14"/>
  <c r="AC21" i="14"/>
  <c r="M21" i="14"/>
  <c r="L21" i="14"/>
  <c r="I21" i="14"/>
  <c r="K21" i="14" s="1"/>
  <c r="H21" i="14"/>
  <c r="D21" i="14"/>
  <c r="C21" i="14"/>
  <c r="B21" i="14"/>
  <c r="A21" i="14"/>
  <c r="AC20" i="14"/>
  <c r="M20" i="14"/>
  <c r="L20" i="14"/>
  <c r="I20" i="14"/>
  <c r="K20" i="14" s="1"/>
  <c r="H20" i="14"/>
  <c r="D20" i="14"/>
  <c r="C20" i="14"/>
  <c r="B20" i="14"/>
  <c r="A20" i="14"/>
  <c r="AC19" i="14"/>
  <c r="M19" i="14"/>
  <c r="L19" i="14"/>
  <c r="I19" i="14"/>
  <c r="J19" i="14" s="1"/>
  <c r="H19" i="14"/>
  <c r="D19" i="14"/>
  <c r="C19" i="14"/>
  <c r="B19" i="14"/>
  <c r="A19" i="14"/>
  <c r="M18" i="14"/>
  <c r="L18" i="14"/>
  <c r="I18" i="14"/>
  <c r="J18" i="14" s="1"/>
  <c r="H18" i="14"/>
  <c r="D18" i="14"/>
  <c r="C18" i="14"/>
  <c r="B18" i="14"/>
  <c r="A18" i="14"/>
  <c r="M17" i="14"/>
  <c r="L17" i="14"/>
  <c r="I17" i="14"/>
  <c r="J17" i="14" s="1"/>
  <c r="H17" i="14"/>
  <c r="D17" i="14"/>
  <c r="C17" i="14"/>
  <c r="B17" i="14"/>
  <c r="A17" i="14"/>
  <c r="M16" i="14"/>
  <c r="L16" i="14"/>
  <c r="I16" i="14"/>
  <c r="J16" i="14" s="1"/>
  <c r="H16" i="14"/>
  <c r="D16" i="14"/>
  <c r="C16" i="14"/>
  <c r="B16" i="14"/>
  <c r="A16" i="14"/>
  <c r="M15" i="14"/>
  <c r="L15" i="14"/>
  <c r="I15" i="14"/>
  <c r="K15" i="14" s="1"/>
  <c r="H15" i="14"/>
  <c r="D15" i="14"/>
  <c r="C15" i="14"/>
  <c r="B15" i="14"/>
  <c r="A15" i="14"/>
  <c r="M14" i="14"/>
  <c r="L14" i="14"/>
  <c r="I14" i="14"/>
  <c r="J14" i="14" s="1"/>
  <c r="H14" i="14"/>
  <c r="D14" i="14"/>
  <c r="C14" i="14"/>
  <c r="B14" i="14"/>
  <c r="A14" i="14"/>
  <c r="M13" i="14"/>
  <c r="L13" i="14"/>
  <c r="I13" i="14"/>
  <c r="K13" i="14" s="1"/>
  <c r="H13" i="14"/>
  <c r="D13" i="14"/>
  <c r="C13" i="14"/>
  <c r="B13" i="14"/>
  <c r="A13" i="14"/>
  <c r="M12" i="14"/>
  <c r="L12" i="14"/>
  <c r="I12" i="14"/>
  <c r="J12" i="14" s="1"/>
  <c r="H12" i="14"/>
  <c r="D12" i="14"/>
  <c r="C12" i="14"/>
  <c r="B12" i="14"/>
  <c r="A12" i="14"/>
  <c r="M11" i="14"/>
  <c r="L11" i="14"/>
  <c r="I11" i="14"/>
  <c r="K11" i="14" s="1"/>
  <c r="H11" i="14"/>
  <c r="D11" i="14"/>
  <c r="C11" i="14"/>
  <c r="B11" i="14"/>
  <c r="A11" i="14"/>
  <c r="M10" i="14"/>
  <c r="L10" i="14"/>
  <c r="I10" i="14"/>
  <c r="K10" i="14" s="1"/>
  <c r="H10" i="14"/>
  <c r="D10" i="14"/>
  <c r="C10" i="14"/>
  <c r="B10" i="14"/>
  <c r="A10" i="14"/>
  <c r="M9" i="14"/>
  <c r="L9" i="14"/>
  <c r="I9" i="14"/>
  <c r="J9" i="14" s="1"/>
  <c r="H9" i="14"/>
  <c r="D9" i="14"/>
  <c r="C9" i="14"/>
  <c r="B9" i="14"/>
  <c r="A9" i="14"/>
  <c r="M8" i="14"/>
  <c r="L8" i="14"/>
  <c r="I8" i="14"/>
  <c r="K8" i="14" s="1"/>
  <c r="H8" i="14"/>
  <c r="D8" i="14"/>
  <c r="C8" i="14"/>
  <c r="B8" i="14"/>
  <c r="A8" i="14"/>
  <c r="AC7" i="14"/>
  <c r="M7" i="14"/>
  <c r="L7" i="14"/>
  <c r="I7" i="14"/>
  <c r="K7" i="14" s="1"/>
  <c r="H7" i="14"/>
  <c r="D7" i="14"/>
  <c r="C7" i="14"/>
  <c r="B7" i="14"/>
  <c r="A7" i="14"/>
  <c r="AC6" i="14"/>
  <c r="M6" i="14"/>
  <c r="L6" i="14"/>
  <c r="I6" i="14"/>
  <c r="K6" i="14" s="1"/>
  <c r="H6" i="14"/>
  <c r="D6" i="14"/>
  <c r="C6" i="14"/>
  <c r="B6" i="14"/>
  <c r="A6" i="14"/>
  <c r="AC5" i="14"/>
  <c r="M5" i="14"/>
  <c r="L5" i="14"/>
  <c r="I5" i="14"/>
  <c r="J5" i="14" s="1"/>
  <c r="H5" i="14"/>
  <c r="D5" i="14"/>
  <c r="C5" i="14"/>
  <c r="B5" i="14"/>
  <c r="A5" i="14"/>
  <c r="AC4" i="14"/>
  <c r="T4" i="14"/>
  <c r="R4" i="14"/>
  <c r="M4" i="14"/>
  <c r="L4" i="14"/>
  <c r="K4" i="14"/>
  <c r="J4" i="14"/>
  <c r="I4" i="14"/>
  <c r="H4" i="14"/>
  <c r="G4" i="14"/>
  <c r="D4" i="14"/>
  <c r="C4" i="14"/>
  <c r="B4" i="14"/>
  <c r="A4" i="14"/>
  <c r="E25" i="2"/>
  <c r="D25" i="2"/>
  <c r="C25" i="2"/>
  <c r="B25" i="2"/>
  <c r="A25" i="2"/>
  <c r="E24" i="2"/>
  <c r="D24" i="2"/>
  <c r="C24" i="2"/>
  <c r="B24" i="2"/>
  <c r="A24" i="2"/>
  <c r="E23" i="2"/>
  <c r="D23" i="2"/>
  <c r="C23" i="2"/>
  <c r="B23" i="2"/>
  <c r="A23" i="2"/>
  <c r="E22" i="2"/>
  <c r="D22" i="2"/>
  <c r="C22" i="2"/>
  <c r="B22" i="2"/>
  <c r="A22" i="2"/>
  <c r="E21" i="2"/>
  <c r="D21" i="2"/>
  <c r="C21" i="2"/>
  <c r="B21" i="2"/>
  <c r="A21" i="2"/>
  <c r="E20" i="2"/>
  <c r="D20" i="2"/>
  <c r="C20" i="2"/>
  <c r="B20" i="2"/>
  <c r="A20" i="2"/>
  <c r="E19" i="2"/>
  <c r="D19" i="2"/>
  <c r="C19" i="2"/>
  <c r="B19" i="2"/>
  <c r="A19" i="2"/>
  <c r="E18" i="2"/>
  <c r="D18" i="2"/>
  <c r="C18" i="2"/>
  <c r="B18" i="2"/>
  <c r="A18" i="2"/>
  <c r="E17" i="2"/>
  <c r="D17" i="2"/>
  <c r="C17" i="2"/>
  <c r="B17" i="2"/>
  <c r="A17" i="2"/>
  <c r="E16" i="2"/>
  <c r="D16" i="2"/>
  <c r="C16" i="2"/>
  <c r="B16" i="2"/>
  <c r="A16" i="2"/>
  <c r="E15" i="2"/>
  <c r="D15" i="2"/>
  <c r="C15" i="2"/>
  <c r="B15" i="2"/>
  <c r="A15" i="2"/>
  <c r="E14" i="2"/>
  <c r="D14" i="2"/>
  <c r="C14" i="2"/>
  <c r="B14" i="2"/>
  <c r="A14" i="2"/>
  <c r="E13" i="2"/>
  <c r="D13" i="2"/>
  <c r="C13" i="2"/>
  <c r="B13" i="2"/>
  <c r="A13" i="2"/>
  <c r="E12" i="2"/>
  <c r="D12" i="2"/>
  <c r="C12" i="2"/>
  <c r="B12" i="2"/>
  <c r="A12" i="2"/>
  <c r="E11" i="2"/>
  <c r="D11" i="2"/>
  <c r="C11" i="2"/>
  <c r="B11" i="2"/>
  <c r="A11" i="2"/>
  <c r="E10" i="2"/>
  <c r="D10" i="2"/>
  <c r="C10" i="2"/>
  <c r="B10" i="2"/>
  <c r="A10" i="2"/>
  <c r="E9" i="2"/>
  <c r="D9" i="2"/>
  <c r="C9" i="2"/>
  <c r="B9" i="2"/>
  <c r="A9" i="2"/>
  <c r="E8" i="2"/>
  <c r="D8" i="2"/>
  <c r="C8" i="2"/>
  <c r="B8" i="2"/>
  <c r="A8" i="2"/>
  <c r="E7" i="2"/>
  <c r="D7" i="2"/>
  <c r="C7" i="2"/>
  <c r="B7" i="2"/>
  <c r="A7" i="2"/>
  <c r="E6" i="2"/>
  <c r="D6" i="2"/>
  <c r="C6" i="2"/>
  <c r="B6" i="2"/>
  <c r="A6" i="2"/>
  <c r="E5" i="2"/>
  <c r="D5" i="2"/>
  <c r="C5" i="2"/>
  <c r="B5" i="2"/>
  <c r="A5" i="2"/>
  <c r="D4" i="2"/>
  <c r="C4" i="2"/>
  <c r="B4" i="2"/>
  <c r="A4" i="2"/>
  <c r="M20" i="1"/>
  <c r="M11" i="1"/>
  <c r="T16" i="14" l="1"/>
  <c r="T17" i="14"/>
  <c r="CW15" i="23"/>
  <c r="AB4" i="23"/>
  <c r="CW14" i="23"/>
  <c r="AX4" i="23"/>
  <c r="BA4" i="23" s="1"/>
  <c r="BT4" i="23"/>
  <c r="BW4" i="23" s="1"/>
  <c r="CP4" i="23"/>
  <c r="CS4" i="23" s="1"/>
  <c r="DA10" i="23"/>
  <c r="F23" i="24" s="1"/>
  <c r="J16" i="22"/>
  <c r="AC16" i="22" s="1"/>
  <c r="K23" i="22"/>
  <c r="AD23" i="22" s="1"/>
  <c r="AH23" i="22" s="1"/>
  <c r="J21" i="22"/>
  <c r="W21" i="22" s="1"/>
  <c r="J14" i="22"/>
  <c r="X14" i="22" s="1"/>
  <c r="J13" i="22"/>
  <c r="AC13" i="22" s="1"/>
  <c r="K9" i="22"/>
  <c r="AD9" i="22" s="1"/>
  <c r="AH9" i="22" s="1"/>
  <c r="K5" i="22"/>
  <c r="AD5" i="22" s="1"/>
  <c r="AH5" i="22" s="1"/>
  <c r="K6" i="22"/>
  <c r="AD6" i="22" s="1"/>
  <c r="AH6" i="22" s="1"/>
  <c r="X5" i="22"/>
  <c r="U5" i="22"/>
  <c r="AD4" i="22"/>
  <c r="AH4" i="22" s="1"/>
  <c r="AD24" i="22"/>
  <c r="AH24" i="22" s="1"/>
  <c r="AD16" i="22"/>
  <c r="AH16" i="22" s="1"/>
  <c r="AD15" i="22"/>
  <c r="AF15" i="22" s="1"/>
  <c r="AD7" i="22"/>
  <c r="AH7" i="22" s="1"/>
  <c r="X8" i="22"/>
  <c r="AC8" i="22"/>
  <c r="T23" i="22"/>
  <c r="R23" i="22"/>
  <c r="K8" i="22"/>
  <c r="AD8" i="22" s="1"/>
  <c r="AH8" i="22" s="1"/>
  <c r="AD19" i="22"/>
  <c r="AH19" i="22" s="1"/>
  <c r="AD11" i="22"/>
  <c r="AH11" i="22" s="1"/>
  <c r="AD21" i="22"/>
  <c r="AH21" i="22" s="1"/>
  <c r="AD25" i="22"/>
  <c r="AH25" i="22" s="1"/>
  <c r="J24" i="22"/>
  <c r="T24" i="22" s="1"/>
  <c r="J19" i="22"/>
  <c r="AP16" i="22"/>
  <c r="AC5" i="22"/>
  <c r="AD17" i="22"/>
  <c r="AH17" i="22" s="1"/>
  <c r="J25" i="22"/>
  <c r="AD13" i="22"/>
  <c r="AH13" i="22" s="1"/>
  <c r="K20" i="22"/>
  <c r="AD20" i="22" s="1"/>
  <c r="AF20" i="22" s="1"/>
  <c r="T22" i="22"/>
  <c r="R22" i="22"/>
  <c r="W22" i="22"/>
  <c r="U22" i="22"/>
  <c r="AC22" i="22"/>
  <c r="X22" i="22"/>
  <c r="W9" i="22"/>
  <c r="U9" i="22"/>
  <c r="X9" i="22"/>
  <c r="T9" i="22"/>
  <c r="R9" i="22"/>
  <c r="AC9" i="22"/>
  <c r="AD10" i="22"/>
  <c r="AH10" i="22" s="1"/>
  <c r="AD18" i="22"/>
  <c r="U6" i="22"/>
  <c r="T6" i="22"/>
  <c r="W6" i="22"/>
  <c r="R6" i="22"/>
  <c r="AC6" i="22"/>
  <c r="X6" i="22"/>
  <c r="X20" i="22"/>
  <c r="W20" i="22"/>
  <c r="U20" i="22"/>
  <c r="T20" i="22"/>
  <c r="R20" i="22"/>
  <c r="AC20" i="22"/>
  <c r="AD12" i="22"/>
  <c r="AH12" i="22" s="1"/>
  <c r="J10" i="22"/>
  <c r="J15" i="22"/>
  <c r="K22" i="22"/>
  <c r="AD22" i="22" s="1"/>
  <c r="AF22" i="22" s="1"/>
  <c r="R5" i="22"/>
  <c r="AD14" i="22"/>
  <c r="AH14" i="22" s="1"/>
  <c r="U23" i="22"/>
  <c r="T5" i="22"/>
  <c r="W23" i="22"/>
  <c r="J7" i="22"/>
  <c r="J17" i="22"/>
  <c r="X23" i="22"/>
  <c r="W5" i="22"/>
  <c r="R8" i="22"/>
  <c r="J11" i="22"/>
  <c r="J18" i="22"/>
  <c r="AT10" i="22"/>
  <c r="F10" i="24" s="1"/>
  <c r="T8" i="22"/>
  <c r="U8" i="22"/>
  <c r="J12" i="22"/>
  <c r="AC23" i="22"/>
  <c r="AP14" i="22"/>
  <c r="W8" i="22"/>
  <c r="AP14" i="21"/>
  <c r="AP15" i="21"/>
  <c r="AP16" i="21"/>
  <c r="AT11" i="21"/>
  <c r="E24" i="24" s="1"/>
  <c r="AB4" i="21"/>
  <c r="AP14" i="20"/>
  <c r="AP15" i="20"/>
  <c r="AT10" i="20"/>
  <c r="D23" i="24" s="1"/>
  <c r="AT11" i="20"/>
  <c r="D24" i="24" s="1"/>
  <c r="AB4" i="20"/>
  <c r="AP15" i="19"/>
  <c r="AB4" i="19"/>
  <c r="AP14" i="19"/>
  <c r="AP16" i="19"/>
  <c r="AT10" i="19"/>
  <c r="C23" i="24" s="1"/>
  <c r="AT10" i="18"/>
  <c r="B23" i="24" s="1"/>
  <c r="AB4" i="18"/>
  <c r="AF4" i="18" s="1"/>
  <c r="AP15" i="18"/>
  <c r="AP14" i="18"/>
  <c r="T11" i="17"/>
  <c r="K20" i="17"/>
  <c r="U20" i="17" s="1"/>
  <c r="X20" i="17" s="1"/>
  <c r="J21" i="17"/>
  <c r="T21" i="17" s="1"/>
  <c r="K5" i="17"/>
  <c r="U5" i="17" s="1"/>
  <c r="J8" i="17"/>
  <c r="T8" i="17" s="1"/>
  <c r="K16" i="17"/>
  <c r="J15" i="17"/>
  <c r="T15" i="17" s="1"/>
  <c r="K14" i="17"/>
  <c r="U14" i="17" s="1"/>
  <c r="Y14" i="17" s="1"/>
  <c r="K11" i="17"/>
  <c r="U11" i="17" s="1"/>
  <c r="Y11" i="17" s="1"/>
  <c r="T5" i="17"/>
  <c r="AI14" i="17"/>
  <c r="U9" i="17"/>
  <c r="X9" i="17" s="1"/>
  <c r="U24" i="17"/>
  <c r="Y24" i="17" s="1"/>
  <c r="U4" i="17"/>
  <c r="Y4" i="17" s="1"/>
  <c r="U13" i="17"/>
  <c r="Y13" i="17" s="1"/>
  <c r="U10" i="17"/>
  <c r="U7" i="17"/>
  <c r="Y7" i="17" s="1"/>
  <c r="J12" i="17"/>
  <c r="T12" i="17" s="1"/>
  <c r="T14" i="17"/>
  <c r="U21" i="17"/>
  <c r="Y21" i="17" s="1"/>
  <c r="AI15" i="17"/>
  <c r="U8" i="17"/>
  <c r="X8" i="17" s="1"/>
  <c r="K22" i="17"/>
  <c r="U22" i="17" s="1"/>
  <c r="U23" i="17"/>
  <c r="Y23" i="17" s="1"/>
  <c r="J6" i="17"/>
  <c r="T6" i="17" s="1"/>
  <c r="U12" i="17"/>
  <c r="Y12" i="17" s="1"/>
  <c r="U19" i="17"/>
  <c r="T16" i="17"/>
  <c r="T20" i="17"/>
  <c r="T22" i="17"/>
  <c r="U25" i="17"/>
  <c r="Y25" i="17" s="1"/>
  <c r="J17" i="17"/>
  <c r="J10" i="17"/>
  <c r="J23" i="17"/>
  <c r="J7" i="17"/>
  <c r="J19" i="17"/>
  <c r="J25" i="17"/>
  <c r="U6" i="17"/>
  <c r="Y6" i="17" s="1"/>
  <c r="J9" i="17"/>
  <c r="AM10" i="17"/>
  <c r="E10" i="24" s="1"/>
  <c r="U18" i="17"/>
  <c r="Y18" i="17" s="1"/>
  <c r="U15" i="17"/>
  <c r="Y15" i="17" s="1"/>
  <c r="J18" i="17"/>
  <c r="J24" i="17"/>
  <c r="J13" i="17"/>
  <c r="U17" i="17"/>
  <c r="J22" i="16"/>
  <c r="U15" i="16"/>
  <c r="Y15" i="16" s="1"/>
  <c r="J16" i="16"/>
  <c r="J9" i="16"/>
  <c r="R9" i="16" s="1"/>
  <c r="K5" i="16"/>
  <c r="U5" i="16" s="1"/>
  <c r="Y5" i="16" s="1"/>
  <c r="U14" i="16"/>
  <c r="X14" i="16" s="1"/>
  <c r="AI14" i="16"/>
  <c r="U13" i="16"/>
  <c r="U4" i="16"/>
  <c r="K19" i="16"/>
  <c r="U19" i="16" s="1"/>
  <c r="Y19" i="16" s="1"/>
  <c r="K17" i="16"/>
  <c r="U17" i="16" s="1"/>
  <c r="Y17" i="16" s="1"/>
  <c r="J20" i="16"/>
  <c r="J8" i="16"/>
  <c r="R8" i="16" s="1"/>
  <c r="R5" i="16"/>
  <c r="K11" i="16"/>
  <c r="U11" i="16" s="1"/>
  <c r="Y11" i="16" s="1"/>
  <c r="K12" i="16"/>
  <c r="U12" i="16" s="1"/>
  <c r="X12" i="16" s="1"/>
  <c r="U24" i="16"/>
  <c r="Y24" i="16" s="1"/>
  <c r="J25" i="16"/>
  <c r="R10" i="16"/>
  <c r="R23" i="16"/>
  <c r="R17" i="16"/>
  <c r="R7" i="16"/>
  <c r="R18" i="16"/>
  <c r="R11" i="16"/>
  <c r="R12" i="16"/>
  <c r="R21" i="16"/>
  <c r="R19" i="16"/>
  <c r="J13" i="16"/>
  <c r="K18" i="16"/>
  <c r="U18" i="16" s="1"/>
  <c r="Y18" i="16" s="1"/>
  <c r="AI15" i="16"/>
  <c r="K7" i="16"/>
  <c r="U7" i="16" s="1"/>
  <c r="Y7" i="16" s="1"/>
  <c r="U20" i="16"/>
  <c r="U6" i="16"/>
  <c r="Y6" i="16" s="1"/>
  <c r="U9" i="16"/>
  <c r="Y9" i="16" s="1"/>
  <c r="J6" i="16"/>
  <c r="K23" i="16"/>
  <c r="U23" i="16" s="1"/>
  <c r="Y23" i="16" s="1"/>
  <c r="J14" i="16"/>
  <c r="U16" i="16"/>
  <c r="Y16" i="16" s="1"/>
  <c r="U8" i="16"/>
  <c r="Y8" i="16" s="1"/>
  <c r="U22" i="16"/>
  <c r="Y22" i="16" s="1"/>
  <c r="U25" i="16"/>
  <c r="Y25" i="16" s="1"/>
  <c r="AM10" i="16"/>
  <c r="D10" i="24" s="1"/>
  <c r="K10" i="16"/>
  <c r="U10" i="16" s="1"/>
  <c r="Y10" i="16" s="1"/>
  <c r="J15" i="16"/>
  <c r="K21" i="16"/>
  <c r="U21" i="16" s="1"/>
  <c r="Y21" i="16" s="1"/>
  <c r="J24" i="16"/>
  <c r="T7" i="15"/>
  <c r="U23" i="15"/>
  <c r="X23" i="15" s="1"/>
  <c r="K12" i="15"/>
  <c r="U12" i="15" s="1"/>
  <c r="Y12" i="15" s="1"/>
  <c r="U11" i="15"/>
  <c r="X11" i="15" s="1"/>
  <c r="U10" i="15"/>
  <c r="X10" i="15" s="1"/>
  <c r="U9" i="15"/>
  <c r="X9" i="15" s="1"/>
  <c r="K21" i="15"/>
  <c r="U21" i="15" s="1"/>
  <c r="X21" i="15" s="1"/>
  <c r="K14" i="15"/>
  <c r="U14" i="15" s="1"/>
  <c r="X14" i="15" s="1"/>
  <c r="K6" i="15"/>
  <c r="U6" i="15" s="1"/>
  <c r="Y6" i="15" s="1"/>
  <c r="U18" i="15"/>
  <c r="Y18" i="15" s="1"/>
  <c r="T6" i="15"/>
  <c r="K7" i="15"/>
  <c r="U7" i="15" s="1"/>
  <c r="Y7" i="15" s="1"/>
  <c r="AI14" i="15"/>
  <c r="AI15" i="15"/>
  <c r="R6" i="15"/>
  <c r="U19" i="15"/>
  <c r="X19" i="15" s="1"/>
  <c r="U20" i="15"/>
  <c r="X20" i="15" s="1"/>
  <c r="J5" i="15"/>
  <c r="T5" i="15" s="1"/>
  <c r="J18" i="15"/>
  <c r="T18" i="15" s="1"/>
  <c r="U17" i="15"/>
  <c r="X17" i="15" s="1"/>
  <c r="J23" i="15"/>
  <c r="T23" i="15" s="1"/>
  <c r="U13" i="15"/>
  <c r="Y13" i="15" s="1"/>
  <c r="K15" i="15"/>
  <c r="U15" i="15" s="1"/>
  <c r="U16" i="15"/>
  <c r="X16" i="15" s="1"/>
  <c r="K24" i="15"/>
  <c r="U24" i="15" s="1"/>
  <c r="K25" i="15"/>
  <c r="U25" i="15" s="1"/>
  <c r="K8" i="15"/>
  <c r="U8" i="15" s="1"/>
  <c r="Y8" i="15" s="1"/>
  <c r="U22" i="15"/>
  <c r="Y22" i="15" s="1"/>
  <c r="R25" i="15"/>
  <c r="T25" i="15"/>
  <c r="R15" i="15"/>
  <c r="T15" i="15"/>
  <c r="T8" i="15"/>
  <c r="R8" i="15"/>
  <c r="R24" i="15"/>
  <c r="T24" i="15"/>
  <c r="J19" i="15"/>
  <c r="U5" i="15"/>
  <c r="X5" i="15" s="1"/>
  <c r="T12" i="15"/>
  <c r="R14" i="15"/>
  <c r="U4" i="15"/>
  <c r="J9" i="15"/>
  <c r="T14" i="15"/>
  <c r="R7" i="15"/>
  <c r="J11" i="15"/>
  <c r="J17" i="15"/>
  <c r="J20" i="15"/>
  <c r="AM10" i="15"/>
  <c r="C10" i="24" s="1"/>
  <c r="J10" i="15"/>
  <c r="R12" i="15"/>
  <c r="J13" i="15"/>
  <c r="J16" i="15"/>
  <c r="R21" i="15"/>
  <c r="J22" i="15"/>
  <c r="T21" i="15"/>
  <c r="T14" i="14"/>
  <c r="J25" i="14"/>
  <c r="T25" i="14" s="1"/>
  <c r="K18" i="14"/>
  <c r="U18" i="14" s="1"/>
  <c r="K19" i="14"/>
  <c r="U19" i="14" s="1"/>
  <c r="K17" i="14"/>
  <c r="U17" i="14" s="1"/>
  <c r="X17" i="14" s="1"/>
  <c r="AB17" i="14" s="1"/>
  <c r="K16" i="14"/>
  <c r="U16" i="14" s="1"/>
  <c r="Y16" i="14" s="1"/>
  <c r="K14" i="14"/>
  <c r="U14" i="14" s="1"/>
  <c r="Y14" i="14" s="1"/>
  <c r="J11" i="14"/>
  <c r="T11" i="14" s="1"/>
  <c r="U6" i="14"/>
  <c r="Y6" i="14" s="1"/>
  <c r="U13" i="14"/>
  <c r="X13" i="14" s="1"/>
  <c r="AI14" i="14"/>
  <c r="U15" i="14"/>
  <c r="K5" i="14"/>
  <c r="U5" i="14" s="1"/>
  <c r="Y5" i="14" s="1"/>
  <c r="U7" i="14"/>
  <c r="Y7" i="14" s="1"/>
  <c r="U10" i="14"/>
  <c r="R18" i="14"/>
  <c r="U21" i="14"/>
  <c r="Y21" i="14" s="1"/>
  <c r="K9" i="14"/>
  <c r="U9" i="14" s="1"/>
  <c r="X9" i="14" s="1"/>
  <c r="T18" i="14"/>
  <c r="U20" i="14"/>
  <c r="Y20" i="14" s="1"/>
  <c r="T5" i="14"/>
  <c r="R5" i="14"/>
  <c r="T12" i="14"/>
  <c r="R12" i="14"/>
  <c r="R19" i="14"/>
  <c r="T19" i="14"/>
  <c r="U22" i="14"/>
  <c r="U24" i="14"/>
  <c r="Y24" i="14" s="1"/>
  <c r="T9" i="14"/>
  <c r="R9" i="14"/>
  <c r="U8" i="14"/>
  <c r="T23" i="14"/>
  <c r="R23" i="14"/>
  <c r="J7" i="14"/>
  <c r="J21" i="14"/>
  <c r="R16" i="14"/>
  <c r="J6" i="14"/>
  <c r="J20" i="14"/>
  <c r="J10" i="14"/>
  <c r="J13" i="14"/>
  <c r="U25" i="14"/>
  <c r="Y25" i="14" s="1"/>
  <c r="U4" i="14"/>
  <c r="AM10" i="14"/>
  <c r="B10" i="24" s="1"/>
  <c r="J24" i="14"/>
  <c r="J8" i="14"/>
  <c r="K12" i="14"/>
  <c r="U12" i="14" s="1"/>
  <c r="X12" i="14" s="1"/>
  <c r="R14" i="14"/>
  <c r="J15" i="14"/>
  <c r="R17" i="14"/>
  <c r="J22" i="14"/>
  <c r="K23" i="14"/>
  <c r="AI15" i="14"/>
  <c r="U11" i="14"/>
  <c r="M3" i="2"/>
  <c r="L3" i="2"/>
  <c r="O2" i="2"/>
  <c r="K3" i="2"/>
  <c r="Q3" i="2"/>
  <c r="P2" i="2"/>
  <c r="M2" i="2"/>
  <c r="O3" i="2"/>
  <c r="Q2" i="2"/>
  <c r="N3" i="2"/>
  <c r="L2" i="2"/>
  <c r="AD4" i="23" l="1"/>
  <c r="AY4" i="23"/>
  <c r="CR4" i="23"/>
  <c r="BV4" i="23"/>
  <c r="AZ4" i="23"/>
  <c r="AE4" i="23"/>
  <c r="AC4" i="23"/>
  <c r="BU4" i="23"/>
  <c r="CQ4" i="23"/>
  <c r="X16" i="22"/>
  <c r="W16" i="22"/>
  <c r="X21" i="22"/>
  <c r="AF4" i="22"/>
  <c r="R21" i="22"/>
  <c r="U16" i="22"/>
  <c r="T16" i="22"/>
  <c r="R16" i="22"/>
  <c r="AF13" i="22"/>
  <c r="U21" i="22"/>
  <c r="R13" i="22"/>
  <c r="U25" i="22"/>
  <c r="U13" i="22"/>
  <c r="AF17" i="22"/>
  <c r="T21" i="22"/>
  <c r="AC21" i="22"/>
  <c r="AE16" i="22"/>
  <c r="T25" i="22"/>
  <c r="W25" i="22"/>
  <c r="AF24" i="22"/>
  <c r="R24" i="22"/>
  <c r="AG24" i="22"/>
  <c r="R19" i="22"/>
  <c r="U19" i="22"/>
  <c r="W19" i="22"/>
  <c r="T19" i="22"/>
  <c r="U14" i="22"/>
  <c r="W14" i="22"/>
  <c r="AC14" i="22"/>
  <c r="R14" i="22"/>
  <c r="T14" i="22"/>
  <c r="X13" i="22"/>
  <c r="W13" i="22"/>
  <c r="T13" i="22"/>
  <c r="AF11" i="22"/>
  <c r="AF7" i="22"/>
  <c r="AG4" i="22"/>
  <c r="AG8" i="22"/>
  <c r="AG16" i="22"/>
  <c r="AE19" i="22"/>
  <c r="AG20" i="22"/>
  <c r="AH15" i="22"/>
  <c r="AG21" i="22"/>
  <c r="AF10" i="22"/>
  <c r="AG9" i="22"/>
  <c r="AH20" i="22"/>
  <c r="AF16" i="22"/>
  <c r="AF12" i="22"/>
  <c r="AF25" i="22"/>
  <c r="AG18" i="22"/>
  <c r="AF9" i="22"/>
  <c r="AG15" i="22"/>
  <c r="AG23" i="22"/>
  <c r="AF21" i="22"/>
  <c r="AG22" i="22"/>
  <c r="AE15" i="22"/>
  <c r="AJ15" i="22" s="1"/>
  <c r="AG6" i="22"/>
  <c r="AF8" i="22"/>
  <c r="AG17" i="22"/>
  <c r="AF5" i="22"/>
  <c r="W24" i="22"/>
  <c r="AE9" i="22"/>
  <c r="AE22" i="22"/>
  <c r="AF6" i="22"/>
  <c r="AG5" i="22"/>
  <c r="AE17" i="22"/>
  <c r="X19" i="22"/>
  <c r="AC19" i="22"/>
  <c r="AG19" i="22"/>
  <c r="AG25" i="22"/>
  <c r="AF23" i="22"/>
  <c r="AG13" i="22"/>
  <c r="AG10" i="22"/>
  <c r="AG7" i="22"/>
  <c r="X25" i="22"/>
  <c r="R25" i="22"/>
  <c r="X24" i="22"/>
  <c r="U24" i="22"/>
  <c r="AE6" i="22"/>
  <c r="AF19" i="22"/>
  <c r="AC25" i="22"/>
  <c r="AC24" i="22"/>
  <c r="AG11" i="22"/>
  <c r="AC7" i="22"/>
  <c r="X7" i="22"/>
  <c r="W7" i="22"/>
  <c r="U7" i="22"/>
  <c r="R7" i="22"/>
  <c r="T7" i="22"/>
  <c r="AE4" i="22"/>
  <c r="AE14" i="22"/>
  <c r="AE5" i="22"/>
  <c r="AE8" i="22"/>
  <c r="AE7" i="22"/>
  <c r="AE13" i="22"/>
  <c r="AG12" i="22"/>
  <c r="AC11" i="22"/>
  <c r="X11" i="22"/>
  <c r="W11" i="22"/>
  <c r="U11" i="22"/>
  <c r="T11" i="22"/>
  <c r="R11" i="22"/>
  <c r="AE25" i="22"/>
  <c r="AE24" i="22"/>
  <c r="AH22" i="22"/>
  <c r="AF14" i="22"/>
  <c r="AE18" i="22"/>
  <c r="AH18" i="22"/>
  <c r="AE21" i="22"/>
  <c r="AF18" i="22"/>
  <c r="AE10" i="22"/>
  <c r="R15" i="22"/>
  <c r="T15" i="22"/>
  <c r="U15" i="22"/>
  <c r="AC15" i="22"/>
  <c r="X15" i="22"/>
  <c r="W15" i="22"/>
  <c r="R10" i="22"/>
  <c r="U10" i="22"/>
  <c r="AC10" i="22"/>
  <c r="X10" i="22"/>
  <c r="W10" i="22"/>
  <c r="T10" i="22"/>
  <c r="AE20" i="22"/>
  <c r="AE23" i="22"/>
  <c r="AC17" i="22"/>
  <c r="X17" i="22"/>
  <c r="W17" i="22"/>
  <c r="U17" i="22"/>
  <c r="T17" i="22"/>
  <c r="R17" i="22"/>
  <c r="AG14" i="22"/>
  <c r="AE11" i="22"/>
  <c r="AE12" i="22"/>
  <c r="AC12" i="22"/>
  <c r="X12" i="22"/>
  <c r="W12" i="22"/>
  <c r="U12" i="22"/>
  <c r="T12" i="22"/>
  <c r="R12" i="22"/>
  <c r="AC18" i="22"/>
  <c r="X18" i="22"/>
  <c r="W18" i="22"/>
  <c r="U18" i="22"/>
  <c r="T18" i="22"/>
  <c r="R18" i="22"/>
  <c r="AC4" i="21"/>
  <c r="AE4" i="21"/>
  <c r="AI4" i="21" s="1"/>
  <c r="AF4" i="21"/>
  <c r="AD4" i="21"/>
  <c r="AF4" i="20"/>
  <c r="AC4" i="20"/>
  <c r="AE4" i="20"/>
  <c r="AD4" i="20"/>
  <c r="AD4" i="19"/>
  <c r="AF4" i="19"/>
  <c r="AC4" i="19"/>
  <c r="AG4" i="19" s="1"/>
  <c r="AE4" i="19"/>
  <c r="AI4" i="19" s="1"/>
  <c r="AE4" i="18"/>
  <c r="AI4" i="18" s="1"/>
  <c r="AC4" i="18"/>
  <c r="AG4" i="18" s="1"/>
  <c r="AD4" i="18"/>
  <c r="V9" i="17"/>
  <c r="X23" i="17"/>
  <c r="V10" i="17"/>
  <c r="V21" i="17"/>
  <c r="V5" i="17"/>
  <c r="V20" i="17"/>
  <c r="Y9" i="17"/>
  <c r="Y20" i="17"/>
  <c r="U16" i="17"/>
  <c r="AB8" i="17"/>
  <c r="W18" i="17"/>
  <c r="AB20" i="17"/>
  <c r="X21" i="17"/>
  <c r="AB21" i="17" s="1"/>
  <c r="X13" i="17"/>
  <c r="W25" i="17"/>
  <c r="W14" i="17"/>
  <c r="V14" i="17"/>
  <c r="V24" i="17"/>
  <c r="X24" i="17"/>
  <c r="W13" i="17"/>
  <c r="Y8" i="17"/>
  <c r="W24" i="17"/>
  <c r="W21" i="17"/>
  <c r="X18" i="17"/>
  <c r="X10" i="17"/>
  <c r="W17" i="17"/>
  <c r="W12" i="17"/>
  <c r="V13" i="17"/>
  <c r="Y10" i="17"/>
  <c r="V6" i="17"/>
  <c r="V23" i="17"/>
  <c r="Y5" i="17"/>
  <c r="V12" i="17"/>
  <c r="W5" i="17"/>
  <c r="X5" i="17"/>
  <c r="AB5" i="17" s="1"/>
  <c r="X14" i="17"/>
  <c r="X4" i="17"/>
  <c r="AB4" i="17" s="1"/>
  <c r="W4" i="17"/>
  <c r="V8" i="17"/>
  <c r="W20" i="17"/>
  <c r="W10" i="17"/>
  <c r="V7" i="17"/>
  <c r="V17" i="17"/>
  <c r="W6" i="17"/>
  <c r="X7" i="17"/>
  <c r="W8" i="17"/>
  <c r="W7" i="17"/>
  <c r="W23" i="17"/>
  <c r="W9" i="17"/>
  <c r="V4" i="17"/>
  <c r="X6" i="17"/>
  <c r="AB6" i="17" s="1"/>
  <c r="W22" i="17"/>
  <c r="Y22" i="17"/>
  <c r="V22" i="17"/>
  <c r="X22" i="17"/>
  <c r="AB22" i="17" s="1"/>
  <c r="V15" i="17"/>
  <c r="V25" i="17"/>
  <c r="T18" i="17"/>
  <c r="X19" i="17"/>
  <c r="Y19" i="17"/>
  <c r="W11" i="17"/>
  <c r="T23" i="17"/>
  <c r="V19" i="17"/>
  <c r="T9" i="17"/>
  <c r="AB9" i="17" s="1"/>
  <c r="W19" i="17"/>
  <c r="V18" i="17"/>
  <c r="T10" i="17"/>
  <c r="T25" i="17"/>
  <c r="V11" i="17"/>
  <c r="T17" i="17"/>
  <c r="X12" i="17"/>
  <c r="AB12" i="17" s="1"/>
  <c r="X17" i="17"/>
  <c r="Y17" i="17"/>
  <c r="T19" i="17"/>
  <c r="X11" i="17"/>
  <c r="AB11" i="17" s="1"/>
  <c r="T13" i="17"/>
  <c r="T7" i="17"/>
  <c r="W15" i="17"/>
  <c r="T24" i="17"/>
  <c r="X25" i="17"/>
  <c r="X15" i="17"/>
  <c r="AB15" i="17" s="1"/>
  <c r="R22" i="16"/>
  <c r="W4" i="16"/>
  <c r="V15" i="16"/>
  <c r="X15" i="16"/>
  <c r="R16" i="16"/>
  <c r="V20" i="16"/>
  <c r="V13" i="16"/>
  <c r="V4" i="16"/>
  <c r="Z4" i="16" s="1"/>
  <c r="X4" i="16"/>
  <c r="Y4" i="16"/>
  <c r="Y14" i="16"/>
  <c r="V14" i="16"/>
  <c r="V8" i="16"/>
  <c r="Z8" i="16" s="1"/>
  <c r="W25" i="16"/>
  <c r="X6" i="16"/>
  <c r="X22" i="16"/>
  <c r="Y12" i="16"/>
  <c r="X24" i="16"/>
  <c r="Y13" i="16"/>
  <c r="W13" i="16"/>
  <c r="X13" i="16"/>
  <c r="W9" i="16"/>
  <c r="X11" i="16"/>
  <c r="V16" i="16"/>
  <c r="W22" i="16"/>
  <c r="X5" i="16"/>
  <c r="W10" i="16"/>
  <c r="V5" i="16"/>
  <c r="Z5" i="16" s="1"/>
  <c r="X23" i="16"/>
  <c r="V12" i="16"/>
  <c r="Z12" i="16" s="1"/>
  <c r="X21" i="16"/>
  <c r="V24" i="16"/>
  <c r="R20" i="16"/>
  <c r="X16" i="16"/>
  <c r="Y20" i="16"/>
  <c r="R25" i="16"/>
  <c r="V11" i="16"/>
  <c r="Z11" i="16" s="1"/>
  <c r="X8" i="16"/>
  <c r="X20" i="16"/>
  <c r="R14" i="16"/>
  <c r="W19" i="16"/>
  <c r="X9" i="16"/>
  <c r="X17" i="16"/>
  <c r="X7" i="16"/>
  <c r="V6" i="16"/>
  <c r="V21" i="16"/>
  <c r="Z21" i="16" s="1"/>
  <c r="V25" i="16"/>
  <c r="X19" i="16"/>
  <c r="X25" i="16"/>
  <c r="W24" i="16"/>
  <c r="V9" i="16"/>
  <c r="Z9" i="16" s="1"/>
  <c r="V17" i="16"/>
  <c r="W12" i="16"/>
  <c r="V22" i="16"/>
  <c r="R6" i="16"/>
  <c r="W17" i="16"/>
  <c r="W21" i="16"/>
  <c r="W5" i="16"/>
  <c r="V23" i="16"/>
  <c r="W15" i="16"/>
  <c r="W11" i="16"/>
  <c r="V10" i="16"/>
  <c r="Z10" i="16" s="1"/>
  <c r="W7" i="16"/>
  <c r="V7" i="16"/>
  <c r="V19" i="16"/>
  <c r="Z19" i="16" s="1"/>
  <c r="W18" i="16"/>
  <c r="W14" i="16"/>
  <c r="R24" i="16"/>
  <c r="W20" i="16"/>
  <c r="R15" i="16"/>
  <c r="X18" i="16"/>
  <c r="W23" i="16"/>
  <c r="W6" i="16"/>
  <c r="W16" i="16"/>
  <c r="X10" i="16"/>
  <c r="V18" i="16"/>
  <c r="W8" i="16"/>
  <c r="R13" i="16"/>
  <c r="Y11" i="15"/>
  <c r="X12" i="15"/>
  <c r="AB12" i="15" s="1"/>
  <c r="X18" i="15"/>
  <c r="AB18" i="15" s="1"/>
  <c r="AB23" i="15"/>
  <c r="Y23" i="15"/>
  <c r="Y10" i="15"/>
  <c r="Y9" i="15"/>
  <c r="X6" i="15"/>
  <c r="AB6" i="15" s="1"/>
  <c r="V6" i="15"/>
  <c r="Z6" i="15" s="1"/>
  <c r="V4" i="15"/>
  <c r="Z4" i="15" s="1"/>
  <c r="W6" i="15"/>
  <c r="Y20" i="15"/>
  <c r="AB14" i="15"/>
  <c r="R5" i="15"/>
  <c r="V12" i="15"/>
  <c r="Z12" i="15" s="1"/>
  <c r="V20" i="15"/>
  <c r="V21" i="15"/>
  <c r="Z21" i="15" s="1"/>
  <c r="Y14" i="15"/>
  <c r="V8" i="15"/>
  <c r="Z8" i="15" s="1"/>
  <c r="X13" i="15"/>
  <c r="V25" i="15"/>
  <c r="Z25" i="15" s="1"/>
  <c r="Y19" i="15"/>
  <c r="V19" i="15"/>
  <c r="V9" i="15"/>
  <c r="Y16" i="15"/>
  <c r="W14" i="15"/>
  <c r="V18" i="15"/>
  <c r="V11" i="15"/>
  <c r="W15" i="15"/>
  <c r="W17" i="15"/>
  <c r="V23" i="15"/>
  <c r="V10" i="15"/>
  <c r="W20" i="15"/>
  <c r="Y4" i="15"/>
  <c r="Y21" i="15"/>
  <c r="W25" i="15"/>
  <c r="W18" i="15"/>
  <c r="V16" i="15"/>
  <c r="V7" i="15"/>
  <c r="Z7" i="15" s="1"/>
  <c r="W7" i="15"/>
  <c r="W21" i="15"/>
  <c r="W19" i="15"/>
  <c r="W23" i="15"/>
  <c r="V14" i="15"/>
  <c r="Z14" i="15" s="1"/>
  <c r="AB21" i="15"/>
  <c r="V17" i="15"/>
  <c r="W16" i="15"/>
  <c r="X7" i="15"/>
  <c r="AB7" i="15" s="1"/>
  <c r="Y17" i="15"/>
  <c r="W24" i="15"/>
  <c r="W5" i="15"/>
  <c r="V13" i="15"/>
  <c r="R23" i="15"/>
  <c r="X8" i="15"/>
  <c r="AB8" i="15" s="1"/>
  <c r="W11" i="15"/>
  <c r="W12" i="15"/>
  <c r="W10" i="15"/>
  <c r="W13" i="15"/>
  <c r="AB5" i="15"/>
  <c r="W8" i="15"/>
  <c r="W9" i="15"/>
  <c r="W22" i="15"/>
  <c r="R18" i="15"/>
  <c r="V15" i="15"/>
  <c r="Z15" i="15" s="1"/>
  <c r="V22" i="15"/>
  <c r="X25" i="15"/>
  <c r="AB25" i="15" s="1"/>
  <c r="Y25" i="15"/>
  <c r="V5" i="15"/>
  <c r="Y5" i="15"/>
  <c r="T22" i="15"/>
  <c r="R22" i="15"/>
  <c r="V24" i="15"/>
  <c r="Y24" i="15"/>
  <c r="R16" i="15"/>
  <c r="T16" i="15"/>
  <c r="AB16" i="15" s="1"/>
  <c r="T19" i="15"/>
  <c r="R19" i="15"/>
  <c r="T13" i="15"/>
  <c r="R13" i="15"/>
  <c r="X4" i="15"/>
  <c r="AB4" i="15" s="1"/>
  <c r="T20" i="15"/>
  <c r="R20" i="15"/>
  <c r="R9" i="15"/>
  <c r="T9" i="15"/>
  <c r="X15" i="15"/>
  <c r="AB15" i="15" s="1"/>
  <c r="Y15" i="15"/>
  <c r="R11" i="15"/>
  <c r="T11" i="15"/>
  <c r="R10" i="15"/>
  <c r="T10" i="15"/>
  <c r="AB10" i="15" s="1"/>
  <c r="R17" i="15"/>
  <c r="T17" i="15"/>
  <c r="AB17" i="15" s="1"/>
  <c r="W4" i="15"/>
  <c r="X24" i="15"/>
  <c r="AB24" i="15" s="1"/>
  <c r="X22" i="15"/>
  <c r="V15" i="14"/>
  <c r="R25" i="14"/>
  <c r="V17" i="14"/>
  <c r="Z17" i="14" s="1"/>
  <c r="X14" i="14"/>
  <c r="AB14" i="14" s="1"/>
  <c r="AB9" i="14"/>
  <c r="V16" i="14"/>
  <c r="Z16" i="14" s="1"/>
  <c r="X16" i="14"/>
  <c r="AB16" i="14" s="1"/>
  <c r="V22" i="14"/>
  <c r="X6" i="14"/>
  <c r="W11" i="14"/>
  <c r="Y13" i="14"/>
  <c r="V6" i="14"/>
  <c r="V19" i="14"/>
  <c r="Z19" i="14" s="1"/>
  <c r="R11" i="14"/>
  <c r="V10" i="14"/>
  <c r="V18" i="14"/>
  <c r="Z18" i="14" s="1"/>
  <c r="AB12" i="14"/>
  <c r="W15" i="14"/>
  <c r="X10" i="14"/>
  <c r="X15" i="14"/>
  <c r="W21" i="14"/>
  <c r="X5" i="14"/>
  <c r="AB5" i="14" s="1"/>
  <c r="W10" i="14"/>
  <c r="W14" i="14"/>
  <c r="X25" i="14"/>
  <c r="AB25" i="14" s="1"/>
  <c r="V8" i="14"/>
  <c r="Y10" i="14"/>
  <c r="V7" i="14"/>
  <c r="W6" i="14"/>
  <c r="X7" i="14"/>
  <c r="W13" i="14"/>
  <c r="Y15" i="14"/>
  <c r="V14" i="14"/>
  <c r="Z14" i="14" s="1"/>
  <c r="V13" i="14"/>
  <c r="V5" i="14"/>
  <c r="Z5" i="14" s="1"/>
  <c r="X8" i="14"/>
  <c r="X18" i="14"/>
  <c r="AB18" i="14" s="1"/>
  <c r="W9" i="14"/>
  <c r="W25" i="14"/>
  <c r="Y17" i="14"/>
  <c r="W16" i="14"/>
  <c r="X20" i="14"/>
  <c r="X19" i="14"/>
  <c r="AB19" i="14" s="1"/>
  <c r="W5" i="14"/>
  <c r="X21" i="14"/>
  <c r="V21" i="14"/>
  <c r="W18" i="14"/>
  <c r="Y19" i="14"/>
  <c r="V20" i="14"/>
  <c r="W19" i="14"/>
  <c r="W17" i="14"/>
  <c r="V25" i="14"/>
  <c r="W7" i="14"/>
  <c r="W20" i="14"/>
  <c r="T15" i="14"/>
  <c r="R15" i="14"/>
  <c r="W8" i="14"/>
  <c r="V12" i="14"/>
  <c r="X24" i="14"/>
  <c r="T8" i="14"/>
  <c r="R8" i="14"/>
  <c r="T7" i="14"/>
  <c r="R7" i="14"/>
  <c r="V24" i="14"/>
  <c r="Y18" i="14"/>
  <c r="T24" i="14"/>
  <c r="R24" i="14"/>
  <c r="T13" i="14"/>
  <c r="AB13" i="14" s="1"/>
  <c r="R13" i="14"/>
  <c r="T10" i="14"/>
  <c r="R10" i="14"/>
  <c r="U23" i="14"/>
  <c r="T22" i="14"/>
  <c r="R22" i="14"/>
  <c r="T6" i="14"/>
  <c r="R6" i="14"/>
  <c r="X22" i="14"/>
  <c r="Y22" i="14"/>
  <c r="T21" i="14"/>
  <c r="R21" i="14"/>
  <c r="X11" i="14"/>
  <c r="AB11" i="14" s="1"/>
  <c r="V11" i="14"/>
  <c r="Y9" i="14"/>
  <c r="Y8" i="14"/>
  <c r="W24" i="14"/>
  <c r="W12" i="14"/>
  <c r="W22" i="14"/>
  <c r="T20" i="14"/>
  <c r="R20" i="14"/>
  <c r="Y12" i="14"/>
  <c r="V9" i="14"/>
  <c r="W4" i="14"/>
  <c r="Y11" i="14"/>
  <c r="Y4" i="14"/>
  <c r="V4" i="14"/>
  <c r="X4" i="14"/>
  <c r="AB4" i="14" s="1"/>
  <c r="N2" i="2"/>
  <c r="K2" i="2"/>
  <c r="F25" i="2" s="1"/>
  <c r="P3" i="2"/>
  <c r="G17" i="2" s="1"/>
  <c r="AD13" i="15" l="1"/>
  <c r="AD15" i="14"/>
  <c r="E25" i="23"/>
  <c r="I25" i="23" s="1"/>
  <c r="E25" i="20"/>
  <c r="I25" i="20" s="1"/>
  <c r="E25" i="22"/>
  <c r="N25" i="22" s="1"/>
  <c r="P25" i="22" s="1"/>
  <c r="S25" i="22" s="1"/>
  <c r="E25" i="21"/>
  <c r="I25" i="21" s="1"/>
  <c r="K25" i="21" s="1"/>
  <c r="L25" i="21" s="1"/>
  <c r="E25" i="18"/>
  <c r="I25" i="18" s="1"/>
  <c r="K25" i="18" s="1"/>
  <c r="L25" i="18" s="1"/>
  <c r="E25" i="17"/>
  <c r="N25" i="17" s="1"/>
  <c r="P25" i="17" s="1"/>
  <c r="E25" i="14"/>
  <c r="N25" i="14" s="1"/>
  <c r="P25" i="14" s="1"/>
  <c r="S25" i="14" s="1"/>
  <c r="AA25" i="14" s="1"/>
  <c r="E25" i="19"/>
  <c r="I25" i="19" s="1"/>
  <c r="E25" i="16"/>
  <c r="N25" i="16" s="1"/>
  <c r="P25" i="16" s="1"/>
  <c r="E25" i="15"/>
  <c r="N25" i="15" s="1"/>
  <c r="P25" i="15" s="1"/>
  <c r="F17" i="22"/>
  <c r="O17" i="22" s="1"/>
  <c r="Q17" i="22" s="1"/>
  <c r="V17" i="22" s="1"/>
  <c r="F17" i="23"/>
  <c r="J17" i="23" s="1"/>
  <c r="AG17" i="23" s="1"/>
  <c r="AH17" i="23" s="1"/>
  <c r="F17" i="18"/>
  <c r="J17" i="18" s="1"/>
  <c r="F17" i="20"/>
  <c r="J17" i="20" s="1"/>
  <c r="F17" i="19"/>
  <c r="J17" i="19" s="1"/>
  <c r="K17" i="19" s="1"/>
  <c r="L17" i="19" s="1"/>
  <c r="F17" i="17"/>
  <c r="O17" i="17" s="1"/>
  <c r="Q17" i="17" s="1"/>
  <c r="F17" i="21"/>
  <c r="J17" i="21" s="1"/>
  <c r="F17" i="15"/>
  <c r="O17" i="15" s="1"/>
  <c r="Q17" i="15" s="1"/>
  <c r="S17" i="15" s="1"/>
  <c r="AA17" i="15" s="1"/>
  <c r="F17" i="16"/>
  <c r="O17" i="16" s="1"/>
  <c r="Q17" i="16" s="1"/>
  <c r="F17" i="14"/>
  <c r="O17" i="14" s="1"/>
  <c r="Q17" i="14" s="1"/>
  <c r="G25" i="2"/>
  <c r="DA12" i="23"/>
  <c r="DA13" i="23"/>
  <c r="DA14" i="23"/>
  <c r="F25" i="24" s="1"/>
  <c r="AJ4" i="22"/>
  <c r="AJ16" i="22"/>
  <c r="AL22" i="22"/>
  <c r="AJ9" i="22"/>
  <c r="AJ22" i="22"/>
  <c r="AL11" i="22"/>
  <c r="AK20" i="22"/>
  <c r="AL25" i="22"/>
  <c r="AJ24" i="22"/>
  <c r="AJ19" i="22"/>
  <c r="AL7" i="22"/>
  <c r="AJ23" i="22"/>
  <c r="AK22" i="22"/>
  <c r="AK6" i="22"/>
  <c r="AL19" i="22"/>
  <c r="AK9" i="22"/>
  <c r="AK16" i="22"/>
  <c r="AL6" i="22"/>
  <c r="AL16" i="22"/>
  <c r="AK19" i="22"/>
  <c r="AJ25" i="22"/>
  <c r="AL15" i="22"/>
  <c r="AK25" i="22"/>
  <c r="AJ10" i="22"/>
  <c r="AK17" i="22"/>
  <c r="AL9" i="22"/>
  <c r="AJ21" i="22"/>
  <c r="AK15" i="22"/>
  <c r="AJ17" i="22"/>
  <c r="AL23" i="22"/>
  <c r="AK10" i="22"/>
  <c r="AJ6" i="22"/>
  <c r="AL17" i="22"/>
  <c r="AJ5" i="22"/>
  <c r="AJ11" i="22"/>
  <c r="AK4" i="22"/>
  <c r="AT12" i="22" s="1"/>
  <c r="AK11" i="22"/>
  <c r="AK21" i="22"/>
  <c r="AK7" i="22"/>
  <c r="AL24" i="22"/>
  <c r="AK23" i="22"/>
  <c r="AL5" i="22"/>
  <c r="AK12" i="22"/>
  <c r="AK5" i="22"/>
  <c r="AJ7" i="22"/>
  <c r="AK24" i="22"/>
  <c r="AL12" i="22"/>
  <c r="AJ20" i="22"/>
  <c r="AK13" i="22"/>
  <c r="AL10" i="22"/>
  <c r="AL21" i="22"/>
  <c r="AL20" i="22"/>
  <c r="AK8" i="22"/>
  <c r="AJ8" i="22"/>
  <c r="AL8" i="22"/>
  <c r="AL13" i="22"/>
  <c r="AJ13" i="22"/>
  <c r="AL14" i="22"/>
  <c r="AJ14" i="22"/>
  <c r="AK14" i="22"/>
  <c r="AJ12" i="22"/>
  <c r="AK18" i="22"/>
  <c r="AL18" i="22"/>
  <c r="AJ18" i="22"/>
  <c r="AL4" i="22"/>
  <c r="AT13" i="22" s="1"/>
  <c r="AL4" i="21"/>
  <c r="AT12" i="21" s="1"/>
  <c r="AM4" i="21"/>
  <c r="AT13" i="21" s="1"/>
  <c r="AK4" i="21"/>
  <c r="AM4" i="20"/>
  <c r="AT13" i="20" s="1"/>
  <c r="AG4" i="20"/>
  <c r="AL4" i="20"/>
  <c r="AT12" i="20" s="1"/>
  <c r="AK4" i="20"/>
  <c r="AM4" i="19"/>
  <c r="AT13" i="19" s="1"/>
  <c r="AK4" i="19"/>
  <c r="AL4" i="19"/>
  <c r="AT12" i="19" s="1"/>
  <c r="AM4" i="18"/>
  <c r="AT13" i="18" s="1"/>
  <c r="AK4" i="18"/>
  <c r="AL4" i="18"/>
  <c r="AT12" i="18" s="1"/>
  <c r="AD10" i="17"/>
  <c r="AF9" i="17"/>
  <c r="AF20" i="17"/>
  <c r="AD5" i="17"/>
  <c r="AF23" i="17"/>
  <c r="V16" i="17"/>
  <c r="Y16" i="17"/>
  <c r="AB7" i="17"/>
  <c r="AD12" i="17"/>
  <c r="AD6" i="17"/>
  <c r="W16" i="17"/>
  <c r="X16" i="17"/>
  <c r="AB16" i="17" s="1"/>
  <c r="AD25" i="17"/>
  <c r="AE24" i="17"/>
  <c r="AD14" i="17"/>
  <c r="AE14" i="17"/>
  <c r="AD24" i="17"/>
  <c r="AB14" i="17"/>
  <c r="AE21" i="17"/>
  <c r="AF21" i="17"/>
  <c r="AF24" i="17"/>
  <c r="AD21" i="17"/>
  <c r="AE13" i="17"/>
  <c r="AB10" i="17"/>
  <c r="AB24" i="17"/>
  <c r="AB18" i="17"/>
  <c r="AD13" i="17"/>
  <c r="AF15" i="17"/>
  <c r="AF13" i="17"/>
  <c r="AE18" i="17"/>
  <c r="AF5" i="17"/>
  <c r="AE23" i="17"/>
  <c r="AF14" i="17"/>
  <c r="AE20" i="17"/>
  <c r="AF6" i="17"/>
  <c r="AE8" i="17"/>
  <c r="AD17" i="17"/>
  <c r="AD23" i="17"/>
  <c r="AE9" i="17"/>
  <c r="AD9" i="17"/>
  <c r="AE22" i="17"/>
  <c r="AE5" i="17"/>
  <c r="AF4" i="17"/>
  <c r="AM13" i="17" s="1"/>
  <c r="AF7" i="17"/>
  <c r="AE7" i="17"/>
  <c r="AD7" i="17"/>
  <c r="AE25" i="17"/>
  <c r="AF11" i="17"/>
  <c r="AE6" i="17"/>
  <c r="AD20" i="17"/>
  <c r="AD22" i="17"/>
  <c r="AD11" i="17"/>
  <c r="AD4" i="17"/>
  <c r="AF10" i="17"/>
  <c r="AD8" i="17"/>
  <c r="AF22" i="17"/>
  <c r="AF8" i="17"/>
  <c r="AE10" i="17"/>
  <c r="AE11" i="17"/>
  <c r="AE4" i="17"/>
  <c r="AM12" i="17" s="1"/>
  <c r="AE12" i="17"/>
  <c r="AB17" i="17"/>
  <c r="AF12" i="17"/>
  <c r="AB19" i="17"/>
  <c r="AE17" i="17"/>
  <c r="AB23" i="17"/>
  <c r="AB13" i="17"/>
  <c r="AD18" i="17"/>
  <c r="AB25" i="17"/>
  <c r="AD19" i="17"/>
  <c r="AF19" i="17"/>
  <c r="AE19" i="17"/>
  <c r="AF18" i="17"/>
  <c r="AF17" i="17"/>
  <c r="AD15" i="17"/>
  <c r="AE15" i="17"/>
  <c r="AF25" i="17"/>
  <c r="AD4" i="16"/>
  <c r="Z16" i="16"/>
  <c r="AD13" i="16"/>
  <c r="AF15" i="16"/>
  <c r="Z15" i="16"/>
  <c r="Z20" i="16"/>
  <c r="Z13" i="16"/>
  <c r="AF4" i="16"/>
  <c r="AM13" i="16" s="1"/>
  <c r="Z14" i="16"/>
  <c r="AE4" i="16"/>
  <c r="AM12" i="16" s="1"/>
  <c r="Z6" i="16"/>
  <c r="AD14" i="16"/>
  <c r="AF11" i="16"/>
  <c r="AE22" i="16"/>
  <c r="AE13" i="16"/>
  <c r="AE11" i="16"/>
  <c r="AF13" i="16"/>
  <c r="AD25" i="16"/>
  <c r="AF16" i="16"/>
  <c r="AF23" i="16"/>
  <c r="AE24" i="16"/>
  <c r="AD11" i="16"/>
  <c r="AF19" i="16"/>
  <c r="AE25" i="16"/>
  <c r="AD10" i="16"/>
  <c r="Z24" i="16"/>
  <c r="AF5" i="16"/>
  <c r="AE23" i="16"/>
  <c r="AF9" i="16"/>
  <c r="AE17" i="16"/>
  <c r="AD24" i="16"/>
  <c r="AD16" i="16"/>
  <c r="Z23" i="16"/>
  <c r="AD23" i="16"/>
  <c r="AD21" i="16"/>
  <c r="AF22" i="16"/>
  <c r="AE20" i="16"/>
  <c r="AE7" i="16"/>
  <c r="AE12" i="16"/>
  <c r="AE18" i="16"/>
  <c r="AE14" i="16"/>
  <c r="AF20" i="16"/>
  <c r="AF21" i="16"/>
  <c r="AF14" i="16"/>
  <c r="AE10" i="16"/>
  <c r="AE16" i="16"/>
  <c r="AE15" i="16"/>
  <c r="AD22" i="16"/>
  <c r="Z22" i="16"/>
  <c r="AD17" i="16"/>
  <c r="Z17" i="16"/>
  <c r="AD12" i="16"/>
  <c r="AF7" i="16"/>
  <c r="AE21" i="16"/>
  <c r="AF25" i="16"/>
  <c r="AD15" i="16"/>
  <c r="Z18" i="16"/>
  <c r="AF18" i="16"/>
  <c r="AD8" i="16"/>
  <c r="AF17" i="16"/>
  <c r="AD6" i="16"/>
  <c r="AD9" i="16"/>
  <c r="Z7" i="16"/>
  <c r="AD7" i="16"/>
  <c r="AD18" i="16"/>
  <c r="AF12" i="16"/>
  <c r="AE8" i="16"/>
  <c r="AD19" i="16"/>
  <c r="AD5" i="16"/>
  <c r="AF10" i="16"/>
  <c r="AD20" i="16"/>
  <c r="AE9" i="16"/>
  <c r="Z25" i="16"/>
  <c r="AF8" i="16"/>
  <c r="AF24" i="16"/>
  <c r="AE5" i="16"/>
  <c r="AE19" i="16"/>
  <c r="AF6" i="16"/>
  <c r="AE6" i="16"/>
  <c r="AE6" i="15"/>
  <c r="AF20" i="15"/>
  <c r="AB22" i="15"/>
  <c r="AE11" i="15"/>
  <c r="AD25" i="15"/>
  <c r="AD6" i="15"/>
  <c r="AF21" i="15"/>
  <c r="AF6" i="15"/>
  <c r="AB13" i="15"/>
  <c r="Z20" i="15"/>
  <c r="Z23" i="15"/>
  <c r="AD23" i="15"/>
  <c r="Z19" i="15"/>
  <c r="Z17" i="15"/>
  <c r="Z13" i="15"/>
  <c r="AE12" i="15"/>
  <c r="Z9" i="15"/>
  <c r="AE21" i="15"/>
  <c r="AD18" i="15"/>
  <c r="AE20" i="15"/>
  <c r="AD20" i="15"/>
  <c r="Z16" i="15"/>
  <c r="AD14" i="15"/>
  <c r="AD8" i="15"/>
  <c r="AF5" i="15"/>
  <c r="AF15" i="15"/>
  <c r="AF13" i="15"/>
  <c r="AD16" i="15"/>
  <c r="AD11" i="15"/>
  <c r="AE18" i="15"/>
  <c r="AF10" i="15"/>
  <c r="AF18" i="15"/>
  <c r="AE23" i="15"/>
  <c r="AE8" i="15"/>
  <c r="AD21" i="15"/>
  <c r="AD7" i="15"/>
  <c r="Z18" i="15"/>
  <c r="AF11" i="15"/>
  <c r="AF14" i="15"/>
  <c r="AD15" i="15"/>
  <c r="AE10" i="15"/>
  <c r="AF8" i="15"/>
  <c r="AE14" i="15"/>
  <c r="AF23" i="15"/>
  <c r="AD10" i="15"/>
  <c r="AE7" i="15"/>
  <c r="Z11" i="15"/>
  <c r="AE9" i="15"/>
  <c r="AD19" i="15"/>
  <c r="AE5" i="15"/>
  <c r="AF19" i="15"/>
  <c r="AD9" i="15"/>
  <c r="AE17" i="15"/>
  <c r="AE19" i="15"/>
  <c r="AF17" i="15"/>
  <c r="AF12" i="15"/>
  <c r="AF16" i="15"/>
  <c r="AF9" i="15"/>
  <c r="AE16" i="15"/>
  <c r="AD17" i="15"/>
  <c r="AE13" i="15"/>
  <c r="AE25" i="15"/>
  <c r="AF7" i="15"/>
  <c r="AF4" i="15"/>
  <c r="AM13" i="15" s="1"/>
  <c r="AD12" i="15"/>
  <c r="AF25" i="15"/>
  <c r="AD24" i="15"/>
  <c r="Z24" i="15"/>
  <c r="AF24" i="15"/>
  <c r="AE24" i="15"/>
  <c r="Z22" i="15"/>
  <c r="AE22" i="15"/>
  <c r="AF22" i="15"/>
  <c r="AB9" i="15"/>
  <c r="AB19" i="15"/>
  <c r="AD22" i="15"/>
  <c r="AE4" i="15"/>
  <c r="AM12" i="15" s="1"/>
  <c r="Z10" i="15"/>
  <c r="AE15" i="15"/>
  <c r="AB20" i="15"/>
  <c r="AD4" i="15"/>
  <c r="AB11" i="15"/>
  <c r="Z5" i="15"/>
  <c r="AD5" i="15"/>
  <c r="Z25" i="14"/>
  <c r="Z15" i="14"/>
  <c r="Z11" i="14"/>
  <c r="Z22" i="14"/>
  <c r="AD17" i="14"/>
  <c r="AB15" i="14"/>
  <c r="AE13" i="14"/>
  <c r="AD21" i="14"/>
  <c r="AE16" i="14"/>
  <c r="AF22" i="14"/>
  <c r="AF10" i="14"/>
  <c r="AB6" i="14"/>
  <c r="AF14" i="14"/>
  <c r="AD10" i="14"/>
  <c r="Z10" i="14"/>
  <c r="AD7" i="14"/>
  <c r="Z6" i="14"/>
  <c r="AD19" i="14"/>
  <c r="AF6" i="14"/>
  <c r="AD8" i="14"/>
  <c r="AF15" i="14"/>
  <c r="AB24" i="14"/>
  <c r="AB20" i="14"/>
  <c r="Z20" i="14"/>
  <c r="AE15" i="14"/>
  <c r="AF16" i="14"/>
  <c r="AB7" i="14"/>
  <c r="AD13" i="14"/>
  <c r="AF5" i="14"/>
  <c r="AE10" i="14"/>
  <c r="AF7" i="14"/>
  <c r="AF21" i="14"/>
  <c r="Z7" i="14"/>
  <c r="Z8" i="14"/>
  <c r="AD20" i="14"/>
  <c r="AE6" i="14"/>
  <c r="AB8" i="14"/>
  <c r="AD6" i="14"/>
  <c r="AD4" i="14"/>
  <c r="Z21" i="14"/>
  <c r="AE8" i="14"/>
  <c r="AE7" i="14"/>
  <c r="AF12" i="14"/>
  <c r="AF24" i="14"/>
  <c r="Z13" i="14"/>
  <c r="AE21" i="14"/>
  <c r="AD12" i="14"/>
  <c r="AE25" i="14"/>
  <c r="AE18" i="14"/>
  <c r="AD18" i="14"/>
  <c r="AF13" i="14"/>
  <c r="AB21" i="14"/>
  <c r="AD14" i="14"/>
  <c r="AF18" i="14"/>
  <c r="AE14" i="14"/>
  <c r="AF20" i="14"/>
  <c r="AE17" i="14"/>
  <c r="AE5" i="14"/>
  <c r="AE20" i="14"/>
  <c r="AD24" i="14"/>
  <c r="AE19" i="14"/>
  <c r="AD5" i="14"/>
  <c r="AF17" i="14"/>
  <c r="AF19" i="14"/>
  <c r="AD25" i="14"/>
  <c r="Z24" i="14"/>
  <c r="AF25" i="14"/>
  <c r="AD16" i="14"/>
  <c r="AE11" i="14"/>
  <c r="AB10" i="14"/>
  <c r="AF9" i="14"/>
  <c r="Z9" i="14"/>
  <c r="AE9" i="14"/>
  <c r="AD9" i="14"/>
  <c r="AE22" i="14"/>
  <c r="V23" i="14"/>
  <c r="Y23" i="14"/>
  <c r="AE12" i="14"/>
  <c r="X23" i="14"/>
  <c r="AB23" i="14" s="1"/>
  <c r="AF8" i="14"/>
  <c r="AD22" i="14"/>
  <c r="AE24" i="14"/>
  <c r="AB22" i="14"/>
  <c r="AD11" i="14"/>
  <c r="AF11" i="14"/>
  <c r="W23" i="14"/>
  <c r="Z12" i="14"/>
  <c r="Z4" i="14"/>
  <c r="AF4" i="14"/>
  <c r="AM13" i="14" s="1"/>
  <c r="AE4" i="14"/>
  <c r="F24" i="2"/>
  <c r="G24" i="2"/>
  <c r="F23" i="2"/>
  <c r="G23" i="2"/>
  <c r="F21" i="2"/>
  <c r="F22" i="2"/>
  <c r="G22" i="2"/>
  <c r="G21" i="2"/>
  <c r="F19" i="2"/>
  <c r="F20" i="2"/>
  <c r="G20" i="2"/>
  <c r="G19" i="2"/>
  <c r="F17" i="2"/>
  <c r="F18" i="2"/>
  <c r="G18" i="2"/>
  <c r="F11" i="2"/>
  <c r="F14" i="2"/>
  <c r="F7" i="2"/>
  <c r="F6" i="2"/>
  <c r="F15" i="2"/>
  <c r="G5" i="2"/>
  <c r="G8" i="2"/>
  <c r="G15" i="2"/>
  <c r="G10" i="2"/>
  <c r="G9" i="2"/>
  <c r="F12" i="2"/>
  <c r="G6" i="2"/>
  <c r="G13" i="2"/>
  <c r="F9" i="2"/>
  <c r="F4" i="2"/>
  <c r="G7" i="2"/>
  <c r="G16" i="2"/>
  <c r="G4" i="2"/>
  <c r="F5" i="2"/>
  <c r="F8" i="2"/>
  <c r="G11" i="2"/>
  <c r="F16" i="2"/>
  <c r="F10" i="2"/>
  <c r="G12" i="2"/>
  <c r="F13" i="2"/>
  <c r="G14" i="2"/>
  <c r="AG20" i="17" l="1"/>
  <c r="AG6" i="15"/>
  <c r="E16" i="23"/>
  <c r="I16" i="23" s="1"/>
  <c r="E16" i="20"/>
  <c r="I16" i="20" s="1"/>
  <c r="E16" i="22"/>
  <c r="N16" i="22" s="1"/>
  <c r="P16" i="22" s="1"/>
  <c r="E16" i="21"/>
  <c r="I16" i="21" s="1"/>
  <c r="K16" i="21" s="1"/>
  <c r="L16" i="21" s="1"/>
  <c r="E16" i="18"/>
  <c r="I16" i="18" s="1"/>
  <c r="K16" i="18" s="1"/>
  <c r="L16" i="18" s="1"/>
  <c r="E16" i="19"/>
  <c r="I16" i="19" s="1"/>
  <c r="E16" i="17"/>
  <c r="N16" i="17" s="1"/>
  <c r="P16" i="17" s="1"/>
  <c r="E16" i="15"/>
  <c r="N16" i="15" s="1"/>
  <c r="E16" i="14"/>
  <c r="N16" i="14" s="1"/>
  <c r="P16" i="14" s="1"/>
  <c r="S16" i="14" s="1"/>
  <c r="AA16" i="14" s="1"/>
  <c r="AC16" i="14" s="1"/>
  <c r="E16" i="16"/>
  <c r="N16" i="16" s="1"/>
  <c r="P16" i="16" s="1"/>
  <c r="F11" i="22"/>
  <c r="O11" i="22" s="1"/>
  <c r="Q11" i="22" s="1"/>
  <c r="F11" i="23"/>
  <c r="J11" i="23" s="1"/>
  <c r="AG11" i="23" s="1"/>
  <c r="AH11" i="23" s="1"/>
  <c r="F11" i="21"/>
  <c r="J11" i="21" s="1"/>
  <c r="F11" i="20"/>
  <c r="J11" i="20" s="1"/>
  <c r="F11" i="17"/>
  <c r="O11" i="17" s="1"/>
  <c r="Q11" i="17" s="1"/>
  <c r="F11" i="19"/>
  <c r="J11" i="19" s="1"/>
  <c r="K11" i="19" s="1"/>
  <c r="L11" i="19" s="1"/>
  <c r="F11" i="15"/>
  <c r="O11" i="15" s="1"/>
  <c r="Q11" i="15" s="1"/>
  <c r="S11" i="15" s="1"/>
  <c r="AA11" i="15" s="1"/>
  <c r="AC11" i="15" s="1"/>
  <c r="F11" i="18"/>
  <c r="J11" i="18" s="1"/>
  <c r="F11" i="16"/>
  <c r="O11" i="16" s="1"/>
  <c r="Q11" i="16" s="1"/>
  <c r="F11" i="14"/>
  <c r="O11" i="14" s="1"/>
  <c r="Q11" i="14" s="1"/>
  <c r="F12" i="23"/>
  <c r="J12" i="23" s="1"/>
  <c r="AG12" i="23" s="1"/>
  <c r="AH12" i="23" s="1"/>
  <c r="F12" i="21"/>
  <c r="J12" i="21" s="1"/>
  <c r="F12" i="19"/>
  <c r="J12" i="19" s="1"/>
  <c r="K12" i="19" s="1"/>
  <c r="L12" i="19" s="1"/>
  <c r="F12" i="22"/>
  <c r="O12" i="22" s="1"/>
  <c r="Q12" i="22" s="1"/>
  <c r="F12" i="16"/>
  <c r="O12" i="16" s="1"/>
  <c r="Q12" i="16" s="1"/>
  <c r="F12" i="17"/>
  <c r="O12" i="17" s="1"/>
  <c r="Q12" i="17" s="1"/>
  <c r="F12" i="20"/>
  <c r="J12" i="20" s="1"/>
  <c r="F12" i="14"/>
  <c r="O12" i="14" s="1"/>
  <c r="Q12" i="14" s="1"/>
  <c r="F12" i="15"/>
  <c r="O12" i="15" s="1"/>
  <c r="Q12" i="15" s="1"/>
  <c r="S12" i="15" s="1"/>
  <c r="AA12" i="15" s="1"/>
  <c r="AC12" i="15" s="1"/>
  <c r="F12" i="18"/>
  <c r="J12" i="18" s="1"/>
  <c r="F6" i="23"/>
  <c r="J6" i="23" s="1"/>
  <c r="AG6" i="23" s="1"/>
  <c r="AH6" i="23" s="1"/>
  <c r="F6" i="22"/>
  <c r="O6" i="22" s="1"/>
  <c r="Q6" i="22" s="1"/>
  <c r="F6" i="21"/>
  <c r="J6" i="21" s="1"/>
  <c r="F6" i="20"/>
  <c r="J6" i="20" s="1"/>
  <c r="F6" i="18"/>
  <c r="J6" i="18" s="1"/>
  <c r="F6" i="14"/>
  <c r="O6" i="14" s="1"/>
  <c r="Q6" i="14" s="1"/>
  <c r="F6" i="19"/>
  <c r="J6" i="19" s="1"/>
  <c r="K6" i="19" s="1"/>
  <c r="L6" i="19" s="1"/>
  <c r="F6" i="16"/>
  <c r="O6" i="16" s="1"/>
  <c r="Q6" i="16" s="1"/>
  <c r="F6" i="15"/>
  <c r="O6" i="15" s="1"/>
  <c r="Q6" i="15" s="1"/>
  <c r="S6" i="15" s="1"/>
  <c r="AA6" i="15" s="1"/>
  <c r="F6" i="17"/>
  <c r="O6" i="17" s="1"/>
  <c r="Q6" i="17" s="1"/>
  <c r="F18" i="23"/>
  <c r="J18" i="23" s="1"/>
  <c r="AG18" i="23" s="1"/>
  <c r="AH18" i="23" s="1"/>
  <c r="AI18" i="23" s="1"/>
  <c r="F18" i="22"/>
  <c r="O18" i="22" s="1"/>
  <c r="Q18" i="22" s="1"/>
  <c r="F18" i="21"/>
  <c r="J18" i="21" s="1"/>
  <c r="F18" i="19"/>
  <c r="J18" i="19" s="1"/>
  <c r="K18" i="19" s="1"/>
  <c r="L18" i="19" s="1"/>
  <c r="M18" i="19" s="1"/>
  <c r="F18" i="20"/>
  <c r="J18" i="20" s="1"/>
  <c r="F18" i="16"/>
  <c r="O18" i="16" s="1"/>
  <c r="Q18" i="16" s="1"/>
  <c r="F18" i="17"/>
  <c r="O18" i="17" s="1"/>
  <c r="Q18" i="17" s="1"/>
  <c r="F18" i="14"/>
  <c r="O18" i="14" s="1"/>
  <c r="Q18" i="14" s="1"/>
  <c r="F18" i="18"/>
  <c r="J18" i="18" s="1"/>
  <c r="F18" i="15"/>
  <c r="O18" i="15" s="1"/>
  <c r="Q18" i="15" s="1"/>
  <c r="S18" i="15" s="1"/>
  <c r="AA18" i="15" s="1"/>
  <c r="AC18" i="15" s="1"/>
  <c r="E23" i="23"/>
  <c r="I23" i="23" s="1"/>
  <c r="E23" i="22"/>
  <c r="N23" i="22" s="1"/>
  <c r="P23" i="22" s="1"/>
  <c r="E23" i="19"/>
  <c r="I23" i="19" s="1"/>
  <c r="E23" i="18"/>
  <c r="I23" i="18" s="1"/>
  <c r="K23" i="18" s="1"/>
  <c r="L23" i="18" s="1"/>
  <c r="E23" i="20"/>
  <c r="I23" i="20" s="1"/>
  <c r="E23" i="15"/>
  <c r="N23" i="15" s="1"/>
  <c r="P23" i="15" s="1"/>
  <c r="E23" i="14"/>
  <c r="N23" i="14" s="1"/>
  <c r="P23" i="14" s="1"/>
  <c r="S23" i="14" s="1"/>
  <c r="AA23" i="14" s="1"/>
  <c r="E23" i="17"/>
  <c r="N23" i="17" s="1"/>
  <c r="P23" i="17" s="1"/>
  <c r="E23" i="16"/>
  <c r="N23" i="16" s="1"/>
  <c r="P23" i="16" s="1"/>
  <c r="E23" i="21"/>
  <c r="I23" i="21" s="1"/>
  <c r="K23" i="21" s="1"/>
  <c r="L23" i="21" s="1"/>
  <c r="E10" i="23"/>
  <c r="I10" i="23" s="1"/>
  <c r="E10" i="22"/>
  <c r="N10" i="22" s="1"/>
  <c r="P10" i="22" s="1"/>
  <c r="E10" i="21"/>
  <c r="I10" i="21" s="1"/>
  <c r="K10" i="21" s="1"/>
  <c r="L10" i="21" s="1"/>
  <c r="E10" i="19"/>
  <c r="I10" i="19" s="1"/>
  <c r="E10" i="17"/>
  <c r="N10" i="17" s="1"/>
  <c r="P10" i="17" s="1"/>
  <c r="E10" i="18"/>
  <c r="I10" i="18" s="1"/>
  <c r="K10" i="18" s="1"/>
  <c r="L10" i="18" s="1"/>
  <c r="E10" i="20"/>
  <c r="I10" i="20" s="1"/>
  <c r="E10" i="16"/>
  <c r="N10" i="16" s="1"/>
  <c r="P10" i="16" s="1"/>
  <c r="E10" i="14"/>
  <c r="N10" i="14" s="1"/>
  <c r="P10" i="14" s="1"/>
  <c r="S10" i="14" s="1"/>
  <c r="AA10" i="14" s="1"/>
  <c r="AC10" i="14" s="1"/>
  <c r="E10" i="15"/>
  <c r="N10" i="15" s="1"/>
  <c r="E12" i="22"/>
  <c r="N12" i="22" s="1"/>
  <c r="P12" i="22" s="1"/>
  <c r="E12" i="21"/>
  <c r="I12" i="21" s="1"/>
  <c r="K12" i="21" s="1"/>
  <c r="L12" i="21" s="1"/>
  <c r="E12" i="20"/>
  <c r="I12" i="20" s="1"/>
  <c r="E12" i="23"/>
  <c r="I12" i="23" s="1"/>
  <c r="E12" i="19"/>
  <c r="I12" i="19" s="1"/>
  <c r="E12" i="16"/>
  <c r="N12" i="16" s="1"/>
  <c r="P12" i="16" s="1"/>
  <c r="E12" i="17"/>
  <c r="N12" i="17" s="1"/>
  <c r="P12" i="17" s="1"/>
  <c r="E12" i="14"/>
  <c r="N12" i="14" s="1"/>
  <c r="P12" i="14" s="1"/>
  <c r="S12" i="14" s="1"/>
  <c r="AA12" i="14" s="1"/>
  <c r="AC12" i="14" s="1"/>
  <c r="E12" i="15"/>
  <c r="N12" i="15" s="1"/>
  <c r="E12" i="18"/>
  <c r="I12" i="18" s="1"/>
  <c r="K12" i="18" s="1"/>
  <c r="L12" i="18" s="1"/>
  <c r="E18" i="22"/>
  <c r="N18" i="22" s="1"/>
  <c r="P18" i="22" s="1"/>
  <c r="E18" i="21"/>
  <c r="I18" i="21" s="1"/>
  <c r="K18" i="21" s="1"/>
  <c r="L18" i="21" s="1"/>
  <c r="E18" i="19"/>
  <c r="I18" i="19" s="1"/>
  <c r="E18" i="20"/>
  <c r="I18" i="20" s="1"/>
  <c r="E18" i="23"/>
  <c r="I18" i="23" s="1"/>
  <c r="E18" i="16"/>
  <c r="N18" i="16" s="1"/>
  <c r="P18" i="16" s="1"/>
  <c r="E18" i="17"/>
  <c r="N18" i="17" s="1"/>
  <c r="P18" i="17" s="1"/>
  <c r="E18" i="14"/>
  <c r="N18" i="14" s="1"/>
  <c r="P18" i="14" s="1"/>
  <c r="S18" i="14" s="1"/>
  <c r="AA18" i="14" s="1"/>
  <c r="AC18" i="14" s="1"/>
  <c r="E18" i="18"/>
  <c r="I18" i="18" s="1"/>
  <c r="K18" i="18" s="1"/>
  <c r="L18" i="18" s="1"/>
  <c r="E18" i="15"/>
  <c r="N18" i="15" s="1"/>
  <c r="P18" i="15" s="1"/>
  <c r="F24" i="23"/>
  <c r="J24" i="23" s="1"/>
  <c r="AG24" i="23" s="1"/>
  <c r="AH24" i="23" s="1"/>
  <c r="F24" i="21"/>
  <c r="J24" i="21" s="1"/>
  <c r="F24" i="22"/>
  <c r="O24" i="22" s="1"/>
  <c r="Q24" i="22" s="1"/>
  <c r="F24" i="18"/>
  <c r="J24" i="18" s="1"/>
  <c r="F24" i="19"/>
  <c r="J24" i="19" s="1"/>
  <c r="K24" i="19" s="1"/>
  <c r="L24" i="19" s="1"/>
  <c r="F24" i="20"/>
  <c r="J24" i="20" s="1"/>
  <c r="F24" i="14"/>
  <c r="O24" i="14" s="1"/>
  <c r="Q24" i="14" s="1"/>
  <c r="F24" i="15"/>
  <c r="O24" i="15" s="1"/>
  <c r="Q24" i="15" s="1"/>
  <c r="S24" i="15" s="1"/>
  <c r="AA24" i="15" s="1"/>
  <c r="F24" i="17"/>
  <c r="O24" i="17" s="1"/>
  <c r="Q24" i="17" s="1"/>
  <c r="F24" i="16"/>
  <c r="O24" i="16" s="1"/>
  <c r="Q24" i="16" s="1"/>
  <c r="E8" i="23"/>
  <c r="I8" i="23" s="1"/>
  <c r="E8" i="21"/>
  <c r="I8" i="21" s="1"/>
  <c r="K8" i="21" s="1"/>
  <c r="L8" i="21" s="1"/>
  <c r="E8" i="22"/>
  <c r="N8" i="22" s="1"/>
  <c r="P8" i="22" s="1"/>
  <c r="E8" i="19"/>
  <c r="I8" i="19" s="1"/>
  <c r="E8" i="15"/>
  <c r="N8" i="15" s="1"/>
  <c r="E8" i="14"/>
  <c r="N8" i="14" s="1"/>
  <c r="P8" i="14" s="1"/>
  <c r="S8" i="14" s="1"/>
  <c r="AA8" i="14" s="1"/>
  <c r="AC8" i="14" s="1"/>
  <c r="E8" i="20"/>
  <c r="I8" i="20" s="1"/>
  <c r="E8" i="18"/>
  <c r="I8" i="18" s="1"/>
  <c r="K8" i="18" s="1"/>
  <c r="L8" i="18" s="1"/>
  <c r="E8" i="16"/>
  <c r="N8" i="16" s="1"/>
  <c r="P8" i="16" s="1"/>
  <c r="E8" i="17"/>
  <c r="N8" i="17" s="1"/>
  <c r="P8" i="17" s="1"/>
  <c r="F20" i="23"/>
  <c r="J20" i="23" s="1"/>
  <c r="AG20" i="23" s="1"/>
  <c r="AH20" i="23" s="1"/>
  <c r="F20" i="21"/>
  <c r="J20" i="21" s="1"/>
  <c r="F20" i="22"/>
  <c r="O20" i="22" s="1"/>
  <c r="Q20" i="22" s="1"/>
  <c r="F20" i="14"/>
  <c r="O20" i="14" s="1"/>
  <c r="Q20" i="14" s="1"/>
  <c r="F20" i="16"/>
  <c r="O20" i="16" s="1"/>
  <c r="Q20" i="16" s="1"/>
  <c r="F20" i="20"/>
  <c r="J20" i="20" s="1"/>
  <c r="F20" i="17"/>
  <c r="O20" i="17" s="1"/>
  <c r="Q20" i="17" s="1"/>
  <c r="F20" i="15"/>
  <c r="O20" i="15" s="1"/>
  <c r="Q20" i="15" s="1"/>
  <c r="S20" i="15" s="1"/>
  <c r="AA20" i="15" s="1"/>
  <c r="F20" i="19"/>
  <c r="J20" i="19" s="1"/>
  <c r="K20" i="19" s="1"/>
  <c r="L20" i="19" s="1"/>
  <c r="F20" i="18"/>
  <c r="J20" i="18" s="1"/>
  <c r="E20" i="23"/>
  <c r="I20" i="23" s="1"/>
  <c r="E20" i="21"/>
  <c r="I20" i="21" s="1"/>
  <c r="K20" i="21" s="1"/>
  <c r="L20" i="21" s="1"/>
  <c r="E20" i="20"/>
  <c r="I20" i="20" s="1"/>
  <c r="E20" i="22"/>
  <c r="N20" i="22" s="1"/>
  <c r="P20" i="22" s="1"/>
  <c r="E20" i="19"/>
  <c r="I20" i="19" s="1"/>
  <c r="E20" i="15"/>
  <c r="N20" i="15" s="1"/>
  <c r="P20" i="15" s="1"/>
  <c r="E20" i="14"/>
  <c r="N20" i="14" s="1"/>
  <c r="P20" i="14" s="1"/>
  <c r="S20" i="14" s="1"/>
  <c r="AA20" i="14" s="1"/>
  <c r="E20" i="16"/>
  <c r="N20" i="16" s="1"/>
  <c r="P20" i="16" s="1"/>
  <c r="E20" i="17"/>
  <c r="N20" i="17" s="1"/>
  <c r="P20" i="17" s="1"/>
  <c r="E20" i="18"/>
  <c r="I20" i="18" s="1"/>
  <c r="K20" i="18" s="1"/>
  <c r="L20" i="18" s="1"/>
  <c r="F25" i="22"/>
  <c r="O25" i="22" s="1"/>
  <c r="Q25" i="22" s="1"/>
  <c r="F25" i="21"/>
  <c r="J25" i="21" s="1"/>
  <c r="F25" i="23"/>
  <c r="J25" i="23" s="1"/>
  <c r="AG25" i="23" s="1"/>
  <c r="AH25" i="23" s="1"/>
  <c r="F25" i="20"/>
  <c r="J25" i="20" s="1"/>
  <c r="K25" i="20" s="1"/>
  <c r="L25" i="20" s="1"/>
  <c r="F25" i="19"/>
  <c r="J25" i="19" s="1"/>
  <c r="K25" i="19" s="1"/>
  <c r="L25" i="19" s="1"/>
  <c r="F25" i="14"/>
  <c r="O25" i="14" s="1"/>
  <c r="Q25" i="14" s="1"/>
  <c r="F25" i="15"/>
  <c r="O25" i="15" s="1"/>
  <c r="Q25" i="15" s="1"/>
  <c r="S25" i="15" s="1"/>
  <c r="AA25" i="15" s="1"/>
  <c r="F25" i="17"/>
  <c r="O25" i="17" s="1"/>
  <c r="Q25" i="17" s="1"/>
  <c r="S25" i="17" s="1"/>
  <c r="AA25" i="17" s="1"/>
  <c r="F25" i="18"/>
  <c r="J25" i="18" s="1"/>
  <c r="F25" i="16"/>
  <c r="O25" i="16" s="1"/>
  <c r="Q25" i="16" s="1"/>
  <c r="T25" i="16" s="1"/>
  <c r="S25" i="16" s="1"/>
  <c r="AA25" i="16" s="1"/>
  <c r="F15" i="23"/>
  <c r="J15" i="23" s="1"/>
  <c r="AG15" i="23" s="1"/>
  <c r="AH15" i="23" s="1"/>
  <c r="F15" i="20"/>
  <c r="J15" i="20" s="1"/>
  <c r="F15" i="22"/>
  <c r="O15" i="22" s="1"/>
  <c r="Q15" i="22" s="1"/>
  <c r="F15" i="21"/>
  <c r="J15" i="21" s="1"/>
  <c r="F15" i="18"/>
  <c r="J15" i="18" s="1"/>
  <c r="F15" i="15"/>
  <c r="O15" i="15" s="1"/>
  <c r="Q15" i="15" s="1"/>
  <c r="S15" i="15" s="1"/>
  <c r="AA15" i="15" s="1"/>
  <c r="AC15" i="15" s="1"/>
  <c r="F15" i="19"/>
  <c r="J15" i="19" s="1"/>
  <c r="K15" i="19" s="1"/>
  <c r="L15" i="19" s="1"/>
  <c r="F15" i="14"/>
  <c r="O15" i="14" s="1"/>
  <c r="Q15" i="14" s="1"/>
  <c r="F15" i="16"/>
  <c r="O15" i="16" s="1"/>
  <c r="Q15" i="16" s="1"/>
  <c r="F15" i="17"/>
  <c r="O15" i="17" s="1"/>
  <c r="Q15" i="17" s="1"/>
  <c r="F4" i="23"/>
  <c r="F4" i="22"/>
  <c r="O4" i="22" s="1"/>
  <c r="Q4" i="22" s="1"/>
  <c r="F4" i="21"/>
  <c r="F4" i="20"/>
  <c r="F4" i="17"/>
  <c r="O4" i="17" s="1"/>
  <c r="Q4" i="17" s="1"/>
  <c r="F4" i="18"/>
  <c r="F4" i="19"/>
  <c r="F4" i="14"/>
  <c r="O4" i="14" s="1"/>
  <c r="Q4" i="14" s="1"/>
  <c r="F4" i="16"/>
  <c r="O4" i="16" s="1"/>
  <c r="Q4" i="16" s="1"/>
  <c r="F4" i="15"/>
  <c r="O4" i="15" s="1"/>
  <c r="Q4" i="15" s="1"/>
  <c r="S4" i="15" s="1"/>
  <c r="AA4" i="15" s="1"/>
  <c r="F5" i="23"/>
  <c r="J5" i="23" s="1"/>
  <c r="AG5" i="23" s="1"/>
  <c r="AH5" i="23" s="1"/>
  <c r="F5" i="21"/>
  <c r="J5" i="21" s="1"/>
  <c r="F5" i="22"/>
  <c r="O5" i="22" s="1"/>
  <c r="Q5" i="22" s="1"/>
  <c r="F5" i="16"/>
  <c r="O5" i="16" s="1"/>
  <c r="Q5" i="16" s="1"/>
  <c r="F5" i="18"/>
  <c r="J5" i="18" s="1"/>
  <c r="F5" i="17"/>
  <c r="O5" i="17" s="1"/>
  <c r="Q5" i="17" s="1"/>
  <c r="F5" i="14"/>
  <c r="O5" i="14" s="1"/>
  <c r="Q5" i="14" s="1"/>
  <c r="F5" i="15"/>
  <c r="O5" i="15" s="1"/>
  <c r="Q5" i="15" s="1"/>
  <c r="S5" i="15" s="1"/>
  <c r="AA5" i="15" s="1"/>
  <c r="F5" i="20"/>
  <c r="J5" i="20" s="1"/>
  <c r="F5" i="19"/>
  <c r="J5" i="19" s="1"/>
  <c r="K5" i="19" s="1"/>
  <c r="L5" i="19" s="1"/>
  <c r="E19" i="23"/>
  <c r="I19" i="23" s="1"/>
  <c r="E19" i="21"/>
  <c r="I19" i="21" s="1"/>
  <c r="K19" i="21" s="1"/>
  <c r="L19" i="21" s="1"/>
  <c r="E19" i="20"/>
  <c r="I19" i="20" s="1"/>
  <c r="E19" i="14"/>
  <c r="N19" i="14" s="1"/>
  <c r="P19" i="14" s="1"/>
  <c r="S19" i="14" s="1"/>
  <c r="AA19" i="14" s="1"/>
  <c r="E19" i="18"/>
  <c r="I19" i="18" s="1"/>
  <c r="K19" i="18" s="1"/>
  <c r="L19" i="18" s="1"/>
  <c r="M19" i="18" s="1"/>
  <c r="E19" i="16"/>
  <c r="N19" i="16" s="1"/>
  <c r="P19" i="16" s="1"/>
  <c r="E19" i="17"/>
  <c r="N19" i="17" s="1"/>
  <c r="P19" i="17" s="1"/>
  <c r="E19" i="22"/>
  <c r="N19" i="22" s="1"/>
  <c r="P19" i="22" s="1"/>
  <c r="E19" i="15"/>
  <c r="N19" i="15" s="1"/>
  <c r="P19" i="15" s="1"/>
  <c r="E19" i="19"/>
  <c r="I19" i="19" s="1"/>
  <c r="E17" i="22"/>
  <c r="N17" i="22" s="1"/>
  <c r="P17" i="22" s="1"/>
  <c r="E17" i="23"/>
  <c r="I17" i="23" s="1"/>
  <c r="E17" i="20"/>
  <c r="I17" i="20" s="1"/>
  <c r="K17" i="20" s="1"/>
  <c r="L17" i="20" s="1"/>
  <c r="E17" i="21"/>
  <c r="I17" i="21" s="1"/>
  <c r="K17" i="21" s="1"/>
  <c r="L17" i="21" s="1"/>
  <c r="M17" i="21" s="1"/>
  <c r="E17" i="18"/>
  <c r="I17" i="18" s="1"/>
  <c r="K17" i="18" s="1"/>
  <c r="L17" i="18" s="1"/>
  <c r="M17" i="18" s="1"/>
  <c r="E17" i="19"/>
  <c r="I17" i="19" s="1"/>
  <c r="E17" i="17"/>
  <c r="N17" i="17" s="1"/>
  <c r="P17" i="17" s="1"/>
  <c r="S17" i="17" s="1"/>
  <c r="R17" i="17" s="1"/>
  <c r="Z17" i="17" s="1"/>
  <c r="E17" i="16"/>
  <c r="N17" i="16" s="1"/>
  <c r="P17" i="16" s="1"/>
  <c r="T17" i="16" s="1"/>
  <c r="E17" i="15"/>
  <c r="N17" i="15" s="1"/>
  <c r="E17" i="14"/>
  <c r="N17" i="14" s="1"/>
  <c r="P17" i="14" s="1"/>
  <c r="S17" i="14" s="1"/>
  <c r="AA17" i="14" s="1"/>
  <c r="AC17" i="14" s="1"/>
  <c r="E15" i="23"/>
  <c r="I15" i="23" s="1"/>
  <c r="E15" i="22"/>
  <c r="N15" i="22" s="1"/>
  <c r="P15" i="22" s="1"/>
  <c r="E15" i="21"/>
  <c r="I15" i="21" s="1"/>
  <c r="K15" i="21" s="1"/>
  <c r="L15" i="21" s="1"/>
  <c r="E15" i="19"/>
  <c r="I15" i="19" s="1"/>
  <c r="E15" i="20"/>
  <c r="I15" i="20" s="1"/>
  <c r="E15" i="18"/>
  <c r="I15" i="18" s="1"/>
  <c r="K15" i="18" s="1"/>
  <c r="L15" i="18" s="1"/>
  <c r="E15" i="15"/>
  <c r="N15" i="15" s="1"/>
  <c r="E15" i="17"/>
  <c r="N15" i="17" s="1"/>
  <c r="P15" i="17" s="1"/>
  <c r="E15" i="14"/>
  <c r="N15" i="14" s="1"/>
  <c r="P15" i="14" s="1"/>
  <c r="S15" i="14" s="1"/>
  <c r="AA15" i="14" s="1"/>
  <c r="AC15" i="14" s="1"/>
  <c r="E15" i="16"/>
  <c r="N15" i="16" s="1"/>
  <c r="P15" i="16" s="1"/>
  <c r="F7" i="22"/>
  <c r="O7" i="22" s="1"/>
  <c r="Q7" i="22" s="1"/>
  <c r="F7" i="21"/>
  <c r="J7" i="21" s="1"/>
  <c r="F7" i="20"/>
  <c r="J7" i="20" s="1"/>
  <c r="F7" i="19"/>
  <c r="J7" i="19" s="1"/>
  <c r="K7" i="19" s="1"/>
  <c r="L7" i="19" s="1"/>
  <c r="F7" i="23"/>
  <c r="J7" i="23" s="1"/>
  <c r="AG7" i="23" s="1"/>
  <c r="AH7" i="23" s="1"/>
  <c r="F7" i="14"/>
  <c r="O7" i="14" s="1"/>
  <c r="Q7" i="14" s="1"/>
  <c r="F7" i="16"/>
  <c r="O7" i="16" s="1"/>
  <c r="Q7" i="16" s="1"/>
  <c r="F7" i="17"/>
  <c r="O7" i="17" s="1"/>
  <c r="Q7" i="17" s="1"/>
  <c r="F7" i="15"/>
  <c r="O7" i="15" s="1"/>
  <c r="Q7" i="15" s="1"/>
  <c r="S7" i="15" s="1"/>
  <c r="AA7" i="15" s="1"/>
  <c r="F7" i="18"/>
  <c r="J7" i="18" s="1"/>
  <c r="E6" i="20"/>
  <c r="I6" i="20" s="1"/>
  <c r="E6" i="22"/>
  <c r="N6" i="22" s="1"/>
  <c r="P6" i="22" s="1"/>
  <c r="E6" i="23"/>
  <c r="I6" i="23" s="1"/>
  <c r="E6" i="18"/>
  <c r="I6" i="18" s="1"/>
  <c r="K6" i="18" s="1"/>
  <c r="L6" i="18" s="1"/>
  <c r="E6" i="14"/>
  <c r="N6" i="14" s="1"/>
  <c r="P6" i="14" s="1"/>
  <c r="S6" i="14" s="1"/>
  <c r="AA6" i="14" s="1"/>
  <c r="E6" i="19"/>
  <c r="I6" i="19" s="1"/>
  <c r="E6" i="16"/>
  <c r="N6" i="16" s="1"/>
  <c r="P6" i="16" s="1"/>
  <c r="E6" i="17"/>
  <c r="N6" i="17" s="1"/>
  <c r="P6" i="17" s="1"/>
  <c r="E6" i="15"/>
  <c r="N6" i="15" s="1"/>
  <c r="E6" i="21"/>
  <c r="I6" i="21" s="1"/>
  <c r="K6" i="21" s="1"/>
  <c r="L6" i="21" s="1"/>
  <c r="F22" i="23"/>
  <c r="J22" i="23" s="1"/>
  <c r="AG22" i="23" s="1"/>
  <c r="AH22" i="23" s="1"/>
  <c r="F22" i="19"/>
  <c r="J22" i="19" s="1"/>
  <c r="K22" i="19" s="1"/>
  <c r="L22" i="19" s="1"/>
  <c r="F22" i="21"/>
  <c r="J22" i="21" s="1"/>
  <c r="F22" i="20"/>
  <c r="J22" i="20" s="1"/>
  <c r="F22" i="15"/>
  <c r="O22" i="15" s="1"/>
  <c r="Q22" i="15" s="1"/>
  <c r="S22" i="15" s="1"/>
  <c r="AA22" i="15" s="1"/>
  <c r="F22" i="14"/>
  <c r="O22" i="14" s="1"/>
  <c r="Q22" i="14" s="1"/>
  <c r="F22" i="18"/>
  <c r="J22" i="18" s="1"/>
  <c r="F22" i="22"/>
  <c r="O22" i="22" s="1"/>
  <c r="Q22" i="22" s="1"/>
  <c r="F22" i="16"/>
  <c r="O22" i="16" s="1"/>
  <c r="Q22" i="16" s="1"/>
  <c r="F22" i="17"/>
  <c r="O22" i="17" s="1"/>
  <c r="Q22" i="17" s="1"/>
  <c r="F9" i="23"/>
  <c r="J9" i="23" s="1"/>
  <c r="AG9" i="23" s="1"/>
  <c r="AH9" i="23" s="1"/>
  <c r="F9" i="22"/>
  <c r="O9" i="22" s="1"/>
  <c r="Q9" i="22" s="1"/>
  <c r="F9" i="21"/>
  <c r="J9" i="21" s="1"/>
  <c r="F9" i="20"/>
  <c r="J9" i="20" s="1"/>
  <c r="F9" i="19"/>
  <c r="J9" i="19" s="1"/>
  <c r="K9" i="19" s="1"/>
  <c r="L9" i="19" s="1"/>
  <c r="F9" i="15"/>
  <c r="O9" i="15" s="1"/>
  <c r="Q9" i="15" s="1"/>
  <c r="S9" i="15" s="1"/>
  <c r="AA9" i="15" s="1"/>
  <c r="AC9" i="15" s="1"/>
  <c r="F9" i="18"/>
  <c r="J9" i="18" s="1"/>
  <c r="F9" i="14"/>
  <c r="O9" i="14" s="1"/>
  <c r="Q9" i="14" s="1"/>
  <c r="F9" i="16"/>
  <c r="O9" i="16" s="1"/>
  <c r="Q9" i="16" s="1"/>
  <c r="F9" i="17"/>
  <c r="O9" i="17" s="1"/>
  <c r="Q9" i="17" s="1"/>
  <c r="E5" i="22"/>
  <c r="N5" i="22" s="1"/>
  <c r="P5" i="22" s="1"/>
  <c r="E5" i="23"/>
  <c r="I5" i="23" s="1"/>
  <c r="E5" i="21"/>
  <c r="I5" i="21" s="1"/>
  <c r="K5" i="21" s="1"/>
  <c r="L5" i="21" s="1"/>
  <c r="E5" i="20"/>
  <c r="I5" i="20" s="1"/>
  <c r="E5" i="19"/>
  <c r="I5" i="19" s="1"/>
  <c r="E5" i="14"/>
  <c r="N5" i="14" s="1"/>
  <c r="P5" i="14" s="1"/>
  <c r="S5" i="14" s="1"/>
  <c r="AA5" i="14" s="1"/>
  <c r="E5" i="16"/>
  <c r="N5" i="16" s="1"/>
  <c r="P5" i="16" s="1"/>
  <c r="E5" i="18"/>
  <c r="I5" i="18" s="1"/>
  <c r="K5" i="18" s="1"/>
  <c r="L5" i="18" s="1"/>
  <c r="E5" i="15"/>
  <c r="N5" i="15" s="1"/>
  <c r="E5" i="17"/>
  <c r="N5" i="17" s="1"/>
  <c r="P5" i="17" s="1"/>
  <c r="F16" i="22"/>
  <c r="O16" i="22" s="1"/>
  <c r="Q16" i="22" s="1"/>
  <c r="F16" i="23"/>
  <c r="J16" i="23" s="1"/>
  <c r="AG16" i="23" s="1"/>
  <c r="AH16" i="23" s="1"/>
  <c r="F16" i="21"/>
  <c r="J16" i="21" s="1"/>
  <c r="F16" i="20"/>
  <c r="J16" i="20" s="1"/>
  <c r="F16" i="19"/>
  <c r="J16" i="19" s="1"/>
  <c r="K16" i="19" s="1"/>
  <c r="L16" i="19" s="1"/>
  <c r="M16" i="19" s="1"/>
  <c r="F16" i="15"/>
  <c r="O16" i="15" s="1"/>
  <c r="Q16" i="15" s="1"/>
  <c r="S16" i="15" s="1"/>
  <c r="AA16" i="15" s="1"/>
  <c r="AC16" i="15" s="1"/>
  <c r="F16" i="14"/>
  <c r="O16" i="14" s="1"/>
  <c r="Q16" i="14" s="1"/>
  <c r="F16" i="17"/>
  <c r="O16" i="17" s="1"/>
  <c r="Q16" i="17" s="1"/>
  <c r="F16" i="18"/>
  <c r="J16" i="18" s="1"/>
  <c r="F16" i="16"/>
  <c r="O16" i="16" s="1"/>
  <c r="Q16" i="16" s="1"/>
  <c r="F21" i="23"/>
  <c r="J21" i="23" s="1"/>
  <c r="AG21" i="23" s="1"/>
  <c r="AH21" i="23" s="1"/>
  <c r="F21" i="20"/>
  <c r="J21" i="20" s="1"/>
  <c r="F21" i="19"/>
  <c r="J21" i="19" s="1"/>
  <c r="K21" i="19" s="1"/>
  <c r="L21" i="19" s="1"/>
  <c r="F21" i="15"/>
  <c r="O21" i="15" s="1"/>
  <c r="Q21" i="15" s="1"/>
  <c r="S21" i="15" s="1"/>
  <c r="AA21" i="15" s="1"/>
  <c r="F21" i="18"/>
  <c r="J21" i="18" s="1"/>
  <c r="F21" i="14"/>
  <c r="O21" i="14" s="1"/>
  <c r="Q21" i="14" s="1"/>
  <c r="F21" i="22"/>
  <c r="O21" i="22" s="1"/>
  <c r="Q21" i="22" s="1"/>
  <c r="F21" i="16"/>
  <c r="O21" i="16" s="1"/>
  <c r="Q21" i="16" s="1"/>
  <c r="F21" i="21"/>
  <c r="J21" i="21" s="1"/>
  <c r="F21" i="17"/>
  <c r="O21" i="17" s="1"/>
  <c r="Q21" i="17" s="1"/>
  <c r="E4" i="23"/>
  <c r="E4" i="21"/>
  <c r="E4" i="22"/>
  <c r="N4" i="22" s="1"/>
  <c r="P4" i="22" s="1"/>
  <c r="E4" i="20"/>
  <c r="E4" i="19"/>
  <c r="E4" i="17"/>
  <c r="N4" i="17" s="1"/>
  <c r="P4" i="17" s="1"/>
  <c r="E4" i="15"/>
  <c r="N4" i="15" s="1"/>
  <c r="E4" i="16"/>
  <c r="N4" i="16" s="1"/>
  <c r="P4" i="16" s="1"/>
  <c r="E4" i="18"/>
  <c r="E4" i="14"/>
  <c r="N4" i="14" s="1"/>
  <c r="P4" i="14" s="1"/>
  <c r="S4" i="14" s="1"/>
  <c r="AA4" i="14" s="1"/>
  <c r="E7" i="23"/>
  <c r="I7" i="23" s="1"/>
  <c r="E7" i="22"/>
  <c r="N7" i="22" s="1"/>
  <c r="P7" i="22" s="1"/>
  <c r="E7" i="20"/>
  <c r="I7" i="20" s="1"/>
  <c r="E7" i="21"/>
  <c r="I7" i="21" s="1"/>
  <c r="K7" i="21" s="1"/>
  <c r="L7" i="21" s="1"/>
  <c r="E7" i="19"/>
  <c r="I7" i="19" s="1"/>
  <c r="E7" i="15"/>
  <c r="N7" i="15" s="1"/>
  <c r="E7" i="14"/>
  <c r="N7" i="14" s="1"/>
  <c r="P7" i="14" s="1"/>
  <c r="S7" i="14" s="1"/>
  <c r="AA7" i="14" s="1"/>
  <c r="E7" i="16"/>
  <c r="N7" i="16" s="1"/>
  <c r="P7" i="16" s="1"/>
  <c r="E7" i="18"/>
  <c r="I7" i="18" s="1"/>
  <c r="K7" i="18" s="1"/>
  <c r="L7" i="18" s="1"/>
  <c r="E7" i="17"/>
  <c r="N7" i="17" s="1"/>
  <c r="P7" i="17" s="1"/>
  <c r="E22" i="23"/>
  <c r="I22" i="23" s="1"/>
  <c r="E22" i="20"/>
  <c r="I22" i="20" s="1"/>
  <c r="E22" i="22"/>
  <c r="N22" i="22" s="1"/>
  <c r="P22" i="22" s="1"/>
  <c r="E22" i="19"/>
  <c r="I22" i="19" s="1"/>
  <c r="E22" i="21"/>
  <c r="I22" i="21" s="1"/>
  <c r="K22" i="21" s="1"/>
  <c r="L22" i="21" s="1"/>
  <c r="E22" i="15"/>
  <c r="N22" i="15" s="1"/>
  <c r="P22" i="15" s="1"/>
  <c r="E22" i="14"/>
  <c r="N22" i="14" s="1"/>
  <c r="P22" i="14" s="1"/>
  <c r="S22" i="14" s="1"/>
  <c r="AA22" i="14" s="1"/>
  <c r="E22" i="18"/>
  <c r="I22" i="18" s="1"/>
  <c r="K22" i="18" s="1"/>
  <c r="L22" i="18" s="1"/>
  <c r="E22" i="16"/>
  <c r="N22" i="16" s="1"/>
  <c r="P22" i="16" s="1"/>
  <c r="E22" i="17"/>
  <c r="N22" i="17" s="1"/>
  <c r="P22" i="17" s="1"/>
  <c r="F10" i="22"/>
  <c r="O10" i="22" s="1"/>
  <c r="Q10" i="22" s="1"/>
  <c r="F10" i="23"/>
  <c r="J10" i="23" s="1"/>
  <c r="AG10" i="23" s="1"/>
  <c r="AH10" i="23" s="1"/>
  <c r="F10" i="21"/>
  <c r="J10" i="21" s="1"/>
  <c r="F10" i="20"/>
  <c r="J10" i="20" s="1"/>
  <c r="F10" i="18"/>
  <c r="J10" i="18" s="1"/>
  <c r="F10" i="15"/>
  <c r="O10" i="15" s="1"/>
  <c r="Q10" i="15" s="1"/>
  <c r="S10" i="15" s="1"/>
  <c r="AA10" i="15" s="1"/>
  <c r="AC10" i="15" s="1"/>
  <c r="F10" i="14"/>
  <c r="O10" i="14" s="1"/>
  <c r="Q10" i="14" s="1"/>
  <c r="F10" i="17"/>
  <c r="O10" i="17" s="1"/>
  <c r="Q10" i="17" s="1"/>
  <c r="F10" i="16"/>
  <c r="O10" i="16" s="1"/>
  <c r="Q10" i="16" s="1"/>
  <c r="F10" i="19"/>
  <c r="J10" i="19" s="1"/>
  <c r="K10" i="19" s="1"/>
  <c r="L10" i="19" s="1"/>
  <c r="E9" i="21"/>
  <c r="I9" i="21" s="1"/>
  <c r="K9" i="21" s="1"/>
  <c r="L9" i="21" s="1"/>
  <c r="M9" i="21" s="1"/>
  <c r="E9" i="23"/>
  <c r="I9" i="23" s="1"/>
  <c r="E9" i="22"/>
  <c r="N9" i="22" s="1"/>
  <c r="P9" i="22" s="1"/>
  <c r="E9" i="20"/>
  <c r="I9" i="20" s="1"/>
  <c r="E9" i="19"/>
  <c r="I9" i="19" s="1"/>
  <c r="E9" i="15"/>
  <c r="N9" i="15" s="1"/>
  <c r="E9" i="18"/>
  <c r="I9" i="18" s="1"/>
  <c r="K9" i="18" s="1"/>
  <c r="L9" i="18" s="1"/>
  <c r="E9" i="17"/>
  <c r="N9" i="17" s="1"/>
  <c r="P9" i="17" s="1"/>
  <c r="E9" i="14"/>
  <c r="N9" i="14" s="1"/>
  <c r="P9" i="14" s="1"/>
  <c r="S9" i="14" s="1"/>
  <c r="AA9" i="14" s="1"/>
  <c r="AC9" i="14" s="1"/>
  <c r="E9" i="16"/>
  <c r="N9" i="16" s="1"/>
  <c r="P9" i="16" s="1"/>
  <c r="E24" i="22"/>
  <c r="N24" i="22" s="1"/>
  <c r="P24" i="22" s="1"/>
  <c r="E24" i="20"/>
  <c r="I24" i="20" s="1"/>
  <c r="E24" i="23"/>
  <c r="I24" i="23" s="1"/>
  <c r="E24" i="18"/>
  <c r="I24" i="18" s="1"/>
  <c r="K24" i="18" s="1"/>
  <c r="L24" i="18" s="1"/>
  <c r="M24" i="18" s="1"/>
  <c r="E24" i="21"/>
  <c r="I24" i="21" s="1"/>
  <c r="K24" i="21" s="1"/>
  <c r="L24" i="21" s="1"/>
  <c r="M25" i="21" s="1"/>
  <c r="E24" i="14"/>
  <c r="N24" i="14" s="1"/>
  <c r="P24" i="14" s="1"/>
  <c r="S24" i="14" s="1"/>
  <c r="AA24" i="14" s="1"/>
  <c r="E24" i="15"/>
  <c r="N24" i="15" s="1"/>
  <c r="P24" i="15" s="1"/>
  <c r="E24" i="17"/>
  <c r="N24" i="17" s="1"/>
  <c r="P24" i="17" s="1"/>
  <c r="E24" i="16"/>
  <c r="N24" i="16" s="1"/>
  <c r="P24" i="16" s="1"/>
  <c r="E24" i="19"/>
  <c r="I24" i="19" s="1"/>
  <c r="F19" i="22"/>
  <c r="O19" i="22" s="1"/>
  <c r="Q19" i="22" s="1"/>
  <c r="F19" i="20"/>
  <c r="J19" i="20" s="1"/>
  <c r="F19" i="23"/>
  <c r="J19" i="23" s="1"/>
  <c r="AG19" i="23" s="1"/>
  <c r="AH19" i="23" s="1"/>
  <c r="AI19" i="23" s="1"/>
  <c r="F19" i="21"/>
  <c r="J19" i="21" s="1"/>
  <c r="F19" i="19"/>
  <c r="J19" i="19" s="1"/>
  <c r="K19" i="19" s="1"/>
  <c r="L19" i="19" s="1"/>
  <c r="M19" i="19" s="1"/>
  <c r="F19" i="18"/>
  <c r="J19" i="18" s="1"/>
  <c r="F19" i="14"/>
  <c r="O19" i="14" s="1"/>
  <c r="Q19" i="14" s="1"/>
  <c r="F19" i="16"/>
  <c r="O19" i="16" s="1"/>
  <c r="Q19" i="16" s="1"/>
  <c r="F19" i="15"/>
  <c r="O19" i="15" s="1"/>
  <c r="Q19" i="15" s="1"/>
  <c r="S19" i="15" s="1"/>
  <c r="AA19" i="15" s="1"/>
  <c r="F19" i="17"/>
  <c r="O19" i="17" s="1"/>
  <c r="Q19" i="17" s="1"/>
  <c r="F8" i="23"/>
  <c r="J8" i="23" s="1"/>
  <c r="AG8" i="23" s="1"/>
  <c r="AH8" i="23" s="1"/>
  <c r="F8" i="22"/>
  <c r="O8" i="22" s="1"/>
  <c r="Q8" i="22" s="1"/>
  <c r="F8" i="21"/>
  <c r="J8" i="21" s="1"/>
  <c r="F8" i="19"/>
  <c r="J8" i="19" s="1"/>
  <c r="K8" i="19" s="1"/>
  <c r="L8" i="19" s="1"/>
  <c r="F8" i="20"/>
  <c r="J8" i="20" s="1"/>
  <c r="F8" i="15"/>
  <c r="O8" i="15" s="1"/>
  <c r="Q8" i="15" s="1"/>
  <c r="S8" i="15" s="1"/>
  <c r="AA8" i="15" s="1"/>
  <c r="AC8" i="15" s="1"/>
  <c r="F8" i="14"/>
  <c r="O8" i="14" s="1"/>
  <c r="Q8" i="14" s="1"/>
  <c r="F8" i="16"/>
  <c r="O8" i="16" s="1"/>
  <c r="Q8" i="16" s="1"/>
  <c r="F8" i="18"/>
  <c r="J8" i="18" s="1"/>
  <c r="F8" i="17"/>
  <c r="O8" i="17" s="1"/>
  <c r="Q8" i="17" s="1"/>
  <c r="F14" i="23"/>
  <c r="J14" i="23" s="1"/>
  <c r="AG14" i="23" s="1"/>
  <c r="AH14" i="23" s="1"/>
  <c r="F14" i="20"/>
  <c r="J14" i="20" s="1"/>
  <c r="F14" i="21"/>
  <c r="J14" i="21" s="1"/>
  <c r="F14" i="22"/>
  <c r="O14" i="22" s="1"/>
  <c r="Q14" i="22" s="1"/>
  <c r="F14" i="15"/>
  <c r="O14" i="15" s="1"/>
  <c r="Q14" i="15" s="1"/>
  <c r="S14" i="15" s="1"/>
  <c r="AA14" i="15" s="1"/>
  <c r="AC14" i="15" s="1"/>
  <c r="F14" i="14"/>
  <c r="O14" i="14" s="1"/>
  <c r="Q14" i="14" s="1"/>
  <c r="F14" i="18"/>
  <c r="J14" i="18" s="1"/>
  <c r="F14" i="16"/>
  <c r="O14" i="16" s="1"/>
  <c r="Q14" i="16" s="1"/>
  <c r="F14" i="19"/>
  <c r="J14" i="19" s="1"/>
  <c r="K14" i="19" s="1"/>
  <c r="L14" i="19" s="1"/>
  <c r="F14" i="17"/>
  <c r="O14" i="17" s="1"/>
  <c r="Q14" i="17" s="1"/>
  <c r="E14" i="23"/>
  <c r="I14" i="23" s="1"/>
  <c r="E14" i="22"/>
  <c r="N14" i="22" s="1"/>
  <c r="P14" i="22" s="1"/>
  <c r="E14" i="21"/>
  <c r="I14" i="21" s="1"/>
  <c r="K14" i="21" s="1"/>
  <c r="L14" i="21" s="1"/>
  <c r="E14" i="20"/>
  <c r="I14" i="20" s="1"/>
  <c r="K14" i="20" s="1"/>
  <c r="L14" i="20" s="1"/>
  <c r="E14" i="19"/>
  <c r="I14" i="19" s="1"/>
  <c r="E14" i="15"/>
  <c r="N14" i="15" s="1"/>
  <c r="E14" i="14"/>
  <c r="N14" i="14" s="1"/>
  <c r="P14" i="14" s="1"/>
  <c r="S14" i="14" s="1"/>
  <c r="AA14" i="14" s="1"/>
  <c r="AC14" i="14" s="1"/>
  <c r="E14" i="18"/>
  <c r="I14" i="18" s="1"/>
  <c r="K14" i="18" s="1"/>
  <c r="L14" i="18" s="1"/>
  <c r="E14" i="17"/>
  <c r="N14" i="17" s="1"/>
  <c r="P14" i="17" s="1"/>
  <c r="E14" i="16"/>
  <c r="N14" i="16" s="1"/>
  <c r="P14" i="16" s="1"/>
  <c r="E21" i="20"/>
  <c r="I21" i="20" s="1"/>
  <c r="E21" i="23"/>
  <c r="I21" i="23" s="1"/>
  <c r="E21" i="21"/>
  <c r="I21" i="21" s="1"/>
  <c r="K21" i="21" s="1"/>
  <c r="L21" i="21" s="1"/>
  <c r="M21" i="21" s="1"/>
  <c r="E21" i="19"/>
  <c r="I21" i="19" s="1"/>
  <c r="E21" i="18"/>
  <c r="I21" i="18" s="1"/>
  <c r="K21" i="18" s="1"/>
  <c r="L21" i="18" s="1"/>
  <c r="E21" i="22"/>
  <c r="N21" i="22" s="1"/>
  <c r="P21" i="22" s="1"/>
  <c r="E21" i="15"/>
  <c r="N21" i="15" s="1"/>
  <c r="P21" i="15" s="1"/>
  <c r="E21" i="14"/>
  <c r="N21" i="14" s="1"/>
  <c r="P21" i="14" s="1"/>
  <c r="S21" i="14" s="1"/>
  <c r="AA21" i="14" s="1"/>
  <c r="E21" i="16"/>
  <c r="N21" i="16" s="1"/>
  <c r="P21" i="16" s="1"/>
  <c r="E21" i="17"/>
  <c r="N21" i="17" s="1"/>
  <c r="P21" i="17" s="1"/>
  <c r="E13" i="23"/>
  <c r="I13" i="23" s="1"/>
  <c r="E13" i="21"/>
  <c r="I13" i="21" s="1"/>
  <c r="K13" i="21" s="1"/>
  <c r="L13" i="21" s="1"/>
  <c r="E13" i="22"/>
  <c r="N13" i="22" s="1"/>
  <c r="P13" i="22" s="1"/>
  <c r="E13" i="20"/>
  <c r="I13" i="20" s="1"/>
  <c r="E13" i="14"/>
  <c r="N13" i="14" s="1"/>
  <c r="P13" i="14" s="1"/>
  <c r="S13" i="14" s="1"/>
  <c r="AA13" i="14" s="1"/>
  <c r="AC13" i="14" s="1"/>
  <c r="E13" i="16"/>
  <c r="N13" i="16" s="1"/>
  <c r="P13" i="16" s="1"/>
  <c r="E13" i="17"/>
  <c r="N13" i="17" s="1"/>
  <c r="P13" i="17" s="1"/>
  <c r="E13" i="15"/>
  <c r="N13" i="15" s="1"/>
  <c r="E13" i="19"/>
  <c r="I13" i="19" s="1"/>
  <c r="E13" i="18"/>
  <c r="I13" i="18" s="1"/>
  <c r="K13" i="18" s="1"/>
  <c r="L13" i="18" s="1"/>
  <c r="F13" i="22"/>
  <c r="O13" i="22" s="1"/>
  <c r="Q13" i="22" s="1"/>
  <c r="F13" i="21"/>
  <c r="J13" i="21" s="1"/>
  <c r="F13" i="23"/>
  <c r="J13" i="23" s="1"/>
  <c r="AG13" i="23" s="1"/>
  <c r="AH13" i="23" s="1"/>
  <c r="AI13" i="23" s="1"/>
  <c r="F13" i="20"/>
  <c r="J13" i="20" s="1"/>
  <c r="F13" i="19"/>
  <c r="J13" i="19" s="1"/>
  <c r="K13" i="19" s="1"/>
  <c r="L13" i="19" s="1"/>
  <c r="F13" i="14"/>
  <c r="O13" i="14" s="1"/>
  <c r="Q13" i="14" s="1"/>
  <c r="F13" i="16"/>
  <c r="O13" i="16" s="1"/>
  <c r="Q13" i="16" s="1"/>
  <c r="F13" i="18"/>
  <c r="J13" i="18" s="1"/>
  <c r="F13" i="15"/>
  <c r="O13" i="15" s="1"/>
  <c r="Q13" i="15" s="1"/>
  <c r="S13" i="15" s="1"/>
  <c r="AA13" i="15" s="1"/>
  <c r="AC13" i="15" s="1"/>
  <c r="F13" i="17"/>
  <c r="O13" i="17" s="1"/>
  <c r="Q13" i="17" s="1"/>
  <c r="E11" i="23"/>
  <c r="I11" i="23" s="1"/>
  <c r="E11" i="22"/>
  <c r="N11" i="22" s="1"/>
  <c r="P11" i="22" s="1"/>
  <c r="E11" i="21"/>
  <c r="I11" i="21" s="1"/>
  <c r="K11" i="21" s="1"/>
  <c r="L11" i="21" s="1"/>
  <c r="E11" i="20"/>
  <c r="I11" i="20" s="1"/>
  <c r="K11" i="20" s="1"/>
  <c r="L11" i="20" s="1"/>
  <c r="E11" i="17"/>
  <c r="N11" i="17" s="1"/>
  <c r="P11" i="17" s="1"/>
  <c r="S11" i="17" s="1"/>
  <c r="E11" i="19"/>
  <c r="I11" i="19" s="1"/>
  <c r="E11" i="18"/>
  <c r="I11" i="18" s="1"/>
  <c r="K11" i="18" s="1"/>
  <c r="L11" i="18" s="1"/>
  <c r="M11" i="18" s="1"/>
  <c r="E11" i="16"/>
  <c r="N11" i="16" s="1"/>
  <c r="P11" i="16" s="1"/>
  <c r="E11" i="15"/>
  <c r="N11" i="15" s="1"/>
  <c r="E11" i="14"/>
  <c r="N11" i="14" s="1"/>
  <c r="P11" i="14" s="1"/>
  <c r="S11" i="14" s="1"/>
  <c r="AA11" i="14" s="1"/>
  <c r="AC11" i="14" s="1"/>
  <c r="F23" i="23"/>
  <c r="J23" i="23" s="1"/>
  <c r="AG23" i="23" s="1"/>
  <c r="AH23" i="23" s="1"/>
  <c r="F23" i="20"/>
  <c r="J23" i="20" s="1"/>
  <c r="F23" i="22"/>
  <c r="O23" i="22" s="1"/>
  <c r="Q23" i="22" s="1"/>
  <c r="F23" i="19"/>
  <c r="J23" i="19" s="1"/>
  <c r="K23" i="19" s="1"/>
  <c r="L23" i="19" s="1"/>
  <c r="F23" i="15"/>
  <c r="O23" i="15" s="1"/>
  <c r="Q23" i="15" s="1"/>
  <c r="S23" i="15" s="1"/>
  <c r="AA23" i="15" s="1"/>
  <c r="F23" i="14"/>
  <c r="O23" i="14" s="1"/>
  <c r="Q23" i="14" s="1"/>
  <c r="F23" i="16"/>
  <c r="O23" i="16" s="1"/>
  <c r="Q23" i="16" s="1"/>
  <c r="F23" i="17"/>
  <c r="O23" i="17" s="1"/>
  <c r="Q23" i="17" s="1"/>
  <c r="F23" i="18"/>
  <c r="J23" i="18" s="1"/>
  <c r="F23" i="21"/>
  <c r="J23" i="21" s="1"/>
  <c r="AI17" i="23"/>
  <c r="BC25" i="23"/>
  <c r="BD25" i="23" s="1"/>
  <c r="BY25" i="23"/>
  <c r="BZ25" i="23" s="1"/>
  <c r="K25" i="23"/>
  <c r="L25" i="23" s="1"/>
  <c r="AM25" i="22"/>
  <c r="AM22" i="22"/>
  <c r="AM11" i="22"/>
  <c r="AM20" i="22"/>
  <c r="AM7" i="22"/>
  <c r="AM6" i="22"/>
  <c r="AM24" i="22"/>
  <c r="AM19" i="22"/>
  <c r="AM14" i="22"/>
  <c r="AM21" i="22"/>
  <c r="AM17" i="22"/>
  <c r="AM16" i="22"/>
  <c r="AM9" i="22"/>
  <c r="AM5" i="22"/>
  <c r="AM15" i="22"/>
  <c r="AM12" i="22"/>
  <c r="AM23" i="22"/>
  <c r="AM10" i="22"/>
  <c r="AM4" i="22"/>
  <c r="AT14" i="22" s="1"/>
  <c r="F12" i="24" s="1"/>
  <c r="AM8" i="22"/>
  <c r="AM18" i="22"/>
  <c r="AM13" i="22"/>
  <c r="AN4" i="21"/>
  <c r="AT14" i="21" s="1"/>
  <c r="E25" i="24" s="1"/>
  <c r="AN4" i="20"/>
  <c r="AT14" i="20" s="1"/>
  <c r="D25" i="24" s="1"/>
  <c r="AN4" i="19"/>
  <c r="AT14" i="19" s="1"/>
  <c r="C25" i="24" s="1"/>
  <c r="AN4" i="18"/>
  <c r="AT14" i="18" s="1"/>
  <c r="B25" i="24" s="1"/>
  <c r="AG9" i="17"/>
  <c r="AF16" i="17"/>
  <c r="AG24" i="17"/>
  <c r="AG23" i="17"/>
  <c r="AG7" i="17"/>
  <c r="AG21" i="17"/>
  <c r="AD16" i="17"/>
  <c r="AG8" i="17"/>
  <c r="AG13" i="17"/>
  <c r="AE16" i="17"/>
  <c r="AG14" i="17"/>
  <c r="AG15" i="17"/>
  <c r="AG11" i="17"/>
  <c r="AG5" i="17"/>
  <c r="AG22" i="17"/>
  <c r="AG10" i="17"/>
  <c r="AG19" i="17"/>
  <c r="AG6" i="17"/>
  <c r="AG18" i="17"/>
  <c r="AG25" i="17"/>
  <c r="AG4" i="17"/>
  <c r="AM14" i="17" s="1"/>
  <c r="E12" i="24" s="1"/>
  <c r="AG12" i="17"/>
  <c r="AG17" i="17"/>
  <c r="AG15" i="16"/>
  <c r="AG4" i="16"/>
  <c r="AM14" i="16" s="1"/>
  <c r="D12" i="24" s="1"/>
  <c r="AG17" i="16"/>
  <c r="AG12" i="16"/>
  <c r="AG7" i="16"/>
  <c r="AG11" i="16"/>
  <c r="AG13" i="16"/>
  <c r="AG23" i="16"/>
  <c r="AG22" i="16"/>
  <c r="AG14" i="16"/>
  <c r="AG24" i="16"/>
  <c r="AG10" i="16"/>
  <c r="AG9" i="16"/>
  <c r="AG25" i="16"/>
  <c r="AG16" i="16"/>
  <c r="AG19" i="16"/>
  <c r="AG5" i="16"/>
  <c r="AG8" i="16"/>
  <c r="AG21" i="16"/>
  <c r="AG18" i="16"/>
  <c r="AG6" i="16"/>
  <c r="AG20" i="16"/>
  <c r="AG20" i="15"/>
  <c r="AG21" i="15"/>
  <c r="AG11" i="15"/>
  <c r="AG10" i="15"/>
  <c r="AC17" i="15"/>
  <c r="AG12" i="15"/>
  <c r="AG23" i="15"/>
  <c r="AG7" i="15"/>
  <c r="AG13" i="15"/>
  <c r="AG24" i="15"/>
  <c r="AG9" i="15"/>
  <c r="AG14" i="15"/>
  <c r="AG15" i="15"/>
  <c r="AG5" i="15"/>
  <c r="AG8" i="15"/>
  <c r="AG25" i="15"/>
  <c r="AG16" i="15"/>
  <c r="AG18" i="15"/>
  <c r="AG19" i="15"/>
  <c r="AG17" i="15"/>
  <c r="AG22" i="15"/>
  <c r="AG4" i="15"/>
  <c r="AM14" i="15" s="1"/>
  <c r="C12" i="24" s="1"/>
  <c r="AG13" i="14"/>
  <c r="AG16" i="14"/>
  <c r="AG14" i="14"/>
  <c r="AG22" i="14"/>
  <c r="AG10" i="14"/>
  <c r="AG6" i="14"/>
  <c r="AG15" i="14"/>
  <c r="AG11" i="14"/>
  <c r="AG21" i="14"/>
  <c r="AG17" i="14"/>
  <c r="AG12" i="14"/>
  <c r="AG7" i="14"/>
  <c r="AG5" i="14"/>
  <c r="AG24" i="14"/>
  <c r="AG25" i="14"/>
  <c r="AG18" i="14"/>
  <c r="AG8" i="14"/>
  <c r="AG19" i="14"/>
  <c r="AG9" i="14"/>
  <c r="AG20" i="14"/>
  <c r="AG4" i="14"/>
  <c r="AM14" i="14" s="1"/>
  <c r="B12" i="24" s="1"/>
  <c r="AM12" i="14"/>
  <c r="Z23" i="14"/>
  <c r="AE23" i="14"/>
  <c r="AD23" i="14"/>
  <c r="AF23" i="14"/>
  <c r="R25" i="17" l="1"/>
  <c r="Z25" i="17" s="1"/>
  <c r="AA17" i="17"/>
  <c r="S20" i="17"/>
  <c r="R20" i="17" s="1"/>
  <c r="Z20" i="17" s="1"/>
  <c r="S15" i="17"/>
  <c r="R15" i="17" s="1"/>
  <c r="Z15" i="17" s="1"/>
  <c r="T10" i="16"/>
  <c r="AB10" i="16" s="1"/>
  <c r="T19" i="16"/>
  <c r="AB19" i="16" s="1"/>
  <c r="AB25" i="16"/>
  <c r="M14" i="18"/>
  <c r="K6" i="20"/>
  <c r="L6" i="20" s="1"/>
  <c r="AI7" i="23"/>
  <c r="S6" i="17"/>
  <c r="R6" i="17" s="1"/>
  <c r="Z6" i="17" s="1"/>
  <c r="K18" i="20"/>
  <c r="L18" i="20" s="1"/>
  <c r="M18" i="20" s="1"/>
  <c r="M19" i="21"/>
  <c r="S7" i="17"/>
  <c r="R7" i="17" s="1"/>
  <c r="Z7" i="17" s="1"/>
  <c r="S14" i="17"/>
  <c r="AA14" i="17" s="1"/>
  <c r="M12" i="19"/>
  <c r="AI21" i="23"/>
  <c r="T18" i="16"/>
  <c r="S18" i="16" s="1"/>
  <c r="AA18" i="16" s="1"/>
  <c r="M11" i="21"/>
  <c r="S24" i="17"/>
  <c r="R24" i="17" s="1"/>
  <c r="Z24" i="17" s="1"/>
  <c r="S12" i="17"/>
  <c r="AA12" i="17" s="1"/>
  <c r="S22" i="17"/>
  <c r="AA22" i="17" s="1"/>
  <c r="M25" i="18"/>
  <c r="M20" i="18"/>
  <c r="AI8" i="23"/>
  <c r="M22" i="19"/>
  <c r="M9" i="18"/>
  <c r="AI23" i="23"/>
  <c r="K5" i="20"/>
  <c r="L5" i="20" s="1"/>
  <c r="AI10" i="23"/>
  <c r="S4" i="17"/>
  <c r="AA4" i="17" s="1"/>
  <c r="AI25" i="23"/>
  <c r="M12" i="21"/>
  <c r="M23" i="21"/>
  <c r="AI11" i="23"/>
  <c r="M20" i="19"/>
  <c r="K8" i="20"/>
  <c r="L8" i="20" s="1"/>
  <c r="M24" i="19"/>
  <c r="S9" i="17"/>
  <c r="AA9" i="17" s="1"/>
  <c r="M6" i="20"/>
  <c r="AI15" i="23"/>
  <c r="T5" i="16"/>
  <c r="S5" i="16" s="1"/>
  <c r="AA5" i="16" s="1"/>
  <c r="M14" i="21"/>
  <c r="T21" i="16"/>
  <c r="AB21" i="16" s="1"/>
  <c r="T20" i="16"/>
  <c r="M6" i="21"/>
  <c r="M8" i="21"/>
  <c r="T13" i="16"/>
  <c r="S13" i="16" s="1"/>
  <c r="AA13" i="16" s="1"/>
  <c r="M17" i="19"/>
  <c r="K13" i="20"/>
  <c r="L13" i="20" s="1"/>
  <c r="M14" i="20" s="1"/>
  <c r="T8" i="16"/>
  <c r="S8" i="16" s="1"/>
  <c r="AA8" i="16" s="1"/>
  <c r="M7" i="18"/>
  <c r="T9" i="16"/>
  <c r="M7" i="19"/>
  <c r="M20" i="21"/>
  <c r="M10" i="19"/>
  <c r="M22" i="18"/>
  <c r="S17" i="16"/>
  <c r="AA17" i="16" s="1"/>
  <c r="AB17" i="16"/>
  <c r="S7" i="22"/>
  <c r="AB7" i="22"/>
  <c r="AA7" i="22" s="1"/>
  <c r="S13" i="17"/>
  <c r="M21" i="18"/>
  <c r="AI14" i="23"/>
  <c r="K22" i="20"/>
  <c r="L22" i="20" s="1"/>
  <c r="V9" i="22"/>
  <c r="Z9" i="22"/>
  <c r="Y9" i="22" s="1"/>
  <c r="Z4" i="22"/>
  <c r="Y4" i="22" s="1"/>
  <c r="V4" i="22"/>
  <c r="M18" i="21"/>
  <c r="S23" i="17"/>
  <c r="AB22" i="22"/>
  <c r="AA22" i="22" s="1"/>
  <c r="S22" i="22"/>
  <c r="V11" i="22"/>
  <c r="Z11" i="22"/>
  <c r="Y11" i="22" s="1"/>
  <c r="S14" i="22"/>
  <c r="AB14" i="22"/>
  <c r="AA14" i="22" s="1"/>
  <c r="BY22" i="23"/>
  <c r="BZ22" i="23" s="1"/>
  <c r="BC22" i="23"/>
  <c r="BD22" i="23" s="1"/>
  <c r="K22" i="23"/>
  <c r="L22" i="23" s="1"/>
  <c r="I4" i="18"/>
  <c r="K4" i="18" s="1"/>
  <c r="L4" i="18" s="1"/>
  <c r="M5" i="18" s="1"/>
  <c r="N5" i="18" s="1"/>
  <c r="U4" i="18"/>
  <c r="W4" i="18" s="1"/>
  <c r="Z4" i="18" s="1"/>
  <c r="AH4" i="18" s="1"/>
  <c r="V21" i="22"/>
  <c r="Z21" i="22"/>
  <c r="Y21" i="22" s="1"/>
  <c r="AI9" i="23"/>
  <c r="AI22" i="23"/>
  <c r="Z5" i="22"/>
  <c r="Y5" i="22" s="1"/>
  <c r="V5" i="22"/>
  <c r="CJ4" i="23"/>
  <c r="CL4" i="23" s="1"/>
  <c r="BN4" i="23"/>
  <c r="BP4" i="23" s="1"/>
  <c r="V4" i="23"/>
  <c r="X4" i="23" s="1"/>
  <c r="AR4" i="23"/>
  <c r="AT4" i="23" s="1"/>
  <c r="AV4" i="23" s="1"/>
  <c r="J4" i="23"/>
  <c r="AG4" i="23" s="1"/>
  <c r="AH4" i="23" s="1"/>
  <c r="AI5" i="23" s="1"/>
  <c r="AJ5" i="23" s="1"/>
  <c r="Z24" i="22"/>
  <c r="Y24" i="22" s="1"/>
  <c r="V24" i="22"/>
  <c r="S18" i="22"/>
  <c r="AB18" i="22"/>
  <c r="AA18" i="22" s="1"/>
  <c r="AI12" i="23"/>
  <c r="AB21" i="22"/>
  <c r="AA21" i="22" s="1"/>
  <c r="S21" i="22"/>
  <c r="K9" i="20"/>
  <c r="L9" i="20" s="1"/>
  <c r="M9" i="20" s="1"/>
  <c r="BY5" i="23"/>
  <c r="BZ5" i="23" s="1"/>
  <c r="BC5" i="23"/>
  <c r="BD5" i="23" s="1"/>
  <c r="K5" i="23"/>
  <c r="L5" i="23" s="1"/>
  <c r="AB8" i="22"/>
  <c r="AA8" i="22" s="1"/>
  <c r="S8" i="22"/>
  <c r="M12" i="18"/>
  <c r="Z6" i="22"/>
  <c r="Y6" i="22" s="1"/>
  <c r="V6" i="22"/>
  <c r="J4" i="21"/>
  <c r="V4" i="21"/>
  <c r="X4" i="21" s="1"/>
  <c r="BY14" i="23"/>
  <c r="BZ14" i="23" s="1"/>
  <c r="BC14" i="23"/>
  <c r="BD14" i="23" s="1"/>
  <c r="K14" i="23"/>
  <c r="L14" i="23" s="1"/>
  <c r="BC21" i="23"/>
  <c r="BD21" i="23" s="1"/>
  <c r="BY21" i="23"/>
  <c r="BZ21" i="23" s="1"/>
  <c r="K21" i="23"/>
  <c r="L21" i="23" s="1"/>
  <c r="AB9" i="22"/>
  <c r="AA9" i="22" s="1"/>
  <c r="S9" i="22"/>
  <c r="V10" i="22"/>
  <c r="Z10" i="22"/>
  <c r="Y10" i="22" s="1"/>
  <c r="AB5" i="22"/>
  <c r="AA5" i="22" s="1"/>
  <c r="S5" i="22"/>
  <c r="T7" i="16"/>
  <c r="K19" i="20"/>
  <c r="L19" i="20" s="1"/>
  <c r="M19" i="20" s="1"/>
  <c r="T15" i="16"/>
  <c r="AI24" i="23"/>
  <c r="K10" i="20"/>
  <c r="L10" i="20" s="1"/>
  <c r="M11" i="20" s="1"/>
  <c r="K23" i="20"/>
  <c r="L23" i="20" s="1"/>
  <c r="AI6" i="23"/>
  <c r="T11" i="16"/>
  <c r="S16" i="17"/>
  <c r="BC11" i="23"/>
  <c r="BD11" i="23" s="1"/>
  <c r="BY11" i="23"/>
  <c r="BZ11" i="23" s="1"/>
  <c r="K11" i="23"/>
  <c r="L11" i="23" s="1"/>
  <c r="V4" i="20"/>
  <c r="X4" i="20" s="1"/>
  <c r="J4" i="20"/>
  <c r="M13" i="19"/>
  <c r="S13" i="22"/>
  <c r="AB13" i="22"/>
  <c r="AA13" i="22" s="1"/>
  <c r="K21" i="20"/>
  <c r="L21" i="20" s="1"/>
  <c r="M14" i="19"/>
  <c r="BY24" i="23"/>
  <c r="BZ24" i="23" s="1"/>
  <c r="CA25" i="23" s="1"/>
  <c r="BC24" i="23"/>
  <c r="BD24" i="23" s="1"/>
  <c r="K24" i="23"/>
  <c r="L24" i="23" s="1"/>
  <c r="BY9" i="23"/>
  <c r="BZ9" i="23" s="1"/>
  <c r="BC9" i="23"/>
  <c r="BD9" i="23" s="1"/>
  <c r="K9" i="23"/>
  <c r="L9" i="23" s="1"/>
  <c r="AI16" i="23"/>
  <c r="M15" i="18"/>
  <c r="AB20" i="22"/>
  <c r="AA20" i="22" s="1"/>
  <c r="S20" i="22"/>
  <c r="V20" i="22"/>
  <c r="Z20" i="22"/>
  <c r="Y20" i="22" s="1"/>
  <c r="BC8" i="23"/>
  <c r="BD8" i="23" s="1"/>
  <c r="BY8" i="23"/>
  <c r="BZ8" i="23" s="1"/>
  <c r="K8" i="23"/>
  <c r="L8" i="23" s="1"/>
  <c r="M10" i="18"/>
  <c r="M23" i="18"/>
  <c r="V18" i="22"/>
  <c r="Z18" i="22"/>
  <c r="Y18" i="22" s="1"/>
  <c r="S19" i="22"/>
  <c r="AB19" i="22"/>
  <c r="AA19" i="22" s="1"/>
  <c r="M24" i="21"/>
  <c r="M13" i="21"/>
  <c r="T14" i="16"/>
  <c r="K24" i="20"/>
  <c r="L24" i="20" s="1"/>
  <c r="I4" i="19"/>
  <c r="U4" i="19"/>
  <c r="W4" i="19" s="1"/>
  <c r="M21" i="19"/>
  <c r="V16" i="22"/>
  <c r="Z16" i="22"/>
  <c r="Y16" i="22" s="1"/>
  <c r="T22" i="16"/>
  <c r="K15" i="20"/>
  <c r="L15" i="20" s="1"/>
  <c r="M15" i="20" s="1"/>
  <c r="BC19" i="23"/>
  <c r="BD19" i="23" s="1"/>
  <c r="BY19" i="23"/>
  <c r="BZ19" i="23" s="1"/>
  <c r="K19" i="23"/>
  <c r="L19" i="23" s="1"/>
  <c r="T4" i="16"/>
  <c r="M15" i="19"/>
  <c r="M25" i="19"/>
  <c r="K20" i="20"/>
  <c r="L20" i="20" s="1"/>
  <c r="M18" i="18"/>
  <c r="S10" i="17"/>
  <c r="M16" i="18"/>
  <c r="AI20" i="23"/>
  <c r="T24" i="16"/>
  <c r="AB23" i="22"/>
  <c r="AA23" i="22" s="1"/>
  <c r="S23" i="22"/>
  <c r="M11" i="19"/>
  <c r="M16" i="21"/>
  <c r="Z12" i="22"/>
  <c r="Y12" i="22" s="1"/>
  <c r="V12" i="22"/>
  <c r="V22" i="22"/>
  <c r="Z22" i="22"/>
  <c r="Y22" i="22" s="1"/>
  <c r="S21" i="17"/>
  <c r="M8" i="19"/>
  <c r="AB4" i="22"/>
  <c r="AA4" i="22" s="1"/>
  <c r="S4" i="22"/>
  <c r="M15" i="21"/>
  <c r="AB17" i="22"/>
  <c r="AA17" i="22" s="1"/>
  <c r="Z17" i="22"/>
  <c r="Y17" i="22" s="1"/>
  <c r="S17" i="22"/>
  <c r="J4" i="19"/>
  <c r="K4" i="19" s="1"/>
  <c r="L4" i="19" s="1"/>
  <c r="M5" i="19" s="1"/>
  <c r="N5" i="19" s="1"/>
  <c r="V4" i="19"/>
  <c r="X4" i="19" s="1"/>
  <c r="Z4" i="19" s="1"/>
  <c r="AH4" i="19" s="1"/>
  <c r="BY20" i="23"/>
  <c r="BZ20" i="23" s="1"/>
  <c r="BC20" i="23"/>
  <c r="BD20" i="23" s="1"/>
  <c r="BE20" i="23" s="1"/>
  <c r="K20" i="23"/>
  <c r="L20" i="23" s="1"/>
  <c r="S8" i="17"/>
  <c r="S18" i="17"/>
  <c r="AA18" i="17" s="1"/>
  <c r="M10" i="21"/>
  <c r="BY23" i="23"/>
  <c r="BZ23" i="23" s="1"/>
  <c r="BC23" i="23"/>
  <c r="BD23" i="23" s="1"/>
  <c r="K23" i="23"/>
  <c r="L23" i="23" s="1"/>
  <c r="AB16" i="22"/>
  <c r="AA16" i="22" s="1"/>
  <c r="S16" i="22"/>
  <c r="BC7" i="23"/>
  <c r="BD7" i="23" s="1"/>
  <c r="BY7" i="23"/>
  <c r="BZ7" i="23" s="1"/>
  <c r="K7" i="23"/>
  <c r="L7" i="23" s="1"/>
  <c r="AB12" i="22"/>
  <c r="AA12" i="22" s="1"/>
  <c r="S12" i="22"/>
  <c r="S5" i="17"/>
  <c r="U4" i="21"/>
  <c r="W4" i="21" s="1"/>
  <c r="Z4" i="21" s="1"/>
  <c r="I4" i="21"/>
  <c r="K4" i="21" s="1"/>
  <c r="L4" i="21" s="1"/>
  <c r="M5" i="21" s="1"/>
  <c r="N5" i="21" s="1"/>
  <c r="T16" i="16"/>
  <c r="M6" i="18"/>
  <c r="AB15" i="22"/>
  <c r="AA15" i="22" s="1"/>
  <c r="S15" i="22"/>
  <c r="J4" i="18"/>
  <c r="V4" i="18"/>
  <c r="X4" i="18" s="1"/>
  <c r="BY12" i="23"/>
  <c r="BZ12" i="23" s="1"/>
  <c r="BC12" i="23"/>
  <c r="BD12" i="23" s="1"/>
  <c r="K12" i="23"/>
  <c r="L12" i="23" s="1"/>
  <c r="AB10" i="22"/>
  <c r="AA10" i="22" s="1"/>
  <c r="S10" i="22"/>
  <c r="T6" i="16"/>
  <c r="K16" i="20"/>
  <c r="L16" i="20" s="1"/>
  <c r="M17" i="20" s="1"/>
  <c r="Z23" i="22"/>
  <c r="Y23" i="22" s="1"/>
  <c r="V23" i="22"/>
  <c r="S6" i="22"/>
  <c r="AB6" i="22"/>
  <c r="AA6" i="22" s="1"/>
  <c r="S19" i="17"/>
  <c r="T23" i="16"/>
  <c r="R11" i="17"/>
  <c r="Z11" i="17" s="1"/>
  <c r="AA11" i="17"/>
  <c r="BY13" i="23"/>
  <c r="BZ13" i="23" s="1"/>
  <c r="BC13" i="23"/>
  <c r="BD13" i="23" s="1"/>
  <c r="K13" i="23"/>
  <c r="L13" i="23" s="1"/>
  <c r="AB24" i="22"/>
  <c r="AA24" i="22" s="1"/>
  <c r="S24" i="22"/>
  <c r="I4" i="20"/>
  <c r="U4" i="20"/>
  <c r="W4" i="20" s="1"/>
  <c r="BY17" i="23"/>
  <c r="BZ17" i="23" s="1"/>
  <c r="BC17" i="23"/>
  <c r="BD17" i="23" s="1"/>
  <c r="K17" i="23"/>
  <c r="L17" i="23" s="1"/>
  <c r="Z13" i="22"/>
  <c r="Y13" i="22" s="1"/>
  <c r="V13" i="22"/>
  <c r="Z19" i="22"/>
  <c r="Y19" i="22" s="1"/>
  <c r="V19" i="22"/>
  <c r="M7" i="21"/>
  <c r="M23" i="19"/>
  <c r="S11" i="22"/>
  <c r="AB11" i="22"/>
  <c r="AA11" i="22" s="1"/>
  <c r="M13" i="18"/>
  <c r="V14" i="22"/>
  <c r="Z14" i="22"/>
  <c r="Y14" i="22" s="1"/>
  <c r="Z8" i="22"/>
  <c r="Y8" i="22" s="1"/>
  <c r="V8" i="22"/>
  <c r="M22" i="21"/>
  <c r="K7" i="20"/>
  <c r="L7" i="20" s="1"/>
  <c r="M7" i="20" s="1"/>
  <c r="CI4" i="23"/>
  <c r="CK4" i="23" s="1"/>
  <c r="BM4" i="23"/>
  <c r="BO4" i="23" s="1"/>
  <c r="I4" i="23"/>
  <c r="AQ4" i="23"/>
  <c r="AS4" i="23" s="1"/>
  <c r="U4" i="23"/>
  <c r="W4" i="23" s="1"/>
  <c r="Z4" i="23" s="1"/>
  <c r="M9" i="19"/>
  <c r="BY6" i="23"/>
  <c r="BZ6" i="23" s="1"/>
  <c r="BC6" i="23"/>
  <c r="BD6" i="23" s="1"/>
  <c r="K6" i="23"/>
  <c r="L6" i="23" s="1"/>
  <c r="Z7" i="22"/>
  <c r="Y7" i="22" s="1"/>
  <c r="V7" i="22"/>
  <c r="BC15" i="23"/>
  <c r="BD15" i="23" s="1"/>
  <c r="BY15" i="23"/>
  <c r="BZ15" i="23" s="1"/>
  <c r="K15" i="23"/>
  <c r="L15" i="23" s="1"/>
  <c r="M15" i="23" s="1"/>
  <c r="V15" i="22"/>
  <c r="Z15" i="22"/>
  <c r="Y15" i="22" s="1"/>
  <c r="V25" i="22"/>
  <c r="AB25" i="22"/>
  <c r="AA25" i="22" s="1"/>
  <c r="Z25" i="22"/>
  <c r="Y25" i="22" s="1"/>
  <c r="M8" i="18"/>
  <c r="BC18" i="23"/>
  <c r="BD18" i="23" s="1"/>
  <c r="K18" i="23"/>
  <c r="L18" i="23" s="1"/>
  <c r="BY18" i="23"/>
  <c r="BZ18" i="23" s="1"/>
  <c r="K12" i="20"/>
  <c r="L12" i="20" s="1"/>
  <c r="M12" i="20" s="1"/>
  <c r="BY10" i="23"/>
  <c r="BZ10" i="23" s="1"/>
  <c r="BC10" i="23"/>
  <c r="BD10" i="23" s="1"/>
  <c r="K10" i="23"/>
  <c r="L10" i="23" s="1"/>
  <c r="M6" i="19"/>
  <c r="T12" i="16"/>
  <c r="BC16" i="23"/>
  <c r="BD16" i="23" s="1"/>
  <c r="BY16" i="23"/>
  <c r="BZ16" i="23" s="1"/>
  <c r="K16" i="23"/>
  <c r="L16" i="23" s="1"/>
  <c r="AG16" i="17"/>
  <c r="AC17" i="17"/>
  <c r="AI18" i="15"/>
  <c r="AM15" i="15" s="1"/>
  <c r="C13" i="24" s="1"/>
  <c r="AI18" i="14"/>
  <c r="AM15" i="14" s="1"/>
  <c r="B13" i="24" s="1"/>
  <c r="AG23" i="14"/>
  <c r="S10" i="16" l="1"/>
  <c r="AA10" i="16" s="1"/>
  <c r="AC10" i="16" s="1"/>
  <c r="R14" i="17"/>
  <c r="Z14" i="17" s="1"/>
  <c r="AC14" i="17" s="1"/>
  <c r="AA15" i="17"/>
  <c r="AC15" i="17" s="1"/>
  <c r="AA20" i="17"/>
  <c r="R12" i="17"/>
  <c r="Z12" i="17" s="1"/>
  <c r="R22" i="17"/>
  <c r="Z22" i="17" s="1"/>
  <c r="S19" i="16"/>
  <c r="AA19" i="16" s="1"/>
  <c r="M6" i="23"/>
  <c r="BE12" i="23"/>
  <c r="M10" i="23"/>
  <c r="AA7" i="17"/>
  <c r="S21" i="16"/>
  <c r="AA21" i="16" s="1"/>
  <c r="AA6" i="17"/>
  <c r="CA12" i="23"/>
  <c r="AB18" i="16"/>
  <c r="AC18" i="16" s="1"/>
  <c r="CA20" i="23"/>
  <c r="AB8" i="16"/>
  <c r="AC8" i="16" s="1"/>
  <c r="AA24" i="17"/>
  <c r="R4" i="17"/>
  <c r="Z4" i="17" s="1"/>
  <c r="K4" i="20"/>
  <c r="L4" i="20" s="1"/>
  <c r="M5" i="20" s="1"/>
  <c r="N5" i="20" s="1"/>
  <c r="N6" i="20" s="1"/>
  <c r="BE10" i="23"/>
  <c r="AI9" i="22"/>
  <c r="M8" i="20"/>
  <c r="CA22" i="23"/>
  <c r="AB13" i="16"/>
  <c r="AC13" i="16" s="1"/>
  <c r="M24" i="20"/>
  <c r="BE8" i="23"/>
  <c r="CA9" i="23"/>
  <c r="AB5" i="16"/>
  <c r="CA17" i="23"/>
  <c r="BE13" i="23"/>
  <c r="R9" i="17"/>
  <c r="Z9" i="17" s="1"/>
  <c r="AC9" i="17" s="1"/>
  <c r="M22" i="23"/>
  <c r="BE22" i="23"/>
  <c r="S9" i="16"/>
  <c r="AA9" i="16" s="1"/>
  <c r="AB9" i="16"/>
  <c r="M14" i="23"/>
  <c r="BE14" i="23"/>
  <c r="M7" i="23"/>
  <c r="M24" i="23"/>
  <c r="M25" i="20"/>
  <c r="CA15" i="23"/>
  <c r="CN4" i="23"/>
  <c r="CM4" i="23" s="1"/>
  <c r="CA7" i="23"/>
  <c r="CA19" i="23"/>
  <c r="M19" i="23"/>
  <c r="BE7" i="23"/>
  <c r="M21" i="20"/>
  <c r="S20" i="16"/>
  <c r="AA20" i="16" s="1"/>
  <c r="AB20" i="16"/>
  <c r="BE18" i="23"/>
  <c r="O5" i="21"/>
  <c r="N6" i="21"/>
  <c r="O5" i="20"/>
  <c r="O5" i="19"/>
  <c r="N6" i="19"/>
  <c r="S4" i="16"/>
  <c r="AA4" i="16" s="1"/>
  <c r="AB4" i="16"/>
  <c r="AB14" i="16"/>
  <c r="S14" i="16"/>
  <c r="AA14" i="16" s="1"/>
  <c r="M22" i="20"/>
  <c r="AI15" i="22"/>
  <c r="R21" i="17"/>
  <c r="Z21" i="17" s="1"/>
  <c r="AA21" i="17"/>
  <c r="S24" i="16"/>
  <c r="AA24" i="16" s="1"/>
  <c r="AB24" i="16"/>
  <c r="BE24" i="23"/>
  <c r="CA11" i="23"/>
  <c r="CA14" i="23"/>
  <c r="R23" i="17"/>
  <c r="Z23" i="17" s="1"/>
  <c r="AA23" i="17"/>
  <c r="CA18" i="23"/>
  <c r="AI16" i="22"/>
  <c r="BE19" i="23"/>
  <c r="CA24" i="23"/>
  <c r="BE11" i="23"/>
  <c r="M11" i="23"/>
  <c r="BE15" i="23"/>
  <c r="M18" i="23"/>
  <c r="M13" i="23"/>
  <c r="AI17" i="22"/>
  <c r="R16" i="17"/>
  <c r="Z16" i="17" s="1"/>
  <c r="AA16" i="17"/>
  <c r="AA13" i="17"/>
  <c r="R13" i="17"/>
  <c r="Z13" i="17" s="1"/>
  <c r="S11" i="16"/>
  <c r="AA11" i="16" s="1"/>
  <c r="AB11" i="16"/>
  <c r="M25" i="23"/>
  <c r="R19" i="17"/>
  <c r="Z19" i="17" s="1"/>
  <c r="AA19" i="17"/>
  <c r="AA4" i="20"/>
  <c r="N6" i="18"/>
  <c r="O5" i="18"/>
  <c r="M16" i="23"/>
  <c r="CA13" i="23"/>
  <c r="AB6" i="16"/>
  <c r="S6" i="16"/>
  <c r="AA6" i="16" s="1"/>
  <c r="S16" i="16"/>
  <c r="AA16" i="16" s="1"/>
  <c r="AB16" i="16"/>
  <c r="AI14" i="22"/>
  <c r="CA16" i="23"/>
  <c r="CA6" i="23"/>
  <c r="AI10" i="22"/>
  <c r="CA23" i="23"/>
  <c r="AC12" i="17"/>
  <c r="AI13" i="22"/>
  <c r="M23" i="20"/>
  <c r="AI18" i="22"/>
  <c r="BE25" i="23"/>
  <c r="BS4" i="23"/>
  <c r="BR4" i="23" s="1"/>
  <c r="M23" i="23"/>
  <c r="BE23" i="23"/>
  <c r="S22" i="16"/>
  <c r="AA22" i="16" s="1"/>
  <c r="AB22" i="16"/>
  <c r="BE16" i="23"/>
  <c r="AC11" i="17"/>
  <c r="Y4" i="21"/>
  <c r="AG4" i="21" s="1"/>
  <c r="AH4" i="21"/>
  <c r="M10" i="20"/>
  <c r="M21" i="23"/>
  <c r="CA10" i="23"/>
  <c r="M16" i="20"/>
  <c r="R10" i="17"/>
  <c r="Z10" i="17" s="1"/>
  <c r="AA10" i="17"/>
  <c r="M17" i="23"/>
  <c r="CA21" i="23"/>
  <c r="AI8" i="22"/>
  <c r="S7" i="16"/>
  <c r="AA7" i="16" s="1"/>
  <c r="AB7" i="16"/>
  <c r="BE6" i="23"/>
  <c r="S12" i="16"/>
  <c r="AA12" i="16" s="1"/>
  <c r="AB12" i="16"/>
  <c r="S23" i="16"/>
  <c r="AA23" i="16" s="1"/>
  <c r="AB23" i="16"/>
  <c r="M12" i="23"/>
  <c r="R5" i="17"/>
  <c r="Z5" i="17" s="1"/>
  <c r="AA5" i="17"/>
  <c r="M20" i="20"/>
  <c r="AI11" i="22"/>
  <c r="BE17" i="23"/>
  <c r="AI12" i="22"/>
  <c r="R8" i="17"/>
  <c r="Z8" i="17" s="1"/>
  <c r="AA8" i="17"/>
  <c r="M8" i="23"/>
  <c r="M9" i="23"/>
  <c r="S15" i="16"/>
  <c r="AA15" i="16" s="1"/>
  <c r="AB15" i="16"/>
  <c r="BE21" i="23"/>
  <c r="AC17" i="16"/>
  <c r="BC4" i="23"/>
  <c r="BD4" i="23" s="1"/>
  <c r="BE5" i="23" s="1"/>
  <c r="BF5" i="23" s="1"/>
  <c r="BY4" i="23"/>
  <c r="BZ4" i="23" s="1"/>
  <c r="CA5" i="23" s="1"/>
  <c r="CB5" i="23" s="1"/>
  <c r="K4" i="23"/>
  <c r="L4" i="23" s="1"/>
  <c r="M5" i="23" s="1"/>
  <c r="N5" i="23" s="1"/>
  <c r="M20" i="23"/>
  <c r="CA8" i="23"/>
  <c r="BE9" i="23"/>
  <c r="AJ6" i="23"/>
  <c r="AK5" i="23"/>
  <c r="M13" i="20"/>
  <c r="R18" i="17"/>
  <c r="Z18" i="17" s="1"/>
  <c r="AC18" i="17" s="1"/>
  <c r="AC14" i="16" l="1"/>
  <c r="AC10" i="17"/>
  <c r="AC16" i="16"/>
  <c r="AC9" i="16"/>
  <c r="N6" i="23"/>
  <c r="O5" i="23"/>
  <c r="BF6" i="23"/>
  <c r="BG5" i="23"/>
  <c r="AC16" i="17"/>
  <c r="AP18" i="22"/>
  <c r="AT15" i="22" s="1"/>
  <c r="F13" i="24" s="1"/>
  <c r="T5" i="18"/>
  <c r="S5" i="18"/>
  <c r="R5" i="18"/>
  <c r="Q5" i="18"/>
  <c r="P5" i="18"/>
  <c r="N7" i="18"/>
  <c r="O6" i="18"/>
  <c r="Z4" i="20"/>
  <c r="AH4" i="20" s="1"/>
  <c r="AI4" i="20"/>
  <c r="N7" i="19"/>
  <c r="O6" i="19"/>
  <c r="S5" i="19"/>
  <c r="Q5" i="19"/>
  <c r="R5" i="19"/>
  <c r="P5" i="19"/>
  <c r="T5" i="19"/>
  <c r="AC15" i="16"/>
  <c r="T5" i="20"/>
  <c r="S5" i="20"/>
  <c r="P5" i="20"/>
  <c r="Q5" i="20"/>
  <c r="R5" i="20"/>
  <c r="AP5" i="23"/>
  <c r="AO5" i="23"/>
  <c r="AN5" i="23"/>
  <c r="AM5" i="23"/>
  <c r="AL5" i="23"/>
  <c r="CB6" i="23"/>
  <c r="CC5" i="23"/>
  <c r="N7" i="20"/>
  <c r="O6" i="20"/>
  <c r="AJ7" i="23"/>
  <c r="AK6" i="23"/>
  <c r="AC11" i="16"/>
  <c r="O6" i="21"/>
  <c r="N7" i="21"/>
  <c r="AC8" i="17"/>
  <c r="AC12" i="16"/>
  <c r="AC13" i="17"/>
  <c r="R5" i="21"/>
  <c r="Q5" i="21"/>
  <c r="T5" i="21"/>
  <c r="S5" i="21"/>
  <c r="P5" i="21"/>
  <c r="AA5" i="21" l="1"/>
  <c r="U5" i="18"/>
  <c r="W5" i="18" s="1"/>
  <c r="V5" i="18"/>
  <c r="AB5" i="21"/>
  <c r="AF5" i="21" s="1"/>
  <c r="CC6" i="23"/>
  <c r="CB7" i="23"/>
  <c r="AA5" i="18"/>
  <c r="Y5" i="18"/>
  <c r="X5" i="18"/>
  <c r="AB5" i="18"/>
  <c r="AF5" i="18" s="1"/>
  <c r="O7" i="18"/>
  <c r="N8" i="18"/>
  <c r="CG5" i="23"/>
  <c r="CF5" i="23"/>
  <c r="CE5" i="23"/>
  <c r="CD5" i="23"/>
  <c r="CH5" i="23"/>
  <c r="AR5" i="23"/>
  <c r="AT5" i="23" s="1"/>
  <c r="AQ5" i="23"/>
  <c r="AS5" i="23" s="1"/>
  <c r="AW5" i="23"/>
  <c r="AU5" i="23"/>
  <c r="AB5" i="19"/>
  <c r="AF5" i="19" s="1"/>
  <c r="U5" i="19"/>
  <c r="W5" i="19" s="1"/>
  <c r="V5" i="19"/>
  <c r="X5" i="19" s="1"/>
  <c r="AI18" i="17"/>
  <c r="AM15" i="17" s="1"/>
  <c r="E13" i="24" s="1"/>
  <c r="AX5" i="23"/>
  <c r="BA5" i="23" s="1"/>
  <c r="AA5" i="19"/>
  <c r="Y5" i="19"/>
  <c r="N8" i="20"/>
  <c r="O7" i="20"/>
  <c r="P6" i="21"/>
  <c r="T6" i="21"/>
  <c r="S6" i="21"/>
  <c r="R6" i="21"/>
  <c r="Q6" i="21"/>
  <c r="AI18" i="16"/>
  <c r="AM15" i="16" s="1"/>
  <c r="D13" i="24" s="1"/>
  <c r="AB5" i="20"/>
  <c r="AD5" i="20" s="1"/>
  <c r="N8" i="19"/>
  <c r="O7" i="19"/>
  <c r="BL5" i="23"/>
  <c r="BK5" i="23"/>
  <c r="BH5" i="23"/>
  <c r="BJ5" i="23"/>
  <c r="BI5" i="23"/>
  <c r="N8" i="21"/>
  <c r="O7" i="21"/>
  <c r="T6" i="19"/>
  <c r="P6" i="19"/>
  <c r="S6" i="19"/>
  <c r="R6" i="19"/>
  <c r="Q6" i="19"/>
  <c r="AL6" i="23"/>
  <c r="AN6" i="23"/>
  <c r="AM6" i="23"/>
  <c r="AP6" i="23"/>
  <c r="AO6" i="23"/>
  <c r="Y5" i="20"/>
  <c r="BF7" i="23"/>
  <c r="BG6" i="23"/>
  <c r="V5" i="21"/>
  <c r="X5" i="21" s="1"/>
  <c r="U5" i="21"/>
  <c r="W5" i="21" s="1"/>
  <c r="AK7" i="23"/>
  <c r="AJ8" i="23"/>
  <c r="U5" i="20"/>
  <c r="W5" i="20" s="1"/>
  <c r="V5" i="20"/>
  <c r="X5" i="20" s="1"/>
  <c r="Q5" i="23"/>
  <c r="T5" i="23"/>
  <c r="S5" i="23"/>
  <c r="R5" i="23"/>
  <c r="P5" i="23"/>
  <c r="T6" i="20"/>
  <c r="Q6" i="20"/>
  <c r="P6" i="20"/>
  <c r="S6" i="20"/>
  <c r="R6" i="20"/>
  <c r="R6" i="18"/>
  <c r="Q6" i="18"/>
  <c r="P6" i="18"/>
  <c r="T6" i="18"/>
  <c r="S6" i="18"/>
  <c r="O6" i="23"/>
  <c r="N7" i="23"/>
  <c r="AZ5" i="23" l="1"/>
  <c r="AD5" i="18"/>
  <c r="AE5" i="19"/>
  <c r="AD5" i="19"/>
  <c r="AY5" i="23"/>
  <c r="AE5" i="18"/>
  <c r="AI5" i="18" s="1"/>
  <c r="AC5" i="18"/>
  <c r="AG5" i="18" s="1"/>
  <c r="AA5" i="20"/>
  <c r="Z5" i="20" s="1"/>
  <c r="AH5" i="20" s="1"/>
  <c r="BT5" i="23"/>
  <c r="BW5" i="23" s="1"/>
  <c r="V6" i="21"/>
  <c r="X6" i="21" s="1"/>
  <c r="U6" i="21"/>
  <c r="W6" i="21" s="1"/>
  <c r="AN7" i="23"/>
  <c r="AL7" i="23"/>
  <c r="AP7" i="23"/>
  <c r="AM7" i="23"/>
  <c r="AO7" i="23"/>
  <c r="V6" i="20"/>
  <c r="X6" i="20" s="1"/>
  <c r="U6" i="20"/>
  <c r="W6" i="20" s="1"/>
  <c r="T7" i="19"/>
  <c r="R7" i="19"/>
  <c r="Q7" i="19"/>
  <c r="S7" i="19"/>
  <c r="P7" i="19"/>
  <c r="AI5" i="19"/>
  <c r="CP5" i="23"/>
  <c r="CS5" i="23" s="1"/>
  <c r="CB8" i="23"/>
  <c r="CC7" i="23"/>
  <c r="Y6" i="20"/>
  <c r="AB6" i="19"/>
  <c r="AF6" i="19" s="1"/>
  <c r="O8" i="19"/>
  <c r="N9" i="19"/>
  <c r="AC5" i="19"/>
  <c r="CH6" i="23"/>
  <c r="CG6" i="23"/>
  <c r="CE6" i="23"/>
  <c r="CF6" i="23"/>
  <c r="CD6" i="23"/>
  <c r="AW6" i="23"/>
  <c r="AU6" i="23"/>
  <c r="AJ9" i="23"/>
  <c r="AK8" i="23"/>
  <c r="AX6" i="23"/>
  <c r="BA6" i="23" s="1"/>
  <c r="Q7" i="20"/>
  <c r="T7" i="20"/>
  <c r="S7" i="20"/>
  <c r="R7" i="20"/>
  <c r="P7" i="20"/>
  <c r="AC5" i="20"/>
  <c r="O8" i="18"/>
  <c r="N9" i="18"/>
  <c r="AD5" i="21"/>
  <c r="AB6" i="18"/>
  <c r="AF6" i="18" s="1"/>
  <c r="AB6" i="20"/>
  <c r="AC6" i="20" s="1"/>
  <c r="AR6" i="23"/>
  <c r="AT6" i="23" s="1"/>
  <c r="AQ6" i="23"/>
  <c r="AS6" i="23" s="1"/>
  <c r="CO5" i="23"/>
  <c r="AA6" i="19"/>
  <c r="Y6" i="19"/>
  <c r="N9" i="20"/>
  <c r="O8" i="20"/>
  <c r="BL6" i="23"/>
  <c r="BK6" i="23"/>
  <c r="BH6" i="23"/>
  <c r="BJ6" i="23"/>
  <c r="BI6" i="23"/>
  <c r="O7" i="23"/>
  <c r="N8" i="23"/>
  <c r="U5" i="23"/>
  <c r="W5" i="23" s="1"/>
  <c r="V5" i="23"/>
  <c r="X5" i="23" s="1"/>
  <c r="BG7" i="23"/>
  <c r="BF8" i="23"/>
  <c r="U6" i="19"/>
  <c r="W6" i="19" s="1"/>
  <c r="V6" i="19"/>
  <c r="X6" i="19" s="1"/>
  <c r="Q7" i="18"/>
  <c r="P7" i="18"/>
  <c r="R7" i="18"/>
  <c r="T7" i="18"/>
  <c r="S7" i="18"/>
  <c r="AC5" i="21"/>
  <c r="T6" i="23"/>
  <c r="R6" i="23"/>
  <c r="Q6" i="23"/>
  <c r="P6" i="23"/>
  <c r="S6" i="23"/>
  <c r="AB5" i="23"/>
  <c r="AD5" i="23" s="1"/>
  <c r="AE5" i="20"/>
  <c r="AF5" i="20"/>
  <c r="Z5" i="19"/>
  <c r="AE5" i="21"/>
  <c r="AI5" i="21" s="1"/>
  <c r="T7" i="21"/>
  <c r="R7" i="21"/>
  <c r="Q7" i="21"/>
  <c r="S7" i="21"/>
  <c r="P7" i="21"/>
  <c r="O8" i="21"/>
  <c r="N9" i="21"/>
  <c r="AA6" i="21"/>
  <c r="AV5" i="23"/>
  <c r="V6" i="18"/>
  <c r="U6" i="18"/>
  <c r="W6" i="18" s="1"/>
  <c r="AA5" i="23"/>
  <c r="Y5" i="23"/>
  <c r="BQ5" i="23"/>
  <c r="AB6" i="21"/>
  <c r="AF6" i="21" s="1"/>
  <c r="AA6" i="18"/>
  <c r="X6" i="18"/>
  <c r="Y6" i="18"/>
  <c r="BM5" i="23"/>
  <c r="BO5" i="23" s="1"/>
  <c r="BN5" i="23"/>
  <c r="BP5" i="23" s="1"/>
  <c r="CI5" i="23"/>
  <c r="CK5" i="23" s="1"/>
  <c r="CJ5" i="23"/>
  <c r="CL5" i="23" s="1"/>
  <c r="Z5" i="18"/>
  <c r="Z5" i="21"/>
  <c r="Y5" i="21" s="1"/>
  <c r="AH5" i="18" l="1"/>
  <c r="AE6" i="21"/>
  <c r="AI6" i="21" s="1"/>
  <c r="AI5" i="20"/>
  <c r="CR5" i="23"/>
  <c r="AD6" i="20"/>
  <c r="AK6" i="20" s="1"/>
  <c r="AK5" i="18"/>
  <c r="CQ5" i="23"/>
  <c r="AD6" i="21"/>
  <c r="AC6" i="21"/>
  <c r="AH5" i="19"/>
  <c r="AL5" i="18"/>
  <c r="AH5" i="21"/>
  <c r="AM5" i="18"/>
  <c r="AG6" i="20"/>
  <c r="BQ6" i="23"/>
  <c r="N10" i="18"/>
  <c r="O9" i="18"/>
  <c r="AK9" i="23"/>
  <c r="AJ10" i="23"/>
  <c r="R8" i="19"/>
  <c r="Q8" i="19"/>
  <c r="T8" i="19"/>
  <c r="S8" i="19"/>
  <c r="P8" i="19"/>
  <c r="AG5" i="19"/>
  <c r="AM5" i="19"/>
  <c r="AK5" i="19"/>
  <c r="AL5" i="19"/>
  <c r="T8" i="18"/>
  <c r="S8" i="18"/>
  <c r="R8" i="18"/>
  <c r="Q8" i="18"/>
  <c r="P8" i="18"/>
  <c r="AC6" i="19"/>
  <c r="AR7" i="23"/>
  <c r="AT7" i="23" s="1"/>
  <c r="AQ7" i="23"/>
  <c r="AS7" i="23" s="1"/>
  <c r="AL5" i="21"/>
  <c r="AM5" i="21"/>
  <c r="AK5" i="21"/>
  <c r="AG5" i="21"/>
  <c r="N9" i="23"/>
  <c r="O8" i="23"/>
  <c r="AN8" i="23"/>
  <c r="AM8" i="23"/>
  <c r="AL8" i="23"/>
  <c r="AP8" i="23"/>
  <c r="AO8" i="23"/>
  <c r="AB7" i="18"/>
  <c r="AF7" i="18" s="1"/>
  <c r="U7" i="18"/>
  <c r="W7" i="18" s="1"/>
  <c r="V7" i="18"/>
  <c r="X7" i="18" s="1"/>
  <c r="BM6" i="23"/>
  <c r="BO6" i="23" s="1"/>
  <c r="BN6" i="23"/>
  <c r="BP6" i="23" s="1"/>
  <c r="AL5" i="20"/>
  <c r="AG5" i="20"/>
  <c r="AK5" i="20"/>
  <c r="AM5" i="20"/>
  <c r="AE6" i="19"/>
  <c r="AI6" i="19" s="1"/>
  <c r="U7" i="19"/>
  <c r="W7" i="19" s="1"/>
  <c r="V7" i="19"/>
  <c r="X7" i="19" s="1"/>
  <c r="AX7" i="23"/>
  <c r="BA7" i="23" s="1"/>
  <c r="R7" i="23"/>
  <c r="T7" i="23"/>
  <c r="S7" i="23"/>
  <c r="Q7" i="23"/>
  <c r="P7" i="23"/>
  <c r="O9" i="19"/>
  <c r="N10" i="19"/>
  <c r="Z5" i="23"/>
  <c r="AE5" i="23"/>
  <c r="AA7" i="18"/>
  <c r="Y7" i="18"/>
  <c r="V7" i="20"/>
  <c r="X7" i="20" s="1"/>
  <c r="U7" i="20"/>
  <c r="W7" i="20" s="1"/>
  <c r="AV6" i="23"/>
  <c r="AD6" i="19"/>
  <c r="Y7" i="19"/>
  <c r="AA7" i="19"/>
  <c r="BS5" i="23"/>
  <c r="BR5" i="23" s="1"/>
  <c r="AB7" i="20"/>
  <c r="AF7" i="20" s="1"/>
  <c r="V7" i="21"/>
  <c r="X7" i="21" s="1"/>
  <c r="U7" i="21"/>
  <c r="W7" i="21" s="1"/>
  <c r="S8" i="20"/>
  <c r="P8" i="20"/>
  <c r="T8" i="20"/>
  <c r="Q8" i="20"/>
  <c r="R8" i="20"/>
  <c r="CJ6" i="23"/>
  <c r="CL6" i="23" s="1"/>
  <c r="CI6" i="23"/>
  <c r="CK6" i="23" s="1"/>
  <c r="AB7" i="19"/>
  <c r="AF7" i="19" s="1"/>
  <c r="BU5" i="23"/>
  <c r="Z6" i="21"/>
  <c r="Y6" i="21" s="1"/>
  <c r="N10" i="21"/>
  <c r="O9" i="21"/>
  <c r="T8" i="21"/>
  <c r="R8" i="21"/>
  <c r="S8" i="21"/>
  <c r="Q8" i="21"/>
  <c r="P8" i="21"/>
  <c r="CN5" i="23"/>
  <c r="CM5" i="23" s="1"/>
  <c r="Z6" i="18"/>
  <c r="BF9" i="23"/>
  <c r="BG8" i="23"/>
  <c r="N10" i="20"/>
  <c r="O9" i="20"/>
  <c r="AE6" i="20"/>
  <c r="AF6" i="20"/>
  <c r="CP6" i="23"/>
  <c r="CS6" i="23" s="1"/>
  <c r="AA6" i="20"/>
  <c r="Z6" i="20" s="1"/>
  <c r="BV5" i="23"/>
  <c r="AC5" i="23"/>
  <c r="AC6" i="18"/>
  <c r="CO6" i="23"/>
  <c r="V6" i="23"/>
  <c r="X6" i="23" s="1"/>
  <c r="U6" i="23"/>
  <c r="W6" i="23" s="1"/>
  <c r="AA7" i="21"/>
  <c r="BH7" i="23"/>
  <c r="BL7" i="23"/>
  <c r="BJ7" i="23"/>
  <c r="BK7" i="23"/>
  <c r="BI7" i="23"/>
  <c r="Y7" i="20"/>
  <c r="AB7" i="21"/>
  <c r="AF7" i="21" s="1"/>
  <c r="Z6" i="19"/>
  <c r="CH7" i="23"/>
  <c r="CG7" i="23"/>
  <c r="CF7" i="23"/>
  <c r="CE7" i="23"/>
  <c r="CD7" i="23"/>
  <c r="AW7" i="23"/>
  <c r="AU7" i="23"/>
  <c r="BT6" i="23"/>
  <c r="BV6" i="23" s="1"/>
  <c r="AA6" i="23"/>
  <c r="Y6" i="23"/>
  <c r="AB6" i="23"/>
  <c r="AE6" i="23" s="1"/>
  <c r="AD6" i="18"/>
  <c r="AZ6" i="23"/>
  <c r="AE6" i="18"/>
  <c r="AI6" i="18" s="1"/>
  <c r="AY6" i="23"/>
  <c r="CB9" i="23"/>
  <c r="CC8" i="23"/>
  <c r="AK6" i="21" l="1"/>
  <c r="AM6" i="21"/>
  <c r="AL6" i="21"/>
  <c r="AC6" i="23"/>
  <c r="AH6" i="20"/>
  <c r="AG6" i="21"/>
  <c r="AC7" i="20"/>
  <c r="AG7" i="20" s="1"/>
  <c r="BU6" i="23"/>
  <c r="AE7" i="20"/>
  <c r="AE7" i="21"/>
  <c r="AI7" i="21" s="1"/>
  <c r="AE7" i="18"/>
  <c r="AI7" i="18" s="1"/>
  <c r="BW6" i="23"/>
  <c r="AM6" i="20"/>
  <c r="AC7" i="18"/>
  <c r="AC7" i="19"/>
  <c r="AG7" i="19" s="1"/>
  <c r="Z7" i="18"/>
  <c r="AD7" i="18"/>
  <c r="AN5" i="18"/>
  <c r="AN5" i="20"/>
  <c r="AH6" i="18"/>
  <c r="AD6" i="23"/>
  <c r="AY7" i="23"/>
  <c r="AE7" i="19"/>
  <c r="AI7" i="19" s="1"/>
  <c r="AD7" i="20"/>
  <c r="AL6" i="20"/>
  <c r="CN6" i="23"/>
  <c r="CM6" i="23" s="1"/>
  <c r="Z6" i="23"/>
  <c r="AH6" i="19"/>
  <c r="BS6" i="23"/>
  <c r="BR6" i="23" s="1"/>
  <c r="V7" i="23"/>
  <c r="X7" i="23" s="1"/>
  <c r="U7" i="23"/>
  <c r="BT7" i="23"/>
  <c r="BW7" i="23" s="1"/>
  <c r="BL8" i="23"/>
  <c r="BJ8" i="23"/>
  <c r="BI8" i="23"/>
  <c r="BH8" i="23"/>
  <c r="BK8" i="23"/>
  <c r="BF10" i="23"/>
  <c r="BG9" i="23"/>
  <c r="AA8" i="18"/>
  <c r="Y8" i="18"/>
  <c r="AX8" i="23"/>
  <c r="AY8" i="23" s="1"/>
  <c r="AB8" i="18"/>
  <c r="AF8" i="18" s="1"/>
  <c r="AK10" i="23"/>
  <c r="AJ11" i="23"/>
  <c r="AC7" i="21"/>
  <c r="AD7" i="19"/>
  <c r="AB7" i="23"/>
  <c r="AE7" i="23" s="1"/>
  <c r="T8" i="23"/>
  <c r="S8" i="23"/>
  <c r="Q8" i="23"/>
  <c r="P8" i="23"/>
  <c r="R8" i="23"/>
  <c r="AM9" i="23"/>
  <c r="AO9" i="23"/>
  <c r="AN9" i="23"/>
  <c r="AL9" i="23"/>
  <c r="AP9" i="23"/>
  <c r="CP7" i="23"/>
  <c r="CR7" i="23" s="1"/>
  <c r="AG6" i="18"/>
  <c r="AM6" i="18"/>
  <c r="AL6" i="18"/>
  <c r="AK6" i="18"/>
  <c r="AH6" i="21"/>
  <c r="O10" i="20"/>
  <c r="N11" i="20"/>
  <c r="Q9" i="18"/>
  <c r="T9" i="18"/>
  <c r="S9" i="18"/>
  <c r="R9" i="18"/>
  <c r="P9" i="18"/>
  <c r="AD7" i="21"/>
  <c r="AH7" i="21" s="1"/>
  <c r="Z7" i="21"/>
  <c r="Y7" i="21" s="1"/>
  <c r="CQ6" i="23"/>
  <c r="W8" i="21"/>
  <c r="AA8" i="21"/>
  <c r="AZ7" i="23"/>
  <c r="AN5" i="19"/>
  <c r="N11" i="18"/>
  <c r="O10" i="18"/>
  <c r="CO7" i="23"/>
  <c r="BN7" i="23"/>
  <c r="BP7" i="23" s="1"/>
  <c r="BM7" i="23"/>
  <c r="BO7" i="23" s="1"/>
  <c r="V8" i="21"/>
  <c r="X8" i="21" s="1"/>
  <c r="U8" i="21"/>
  <c r="O9" i="23"/>
  <c r="N10" i="23"/>
  <c r="CR6" i="23"/>
  <c r="BQ7" i="23"/>
  <c r="AU8" i="23"/>
  <c r="AW8" i="23"/>
  <c r="AB8" i="21"/>
  <c r="AF8" i="21" s="1"/>
  <c r="Z7" i="19"/>
  <c r="AB8" i="19"/>
  <c r="AF8" i="19" s="1"/>
  <c r="CF8" i="23"/>
  <c r="CE8" i="23"/>
  <c r="CD8" i="23"/>
  <c r="CH8" i="23"/>
  <c r="CG8" i="23"/>
  <c r="AV7" i="23"/>
  <c r="AB8" i="20"/>
  <c r="AF8" i="20" s="1"/>
  <c r="CC9" i="23"/>
  <c r="CB10" i="23"/>
  <c r="AA7" i="20"/>
  <c r="Z7" i="20" s="1"/>
  <c r="Y8" i="20"/>
  <c r="AN5" i="21"/>
  <c r="CJ7" i="23"/>
  <c r="CL7" i="23" s="1"/>
  <c r="CI7" i="23"/>
  <c r="CK7" i="23" s="1"/>
  <c r="AI6" i="20"/>
  <c r="S9" i="21"/>
  <c r="Q9" i="21"/>
  <c r="R9" i="21"/>
  <c r="P9" i="21"/>
  <c r="T9" i="21"/>
  <c r="O10" i="19"/>
  <c r="N11" i="19"/>
  <c r="V8" i="19"/>
  <c r="X8" i="19" s="1"/>
  <c r="U8" i="19"/>
  <c r="W8" i="19" s="1"/>
  <c r="T9" i="20"/>
  <c r="Q9" i="20"/>
  <c r="S9" i="20"/>
  <c r="R9" i="20"/>
  <c r="P9" i="20"/>
  <c r="N11" i="21"/>
  <c r="O10" i="21"/>
  <c r="V8" i="20"/>
  <c r="X8" i="20" s="1"/>
  <c r="U8" i="20"/>
  <c r="W8" i="20" s="1"/>
  <c r="P9" i="19"/>
  <c r="T9" i="19"/>
  <c r="R9" i="19"/>
  <c r="S9" i="19"/>
  <c r="Q9" i="19"/>
  <c r="AG6" i="19"/>
  <c r="AL6" i="19"/>
  <c r="AK6" i="19"/>
  <c r="AM6" i="19"/>
  <c r="Y7" i="23"/>
  <c r="AA7" i="23"/>
  <c r="W7" i="23"/>
  <c r="AQ8" i="23"/>
  <c r="AS8" i="23" s="1"/>
  <c r="AR8" i="23"/>
  <c r="AT8" i="23" s="1"/>
  <c r="V8" i="18"/>
  <c r="X8" i="18" s="1"/>
  <c r="U8" i="18"/>
  <c r="W8" i="18" s="1"/>
  <c r="AA8" i="19"/>
  <c r="Y8" i="19"/>
  <c r="AD7" i="23" l="1"/>
  <c r="AC7" i="23"/>
  <c r="AN6" i="21"/>
  <c r="AH7" i="20"/>
  <c r="AL7" i="18"/>
  <c r="AN6" i="20"/>
  <c r="AK7" i="20"/>
  <c r="AM7" i="18"/>
  <c r="AK7" i="18"/>
  <c r="AG7" i="18"/>
  <c r="AE8" i="18"/>
  <c r="AI8" i="18" s="1"/>
  <c r="AH7" i="18"/>
  <c r="AC8" i="18"/>
  <c r="AG8" i="18" s="1"/>
  <c r="AC8" i="19"/>
  <c r="AG8" i="19" s="1"/>
  <c r="AD8" i="18"/>
  <c r="BA8" i="23"/>
  <c r="AM7" i="20"/>
  <c r="AL7" i="20"/>
  <c r="AH7" i="19"/>
  <c r="AN6" i="18"/>
  <c r="BU7" i="23"/>
  <c r="AC8" i="20"/>
  <c r="AD8" i="20"/>
  <c r="AZ8" i="23"/>
  <c r="AD8" i="21"/>
  <c r="AV8" i="23"/>
  <c r="CQ7" i="23"/>
  <c r="Z7" i="23"/>
  <c r="AB9" i="21"/>
  <c r="AF9" i="21" s="1"/>
  <c r="BG10" i="23"/>
  <c r="BF11" i="23"/>
  <c r="AN6" i="19"/>
  <c r="U9" i="20"/>
  <c r="W9" i="20" s="1"/>
  <c r="V9" i="20"/>
  <c r="X9" i="20" s="1"/>
  <c r="AA9" i="21"/>
  <c r="CH9" i="23"/>
  <c r="CG9" i="23"/>
  <c r="CE9" i="23"/>
  <c r="CF9" i="23"/>
  <c r="CD9" i="23"/>
  <c r="AE8" i="19"/>
  <c r="AI8" i="19" s="1"/>
  <c r="O10" i="23"/>
  <c r="N11" i="23"/>
  <c r="Y9" i="18"/>
  <c r="AA9" i="18"/>
  <c r="AD8" i="19"/>
  <c r="T9" i="23"/>
  <c r="Q9" i="23"/>
  <c r="S9" i="23"/>
  <c r="R9" i="23"/>
  <c r="P9" i="23"/>
  <c r="N12" i="20"/>
  <c r="O11" i="20"/>
  <c r="AQ9" i="23"/>
  <c r="AS9" i="23" s="1"/>
  <c r="AR9" i="23"/>
  <c r="AT9" i="23" s="1"/>
  <c r="BN8" i="23"/>
  <c r="BP8" i="23" s="1"/>
  <c r="BM8" i="23"/>
  <c r="BO8" i="23" s="1"/>
  <c r="AI7" i="20"/>
  <c r="AX9" i="23"/>
  <c r="BA9" i="23" s="1"/>
  <c r="BQ8" i="23"/>
  <c r="CP8" i="23"/>
  <c r="CR8" i="23" s="1"/>
  <c r="AA9" i="19"/>
  <c r="Y9" i="19"/>
  <c r="Y9" i="20"/>
  <c r="AE8" i="20"/>
  <c r="AM7" i="19"/>
  <c r="AK7" i="21"/>
  <c r="AG7" i="21"/>
  <c r="AM7" i="21"/>
  <c r="AL7" i="21"/>
  <c r="BT8" i="23"/>
  <c r="BV8" i="23" s="1"/>
  <c r="BK9" i="23"/>
  <c r="BJ9" i="23"/>
  <c r="BI9" i="23"/>
  <c r="BH9" i="23"/>
  <c r="BL9" i="23"/>
  <c r="N12" i="18"/>
  <c r="O11" i="18"/>
  <c r="AW9" i="23"/>
  <c r="AU9" i="23"/>
  <c r="AJ12" i="23"/>
  <c r="AK11" i="23"/>
  <c r="AB9" i="19"/>
  <c r="AF9" i="19" s="1"/>
  <c r="AB8" i="23"/>
  <c r="AE8" i="23" s="1"/>
  <c r="AM10" i="23"/>
  <c r="AP10" i="23"/>
  <c r="AO10" i="23"/>
  <c r="AN10" i="23"/>
  <c r="AL10" i="23"/>
  <c r="BS7" i="23"/>
  <c r="BR7" i="23" s="1"/>
  <c r="AL7" i="19"/>
  <c r="V8" i="23"/>
  <c r="X8" i="23" s="1"/>
  <c r="U8" i="23"/>
  <c r="W8" i="23" s="1"/>
  <c r="BV7" i="23"/>
  <c r="AA8" i="20"/>
  <c r="Z8" i="20" s="1"/>
  <c r="Y8" i="23"/>
  <c r="AA8" i="23"/>
  <c r="Z8" i="18"/>
  <c r="V9" i="21"/>
  <c r="X9" i="21" s="1"/>
  <c r="U9" i="21"/>
  <c r="W9" i="21" s="1"/>
  <c r="N12" i="21"/>
  <c r="O11" i="21"/>
  <c r="CB11" i="23"/>
  <c r="CC10" i="23"/>
  <c r="AB9" i="20"/>
  <c r="AF9" i="20" s="1"/>
  <c r="Z8" i="21"/>
  <c r="Y8" i="21" s="1"/>
  <c r="AK7" i="19"/>
  <c r="Q10" i="19"/>
  <c r="T10" i="19"/>
  <c r="S10" i="19"/>
  <c r="R10" i="19"/>
  <c r="P10" i="19"/>
  <c r="CJ8" i="23"/>
  <c r="CL8" i="23" s="1"/>
  <c r="CI8" i="23"/>
  <c r="AC8" i="21"/>
  <c r="CN7" i="23"/>
  <c r="CM7" i="23" s="1"/>
  <c r="V9" i="18"/>
  <c r="X9" i="18" s="1"/>
  <c r="U9" i="18"/>
  <c r="W9" i="18" s="1"/>
  <c r="CS7" i="23"/>
  <c r="T10" i="21"/>
  <c r="R10" i="21"/>
  <c r="P10" i="21"/>
  <c r="S10" i="21"/>
  <c r="Q10" i="21"/>
  <c r="S10" i="18"/>
  <c r="R10" i="18"/>
  <c r="Q10" i="18"/>
  <c r="P10" i="18"/>
  <c r="T10" i="18"/>
  <c r="Z8" i="19"/>
  <c r="S10" i="20"/>
  <c r="R10" i="20"/>
  <c r="P10" i="20"/>
  <c r="T10" i="20"/>
  <c r="Q10" i="20"/>
  <c r="V9" i="19"/>
  <c r="X9" i="19" s="1"/>
  <c r="U9" i="19"/>
  <c r="W9" i="19" s="1"/>
  <c r="O11" i="19"/>
  <c r="N12" i="19"/>
  <c r="CO8" i="23"/>
  <c r="CK8" i="23"/>
  <c r="AE8" i="21"/>
  <c r="AI8" i="21" s="1"/>
  <c r="AB9" i="18"/>
  <c r="AF9" i="18" s="1"/>
  <c r="AH8" i="20" l="1"/>
  <c r="AM8" i="18"/>
  <c r="AN7" i="18"/>
  <c r="AC9" i="18"/>
  <c r="AG9" i="18" s="1"/>
  <c r="AC9" i="19"/>
  <c r="AG9" i="19" s="1"/>
  <c r="AK8" i="20"/>
  <c r="AL8" i="18"/>
  <c r="AK8" i="19"/>
  <c r="AH8" i="18"/>
  <c r="AJ8" i="18" s="1"/>
  <c r="AK8" i="18"/>
  <c r="AN7" i="20"/>
  <c r="AG8" i="20"/>
  <c r="AE9" i="18"/>
  <c r="AI9" i="18" s="1"/>
  <c r="BB8" i="23"/>
  <c r="AD9" i="18"/>
  <c r="AH9" i="18" s="1"/>
  <c r="AC8" i="23"/>
  <c r="AD8" i="23"/>
  <c r="AE9" i="19"/>
  <c r="AI9" i="19" s="1"/>
  <c r="Z9" i="18"/>
  <c r="Z8" i="23"/>
  <c r="AN7" i="21"/>
  <c r="AY9" i="23"/>
  <c r="AI8" i="20"/>
  <c r="AZ9" i="23"/>
  <c r="AH8" i="21"/>
  <c r="AC9" i="20"/>
  <c r="AG9" i="20" s="1"/>
  <c r="AE9" i="20"/>
  <c r="AH8" i="19"/>
  <c r="AJ8" i="19" s="1"/>
  <c r="AD9" i="20"/>
  <c r="BU8" i="23"/>
  <c r="V10" i="20"/>
  <c r="X10" i="20" s="1"/>
  <c r="U10" i="20"/>
  <c r="W10" i="20" s="1"/>
  <c r="BT9" i="23"/>
  <c r="BV9" i="23" s="1"/>
  <c r="N13" i="21"/>
  <c r="O12" i="21"/>
  <c r="AV9" i="23"/>
  <c r="AA9" i="20"/>
  <c r="Z9" i="20" s="1"/>
  <c r="U9" i="23"/>
  <c r="W9" i="23" s="1"/>
  <c r="V9" i="23"/>
  <c r="X9" i="23" s="1"/>
  <c r="Z9" i="21"/>
  <c r="Y9" i="21" s="1"/>
  <c r="Y10" i="19"/>
  <c r="AA10" i="19"/>
  <c r="P11" i="18"/>
  <c r="R11" i="18"/>
  <c r="Q11" i="18"/>
  <c r="T11" i="18"/>
  <c r="S11" i="18"/>
  <c r="AB9" i="23"/>
  <c r="AD9" i="23" s="1"/>
  <c r="AB10" i="19"/>
  <c r="AF10" i="19" s="1"/>
  <c r="AU10" i="23"/>
  <c r="AW10" i="23"/>
  <c r="AB10" i="20"/>
  <c r="AD10" i="20" s="1"/>
  <c r="O12" i="20"/>
  <c r="N13" i="20"/>
  <c r="N13" i="18"/>
  <c r="O12" i="18"/>
  <c r="BW8" i="23"/>
  <c r="N12" i="23"/>
  <c r="O11" i="23"/>
  <c r="U10" i="21"/>
  <c r="W10" i="21" s="1"/>
  <c r="V10" i="21"/>
  <c r="X10" i="21" s="1"/>
  <c r="AB10" i="21"/>
  <c r="AF10" i="21" s="1"/>
  <c r="CN8" i="23"/>
  <c r="CM8" i="23" s="1"/>
  <c r="AD9" i="19"/>
  <c r="AM8" i="19"/>
  <c r="Z9" i="19"/>
  <c r="AA9" i="23"/>
  <c r="Y9" i="23"/>
  <c r="S10" i="23"/>
  <c r="R10" i="23"/>
  <c r="T10" i="23"/>
  <c r="P10" i="23"/>
  <c r="Q10" i="23"/>
  <c r="AN7" i="19"/>
  <c r="T11" i="19"/>
  <c r="S11" i="19"/>
  <c r="P11" i="19"/>
  <c r="R11" i="19"/>
  <c r="Q11" i="19"/>
  <c r="AA10" i="21"/>
  <c r="AK12" i="23"/>
  <c r="AJ13" i="23"/>
  <c r="N13" i="19"/>
  <c r="O12" i="19"/>
  <c r="BF12" i="23"/>
  <c r="BG11" i="23"/>
  <c r="U10" i="18"/>
  <c r="W10" i="18" s="1"/>
  <c r="V10" i="18"/>
  <c r="X10" i="18" s="1"/>
  <c r="AA10" i="18"/>
  <c r="Y10" i="18"/>
  <c r="AL8" i="19"/>
  <c r="CJ9" i="23"/>
  <c r="CL9" i="23" s="1"/>
  <c r="CI9" i="23"/>
  <c r="CK9" i="23" s="1"/>
  <c r="BL10" i="23"/>
  <c r="BK10" i="23"/>
  <c r="BI10" i="23"/>
  <c r="BJ10" i="23"/>
  <c r="BH10" i="23"/>
  <c r="AB10" i="18"/>
  <c r="AF10" i="18" s="1"/>
  <c r="AG8" i="21"/>
  <c r="AK8" i="21"/>
  <c r="AM8" i="21"/>
  <c r="AL8" i="21"/>
  <c r="AR10" i="23"/>
  <c r="AT10" i="23" s="1"/>
  <c r="AQ10" i="23"/>
  <c r="AS10" i="23" s="1"/>
  <c r="CQ8" i="23"/>
  <c r="CP9" i="23"/>
  <c r="CR9" i="23" s="1"/>
  <c r="AD9" i="21"/>
  <c r="AX10" i="23"/>
  <c r="AN11" i="23"/>
  <c r="AM11" i="23"/>
  <c r="AP11" i="23"/>
  <c r="AO11" i="23"/>
  <c r="AL11" i="23"/>
  <c r="CO9" i="23"/>
  <c r="AE9" i="21"/>
  <c r="AI9" i="21" s="1"/>
  <c r="BM9" i="23"/>
  <c r="BO9" i="23" s="1"/>
  <c r="BN9" i="23"/>
  <c r="BP9" i="23" s="1"/>
  <c r="CS8" i="23"/>
  <c r="AM8" i="20"/>
  <c r="AC9" i="21"/>
  <c r="Y10" i="20"/>
  <c r="V10" i="19"/>
  <c r="X10" i="19" s="1"/>
  <c r="U10" i="19"/>
  <c r="W10" i="19" s="1"/>
  <c r="CB12" i="23"/>
  <c r="CC11" i="23"/>
  <c r="BQ9" i="23"/>
  <c r="BS8" i="23"/>
  <c r="BR8" i="23" s="1"/>
  <c r="AL8" i="20"/>
  <c r="CH10" i="23"/>
  <c r="CG10" i="23"/>
  <c r="CF10" i="23"/>
  <c r="CE10" i="23"/>
  <c r="CD10" i="23"/>
  <c r="S11" i="21"/>
  <c r="R11" i="21"/>
  <c r="P11" i="21"/>
  <c r="T11" i="21"/>
  <c r="Q11" i="21"/>
  <c r="S11" i="20"/>
  <c r="P11" i="20"/>
  <c r="T11" i="20"/>
  <c r="R11" i="20"/>
  <c r="Q11" i="20"/>
  <c r="AJ8" i="21" l="1"/>
  <c r="AJ8" i="20"/>
  <c r="AN8" i="18"/>
  <c r="AJ9" i="18"/>
  <c r="AL9" i="18"/>
  <c r="AK9" i="19"/>
  <c r="AH9" i="20"/>
  <c r="BW9" i="23"/>
  <c r="AK9" i="18"/>
  <c r="AM9" i="18"/>
  <c r="AN8" i="21"/>
  <c r="AC10" i="19"/>
  <c r="AG10" i="19" s="1"/>
  <c r="BB9" i="23"/>
  <c r="AF8" i="23"/>
  <c r="AH9" i="21"/>
  <c r="BX8" i="23"/>
  <c r="AM9" i="20"/>
  <c r="AL9" i="20"/>
  <c r="AD10" i="19"/>
  <c r="AK9" i="20"/>
  <c r="CT8" i="23"/>
  <c r="AE9" i="23"/>
  <c r="AC9" i="23"/>
  <c r="CQ9" i="23"/>
  <c r="Z10" i="21"/>
  <c r="Y10" i="21" s="1"/>
  <c r="AD10" i="21"/>
  <c r="AL9" i="19"/>
  <c r="AN8" i="19"/>
  <c r="AM9" i="19"/>
  <c r="AA10" i="20"/>
  <c r="AN8" i="20"/>
  <c r="AC10" i="18"/>
  <c r="AG10" i="18" s="1"/>
  <c r="BA10" i="23"/>
  <c r="T12" i="18"/>
  <c r="P12" i="18"/>
  <c r="S12" i="18"/>
  <c r="R12" i="18"/>
  <c r="Q12" i="18"/>
  <c r="AB11" i="18"/>
  <c r="AF11" i="18" s="1"/>
  <c r="N14" i="21"/>
  <c r="O13" i="21"/>
  <c r="CJ10" i="23"/>
  <c r="CL10" i="23" s="1"/>
  <c r="CI10" i="23"/>
  <c r="CK10" i="23" s="1"/>
  <c r="CB13" i="23"/>
  <c r="CC12" i="23"/>
  <c r="BF13" i="23"/>
  <c r="BG12" i="23"/>
  <c r="O13" i="18"/>
  <c r="N14" i="18"/>
  <c r="AE10" i="19"/>
  <c r="AI10" i="19" s="1"/>
  <c r="V11" i="18"/>
  <c r="X11" i="18" s="1"/>
  <c r="U11" i="18"/>
  <c r="W11" i="18" s="1"/>
  <c r="CO10" i="23"/>
  <c r="Y11" i="20"/>
  <c r="CP10" i="23"/>
  <c r="CQ10" i="23" s="1"/>
  <c r="AE10" i="18"/>
  <c r="AI10" i="18" s="1"/>
  <c r="N14" i="19"/>
  <c r="O13" i="19"/>
  <c r="AC10" i="21"/>
  <c r="O13" i="20"/>
  <c r="N14" i="20"/>
  <c r="Z10" i="19"/>
  <c r="BU9" i="23"/>
  <c r="T12" i="19"/>
  <c r="R12" i="19"/>
  <c r="Q12" i="19"/>
  <c r="S12" i="19"/>
  <c r="P12" i="19"/>
  <c r="AB11" i="20"/>
  <c r="AF11" i="20" s="1"/>
  <c r="Z10" i="20"/>
  <c r="AH10" i="20" s="1"/>
  <c r="CN9" i="23"/>
  <c r="CM9" i="23" s="1"/>
  <c r="CS9" i="23"/>
  <c r="AD10" i="18"/>
  <c r="AI9" i="20"/>
  <c r="AK13" i="23"/>
  <c r="AJ14" i="23"/>
  <c r="AE10" i="21"/>
  <c r="AI10" i="21" s="1"/>
  <c r="Q12" i="20"/>
  <c r="S12" i="20"/>
  <c r="R12" i="20"/>
  <c r="T12" i="20"/>
  <c r="P12" i="20"/>
  <c r="CH11" i="23"/>
  <c r="CG11" i="23"/>
  <c r="CF11" i="23"/>
  <c r="CE11" i="23"/>
  <c r="CD11" i="23"/>
  <c r="AB10" i="23"/>
  <c r="AE10" i="23" s="1"/>
  <c r="AM12" i="23"/>
  <c r="AP12" i="23"/>
  <c r="AO12" i="23"/>
  <c r="AN12" i="23"/>
  <c r="AL12" i="23"/>
  <c r="AC10" i="20"/>
  <c r="BL11" i="23"/>
  <c r="BJ11" i="23"/>
  <c r="BI11" i="23"/>
  <c r="BH11" i="23"/>
  <c r="BK11" i="23"/>
  <c r="AQ11" i="23"/>
  <c r="AS11" i="23" s="1"/>
  <c r="AR11" i="23"/>
  <c r="AT11" i="23" s="1"/>
  <c r="Z10" i="18"/>
  <c r="Z9" i="23"/>
  <c r="U11" i="20"/>
  <c r="W11" i="20" s="1"/>
  <c r="V11" i="20"/>
  <c r="X11" i="20" s="1"/>
  <c r="BN10" i="23"/>
  <c r="BP10" i="23" s="1"/>
  <c r="BM10" i="23"/>
  <c r="BO10" i="23" s="1"/>
  <c r="AE10" i="20"/>
  <c r="AI10" i="20" s="1"/>
  <c r="AF10" i="20"/>
  <c r="AA11" i="21"/>
  <c r="AU11" i="23"/>
  <c r="AW11" i="23"/>
  <c r="BQ10" i="23"/>
  <c r="S11" i="23"/>
  <c r="Q11" i="23"/>
  <c r="P11" i="23"/>
  <c r="R11" i="23"/>
  <c r="T11" i="23"/>
  <c r="AX11" i="23"/>
  <c r="AZ11" i="23" s="1"/>
  <c r="Y11" i="19"/>
  <c r="AA11" i="19"/>
  <c r="O12" i="23"/>
  <c r="N13" i="23"/>
  <c r="BS9" i="23"/>
  <c r="BR9" i="23" s="1"/>
  <c r="V10" i="23"/>
  <c r="X10" i="23" s="1"/>
  <c r="U10" i="23"/>
  <c r="W10" i="23" s="1"/>
  <c r="AG9" i="21"/>
  <c r="AJ9" i="21" s="1"/>
  <c r="AM9" i="21"/>
  <c r="AK9" i="21"/>
  <c r="AL9" i="21"/>
  <c r="BT10" i="23"/>
  <c r="BV10" i="23" s="1"/>
  <c r="U11" i="21"/>
  <c r="W11" i="21" s="1"/>
  <c r="V11" i="21"/>
  <c r="X11" i="21" s="1"/>
  <c r="AZ10" i="23"/>
  <c r="AB11" i="19"/>
  <c r="AF11" i="19" s="1"/>
  <c r="AV10" i="23"/>
  <c r="AB11" i="21"/>
  <c r="AF11" i="21" s="1"/>
  <c r="AY10" i="23"/>
  <c r="V11" i="19"/>
  <c r="X11" i="19" s="1"/>
  <c r="U11" i="19"/>
  <c r="W11" i="19" s="1"/>
  <c r="AA10" i="23"/>
  <c r="Y10" i="23"/>
  <c r="AH9" i="19"/>
  <c r="AJ9" i="19" s="1"/>
  <c r="AA11" i="18"/>
  <c r="Y11" i="18"/>
  <c r="R12" i="21"/>
  <c r="Q12" i="21"/>
  <c r="S12" i="21"/>
  <c r="T12" i="21"/>
  <c r="P12" i="21"/>
  <c r="BA11" i="23" l="1"/>
  <c r="AY11" i="23"/>
  <c r="AN9" i="20"/>
  <c r="AJ9" i="20"/>
  <c r="AH10" i="19"/>
  <c r="AJ10" i="19" s="1"/>
  <c r="AK10" i="19"/>
  <c r="AN9" i="18"/>
  <c r="CT9" i="23"/>
  <c r="AF9" i="23"/>
  <c r="AA11" i="20"/>
  <c r="Z11" i="20" s="1"/>
  <c r="BU10" i="23"/>
  <c r="BS10" i="23"/>
  <c r="BR10" i="23" s="1"/>
  <c r="AE11" i="21"/>
  <c r="AI11" i="21" s="1"/>
  <c r="AD11" i="19"/>
  <c r="AH10" i="18"/>
  <c r="AJ10" i="18" s="1"/>
  <c r="BX9" i="23"/>
  <c r="AD11" i="21"/>
  <c r="AC11" i="18"/>
  <c r="AG11" i="18" s="1"/>
  <c r="AD11" i="20"/>
  <c r="AL10" i="19"/>
  <c r="Z10" i="23"/>
  <c r="BB10" i="23"/>
  <c r="AN9" i="19"/>
  <c r="AH10" i="21"/>
  <c r="V12" i="21"/>
  <c r="X12" i="21" s="1"/>
  <c r="U12" i="21"/>
  <c r="W12" i="21" s="1"/>
  <c r="AK10" i="20"/>
  <c r="AM10" i="20"/>
  <c r="AL10" i="20"/>
  <c r="AG10" i="20"/>
  <c r="AJ10" i="20" s="1"/>
  <c r="AX12" i="23"/>
  <c r="AZ12" i="23" s="1"/>
  <c r="CI11" i="23"/>
  <c r="CK11" i="23" s="1"/>
  <c r="CJ11" i="23"/>
  <c r="CL11" i="23" s="1"/>
  <c r="AP13" i="23"/>
  <c r="AL13" i="23"/>
  <c r="AO13" i="23"/>
  <c r="AN13" i="23"/>
  <c r="AM13" i="23"/>
  <c r="U12" i="19"/>
  <c r="W12" i="19" s="1"/>
  <c r="V12" i="19"/>
  <c r="X12" i="19" s="1"/>
  <c r="N15" i="20"/>
  <c r="O14" i="20"/>
  <c r="CN10" i="23"/>
  <c r="CM10" i="23" s="1"/>
  <c r="CE12" i="23"/>
  <c r="CD12" i="23"/>
  <c r="CG12" i="23"/>
  <c r="CF12" i="23"/>
  <c r="CH12" i="23"/>
  <c r="AC11" i="21"/>
  <c r="CO11" i="23"/>
  <c r="R13" i="20"/>
  <c r="Q13" i="20"/>
  <c r="T13" i="20"/>
  <c r="S13" i="20"/>
  <c r="P13" i="20"/>
  <c r="CB14" i="23"/>
  <c r="CC13" i="23"/>
  <c r="AQ12" i="23"/>
  <c r="AS12" i="23" s="1"/>
  <c r="AR12" i="23"/>
  <c r="AT12" i="23" s="1"/>
  <c r="AB12" i="21"/>
  <c r="AF12" i="21" s="1"/>
  <c r="BW10" i="23"/>
  <c r="CP11" i="23"/>
  <c r="CR11" i="23" s="1"/>
  <c r="Y12" i="19"/>
  <c r="AA12" i="19"/>
  <c r="AG10" i="21"/>
  <c r="AL10" i="21"/>
  <c r="AK10" i="21"/>
  <c r="AM10" i="21"/>
  <c r="AA12" i="18"/>
  <c r="Y12" i="18"/>
  <c r="S13" i="19"/>
  <c r="R13" i="19"/>
  <c r="P13" i="19"/>
  <c r="T13" i="19"/>
  <c r="Q13" i="19"/>
  <c r="AB12" i="18"/>
  <c r="AF12" i="18" s="1"/>
  <c r="AB11" i="23"/>
  <c r="AC11" i="23" s="1"/>
  <c r="Z11" i="21"/>
  <c r="Y11" i="21" s="1"/>
  <c r="AU12" i="23"/>
  <c r="AW12" i="23"/>
  <c r="AB12" i="19"/>
  <c r="AF12" i="19" s="1"/>
  <c r="Z11" i="18"/>
  <c r="R12" i="23"/>
  <c r="S12" i="23"/>
  <c r="Q12" i="23"/>
  <c r="P12" i="23"/>
  <c r="T12" i="23"/>
  <c r="V11" i="23"/>
  <c r="X11" i="23" s="1"/>
  <c r="U11" i="23"/>
  <c r="W11" i="23" s="1"/>
  <c r="N15" i="19"/>
  <c r="O14" i="19"/>
  <c r="Q13" i="21"/>
  <c r="P13" i="21"/>
  <c r="S13" i="21"/>
  <c r="R13" i="21"/>
  <c r="T13" i="21"/>
  <c r="AV11" i="23"/>
  <c r="AK14" i="23"/>
  <c r="AJ15" i="23"/>
  <c r="N14" i="23"/>
  <c r="O13" i="23"/>
  <c r="AA11" i="23"/>
  <c r="Y11" i="23"/>
  <c r="AA12" i="21"/>
  <c r="BN11" i="23"/>
  <c r="BP11" i="23" s="1"/>
  <c r="BM11" i="23"/>
  <c r="BO11" i="23" s="1"/>
  <c r="V12" i="20"/>
  <c r="X12" i="20" s="1"/>
  <c r="U12" i="20"/>
  <c r="W12" i="20" s="1"/>
  <c r="AM10" i="18"/>
  <c r="N15" i="21"/>
  <c r="O14" i="21"/>
  <c r="V12" i="18"/>
  <c r="X12" i="18" s="1"/>
  <c r="U12" i="18"/>
  <c r="W12" i="18" s="1"/>
  <c r="AN9" i="21"/>
  <c r="Z11" i="19"/>
  <c r="BQ11" i="23"/>
  <c r="AL10" i="18"/>
  <c r="CR10" i="23"/>
  <c r="N15" i="18"/>
  <c r="O14" i="18"/>
  <c r="AE11" i="18"/>
  <c r="AI11" i="18" s="1"/>
  <c r="AE11" i="19"/>
  <c r="AI11" i="19" s="1"/>
  <c r="BT11" i="23"/>
  <c r="AD10" i="23"/>
  <c r="AB12" i="20"/>
  <c r="AD12" i="20" s="1"/>
  <c r="AC11" i="20"/>
  <c r="AK10" i="18"/>
  <c r="S13" i="18"/>
  <c r="T13" i="18"/>
  <c r="R13" i="18"/>
  <c r="Q13" i="18"/>
  <c r="P13" i="18"/>
  <c r="AD11" i="18"/>
  <c r="AH11" i="18" s="1"/>
  <c r="CS10" i="23"/>
  <c r="AC11" i="19"/>
  <c r="AC10" i="23"/>
  <c r="Y12" i="20"/>
  <c r="AE11" i="20"/>
  <c r="AI11" i="20" s="1"/>
  <c r="BG13" i="23"/>
  <c r="BF14" i="23"/>
  <c r="BK12" i="23"/>
  <c r="BJ12" i="23"/>
  <c r="BI12" i="23"/>
  <c r="BH12" i="23"/>
  <c r="BL12" i="23"/>
  <c r="AM10" i="19"/>
  <c r="BB11" i="23" l="1"/>
  <c r="BX10" i="23"/>
  <c r="AJ10" i="21"/>
  <c r="AE12" i="19"/>
  <c r="AI12" i="19" s="1"/>
  <c r="AH11" i="19"/>
  <c r="AH11" i="20"/>
  <c r="AV12" i="23"/>
  <c r="AN10" i="18"/>
  <c r="AN10" i="19"/>
  <c r="CT10" i="23"/>
  <c r="AC12" i="20"/>
  <c r="AG12" i="20" s="1"/>
  <c r="AF10" i="23"/>
  <c r="AC12" i="21"/>
  <c r="AN10" i="21"/>
  <c r="AJ11" i="18"/>
  <c r="AD12" i="19"/>
  <c r="CQ11" i="23"/>
  <c r="AY12" i="23"/>
  <c r="Z11" i="23"/>
  <c r="AC12" i="19"/>
  <c r="CS11" i="23"/>
  <c r="AA12" i="20"/>
  <c r="Z12" i="20" s="1"/>
  <c r="AH12" i="20" s="1"/>
  <c r="AH11" i="21"/>
  <c r="Z12" i="19"/>
  <c r="BM12" i="23"/>
  <c r="BO12" i="23" s="1"/>
  <c r="BN12" i="23"/>
  <c r="AG11" i="19"/>
  <c r="AJ11" i="19" s="1"/>
  <c r="AM11" i="19"/>
  <c r="AK11" i="19"/>
  <c r="AL11" i="19"/>
  <c r="S14" i="21"/>
  <c r="R14" i="21"/>
  <c r="P14" i="21"/>
  <c r="T14" i="21"/>
  <c r="Q14" i="21"/>
  <c r="AB13" i="21"/>
  <c r="AF13" i="21" s="1"/>
  <c r="AB12" i="23"/>
  <c r="AD12" i="23" s="1"/>
  <c r="AD11" i="23"/>
  <c r="AG11" i="21"/>
  <c r="AM11" i="21"/>
  <c r="AL11" i="21"/>
  <c r="AK11" i="21"/>
  <c r="AX13" i="23"/>
  <c r="AY13" i="23" s="1"/>
  <c r="Z12" i="21"/>
  <c r="Y12" i="21" s="1"/>
  <c r="AB13" i="19"/>
  <c r="AF13" i="19" s="1"/>
  <c r="AW13" i="23"/>
  <c r="AU13" i="23"/>
  <c r="BQ12" i="23"/>
  <c r="BP12" i="23"/>
  <c r="T14" i="18"/>
  <c r="Q14" i="18"/>
  <c r="S14" i="18"/>
  <c r="R14" i="18"/>
  <c r="P14" i="18"/>
  <c r="O15" i="21"/>
  <c r="N16" i="21"/>
  <c r="AN10" i="20"/>
  <c r="AG11" i="20"/>
  <c r="AJ11" i="20" s="1"/>
  <c r="AL11" i="20"/>
  <c r="AK11" i="20"/>
  <c r="AM11" i="20"/>
  <c r="N16" i="18"/>
  <c r="O15" i="18"/>
  <c r="V13" i="21"/>
  <c r="X13" i="21" s="1"/>
  <c r="U13" i="21"/>
  <c r="AE11" i="23"/>
  <c r="CH13" i="23"/>
  <c r="CG13" i="23"/>
  <c r="CF13" i="23"/>
  <c r="CD13" i="23"/>
  <c r="CE13" i="23"/>
  <c r="CP12" i="23"/>
  <c r="CQ12" i="23" s="1"/>
  <c r="AQ13" i="23"/>
  <c r="AS13" i="23" s="1"/>
  <c r="AR13" i="23"/>
  <c r="AT13" i="23" s="1"/>
  <c r="BT12" i="23"/>
  <c r="BV12" i="23" s="1"/>
  <c r="AL11" i="18"/>
  <c r="AA13" i="21"/>
  <c r="W13" i="21"/>
  <c r="CB15" i="23"/>
  <c r="CC14" i="23"/>
  <c r="AB13" i="18"/>
  <c r="AF13" i="18" s="1"/>
  <c r="AC12" i="18"/>
  <c r="U13" i="20"/>
  <c r="W13" i="20" s="1"/>
  <c r="V13" i="20"/>
  <c r="X13" i="20" s="1"/>
  <c r="BF15" i="23"/>
  <c r="BG14" i="23"/>
  <c r="AE12" i="20"/>
  <c r="AF12" i="20"/>
  <c r="BS11" i="23"/>
  <c r="BR11" i="23" s="1"/>
  <c r="T13" i="23"/>
  <c r="S13" i="23"/>
  <c r="Q13" i="23"/>
  <c r="P13" i="23"/>
  <c r="R13" i="23"/>
  <c r="O15" i="19"/>
  <c r="N16" i="19"/>
  <c r="AD12" i="18"/>
  <c r="Z12" i="18"/>
  <c r="AK11" i="18"/>
  <c r="Q14" i="19"/>
  <c r="P14" i="19"/>
  <c r="S14" i="19"/>
  <c r="R14" i="19"/>
  <c r="T14" i="19"/>
  <c r="CJ12" i="23"/>
  <c r="CL12" i="23" s="1"/>
  <c r="CI12" i="23"/>
  <c r="CK12" i="23" s="1"/>
  <c r="AM11" i="18"/>
  <c r="AG12" i="19"/>
  <c r="CO12" i="23"/>
  <c r="BL13" i="23"/>
  <c r="BK13" i="23"/>
  <c r="BI13" i="23"/>
  <c r="BJ13" i="23"/>
  <c r="BH13" i="23"/>
  <c r="N15" i="23"/>
  <c r="O14" i="23"/>
  <c r="AE12" i="18"/>
  <c r="AI12" i="18" s="1"/>
  <c r="BA12" i="23"/>
  <c r="AA12" i="23"/>
  <c r="Y12" i="23"/>
  <c r="BU11" i="23"/>
  <c r="Y13" i="20"/>
  <c r="R14" i="20"/>
  <c r="P14" i="20"/>
  <c r="S14" i="20"/>
  <c r="T14" i="20"/>
  <c r="Q14" i="20"/>
  <c r="U13" i="19"/>
  <c r="W13" i="19" s="1"/>
  <c r="V13" i="19"/>
  <c r="X13" i="19" s="1"/>
  <c r="V13" i="18"/>
  <c r="X13" i="18" s="1"/>
  <c r="U13" i="18"/>
  <c r="W13" i="18" s="1"/>
  <c r="BW11" i="23"/>
  <c r="AJ16" i="23"/>
  <c r="AK15" i="23"/>
  <c r="AA13" i="19"/>
  <c r="Y13" i="19"/>
  <c r="AE12" i="21"/>
  <c r="AI12" i="21" s="1"/>
  <c r="AB13" i="20"/>
  <c r="AF13" i="20" s="1"/>
  <c r="N16" i="20"/>
  <c r="O15" i="20"/>
  <c r="CN11" i="23"/>
  <c r="CM11" i="23" s="1"/>
  <c r="AA13" i="18"/>
  <c r="Y13" i="18"/>
  <c r="BV11" i="23"/>
  <c r="AM14" i="23"/>
  <c r="AL14" i="23"/>
  <c r="AP14" i="23"/>
  <c r="AO14" i="23"/>
  <c r="AN14" i="23"/>
  <c r="V12" i="23"/>
  <c r="X12" i="23" s="1"/>
  <c r="U12" i="23"/>
  <c r="W12" i="23" s="1"/>
  <c r="AD12" i="21"/>
  <c r="AJ11" i="21" l="1"/>
  <c r="AK12" i="20"/>
  <c r="AD13" i="19"/>
  <c r="AH13" i="19" s="1"/>
  <c r="AE13" i="18"/>
  <c r="AI13" i="18" s="1"/>
  <c r="AE13" i="19"/>
  <c r="AI13" i="19" s="1"/>
  <c r="AL12" i="20"/>
  <c r="AM12" i="19"/>
  <c r="AF11" i="23"/>
  <c r="AH12" i="21"/>
  <c r="AL12" i="19"/>
  <c r="AI12" i="20"/>
  <c r="AJ12" i="20" s="1"/>
  <c r="AC12" i="23"/>
  <c r="BX11" i="23"/>
  <c r="AH12" i="19"/>
  <c r="AJ12" i="19" s="1"/>
  <c r="AC13" i="19"/>
  <c r="AK12" i="19"/>
  <c r="BB12" i="23"/>
  <c r="CT11" i="23"/>
  <c r="Z12" i="23"/>
  <c r="AM12" i="20"/>
  <c r="AN12" i="20" s="1"/>
  <c r="AE13" i="21"/>
  <c r="AI13" i="21" s="1"/>
  <c r="AG12" i="21"/>
  <c r="AJ12" i="21" s="1"/>
  <c r="BU12" i="23"/>
  <c r="CN12" i="23"/>
  <c r="CM12" i="23" s="1"/>
  <c r="AD13" i="18"/>
  <c r="AN11" i="18"/>
  <c r="Z13" i="18"/>
  <c r="BW12" i="23"/>
  <c r="AA13" i="20"/>
  <c r="Z13" i="20" s="1"/>
  <c r="V13" i="23"/>
  <c r="X13" i="23" s="1"/>
  <c r="U13" i="23"/>
  <c r="W13" i="23" s="1"/>
  <c r="Z13" i="21"/>
  <c r="Y13" i="21" s="1"/>
  <c r="CS12" i="23"/>
  <c r="S15" i="18"/>
  <c r="R15" i="18"/>
  <c r="T15" i="18"/>
  <c r="Q15" i="18"/>
  <c r="P15" i="18"/>
  <c r="AA14" i="18"/>
  <c r="Y14" i="18"/>
  <c r="AA14" i="19"/>
  <c r="Y14" i="19"/>
  <c r="Y13" i="23"/>
  <c r="AA13" i="23"/>
  <c r="AK12" i="21"/>
  <c r="N17" i="18"/>
  <c r="O16" i="18"/>
  <c r="AN11" i="19"/>
  <c r="AL12" i="21"/>
  <c r="CO13" i="23"/>
  <c r="BS12" i="23"/>
  <c r="BR12" i="23" s="1"/>
  <c r="AE12" i="23"/>
  <c r="CJ13" i="23"/>
  <c r="CL13" i="23" s="1"/>
  <c r="CI13" i="23"/>
  <c r="CK13" i="23" s="1"/>
  <c r="AP15" i="23"/>
  <c r="AL15" i="23"/>
  <c r="AO15" i="23"/>
  <c r="AN15" i="23"/>
  <c r="AM15" i="23"/>
  <c r="AX14" i="23"/>
  <c r="AY14" i="23" s="1"/>
  <c r="N17" i="20"/>
  <c r="O16" i="20"/>
  <c r="CP13" i="23"/>
  <c r="CR13" i="23" s="1"/>
  <c r="AZ13" i="23"/>
  <c r="AC13" i="21"/>
  <c r="O15" i="23"/>
  <c r="N16" i="23"/>
  <c r="AN11" i="20"/>
  <c r="BA13" i="23"/>
  <c r="BN13" i="23"/>
  <c r="BP13" i="23" s="1"/>
  <c r="BM13" i="23"/>
  <c r="BO13" i="23" s="1"/>
  <c r="AC13" i="20"/>
  <c r="BT13" i="23"/>
  <c r="BV13" i="23" s="1"/>
  <c r="AC13" i="18"/>
  <c r="AD13" i="21"/>
  <c r="AB14" i="20"/>
  <c r="AF14" i="20" s="1"/>
  <c r="N17" i="21"/>
  <c r="O16" i="21"/>
  <c r="U14" i="20"/>
  <c r="W14" i="20" s="1"/>
  <c r="V14" i="20"/>
  <c r="AM12" i="21"/>
  <c r="R14" i="23"/>
  <c r="P14" i="23"/>
  <c r="Q14" i="23"/>
  <c r="T14" i="23"/>
  <c r="S14" i="23"/>
  <c r="S15" i="20"/>
  <c r="P15" i="20"/>
  <c r="Q15" i="20"/>
  <c r="R15" i="20"/>
  <c r="T15" i="20"/>
  <c r="AJ17" i="23"/>
  <c r="AK16" i="23"/>
  <c r="AE13" i="20"/>
  <c r="BQ13" i="23"/>
  <c r="BL14" i="23"/>
  <c r="BJ14" i="23"/>
  <c r="BI14" i="23"/>
  <c r="BH14" i="23"/>
  <c r="BK14" i="23"/>
  <c r="AV13" i="23"/>
  <c r="AR14" i="23"/>
  <c r="AT14" i="23" s="1"/>
  <c r="AQ14" i="23"/>
  <c r="AS14" i="23" s="1"/>
  <c r="AD13" i="20"/>
  <c r="AH12" i="18"/>
  <c r="BF16" i="23"/>
  <c r="BG15" i="23"/>
  <c r="S15" i="21"/>
  <c r="P15" i="21"/>
  <c r="R15" i="21"/>
  <c r="T15" i="21"/>
  <c r="Q15" i="21"/>
  <c r="AA14" i="21"/>
  <c r="Z13" i="19"/>
  <c r="O16" i="19"/>
  <c r="N17" i="19"/>
  <c r="CH14" i="23"/>
  <c r="CG14" i="23"/>
  <c r="CF14" i="23"/>
  <c r="CE14" i="23"/>
  <c r="CD14" i="23"/>
  <c r="V14" i="18"/>
  <c r="X14" i="18" s="1"/>
  <c r="U14" i="18"/>
  <c r="W14" i="18" s="1"/>
  <c r="AN11" i="21"/>
  <c r="AW14" i="23"/>
  <c r="AU14" i="23"/>
  <c r="AB14" i="19"/>
  <c r="AF14" i="19" s="1"/>
  <c r="S15" i="19"/>
  <c r="Q15" i="19"/>
  <c r="R15" i="19"/>
  <c r="P15" i="19"/>
  <c r="T15" i="19"/>
  <c r="CB16" i="23"/>
  <c r="CC15" i="23"/>
  <c r="AB14" i="18"/>
  <c r="AF14" i="18" s="1"/>
  <c r="V14" i="21"/>
  <c r="X14" i="21" s="1"/>
  <c r="U14" i="21"/>
  <c r="W14" i="21" s="1"/>
  <c r="U14" i="19"/>
  <c r="W14" i="19" s="1"/>
  <c r="V14" i="19"/>
  <c r="X14" i="19" s="1"/>
  <c r="Y14" i="20"/>
  <c r="X14" i="20"/>
  <c r="AB13" i="23"/>
  <c r="AE13" i="23" s="1"/>
  <c r="AG12" i="18"/>
  <c r="AK12" i="18"/>
  <c r="AL12" i="18"/>
  <c r="AM12" i="18"/>
  <c r="CR12" i="23"/>
  <c r="AB14" i="21"/>
  <c r="AF14" i="21" s="1"/>
  <c r="AL13" i="19" l="1"/>
  <c r="AM13" i="19"/>
  <c r="AF12" i="23"/>
  <c r="AN12" i="19"/>
  <c r="AG13" i="19"/>
  <c r="AC14" i="19"/>
  <c r="AG14" i="19" s="1"/>
  <c r="AE14" i="19"/>
  <c r="AH13" i="18"/>
  <c r="AC13" i="23"/>
  <c r="AK13" i="19"/>
  <c r="AI14" i="19"/>
  <c r="AH13" i="21"/>
  <c r="CT12" i="23"/>
  <c r="AC14" i="18"/>
  <c r="AG14" i="18" s="1"/>
  <c r="AD14" i="19"/>
  <c r="AE14" i="18"/>
  <c r="AI14" i="18" s="1"/>
  <c r="BB13" i="23"/>
  <c r="BX12" i="23"/>
  <c r="AD14" i="21"/>
  <c r="AH13" i="20"/>
  <c r="AI13" i="20"/>
  <c r="AE14" i="21"/>
  <c r="AI14" i="21" s="1"/>
  <c r="AC14" i="21"/>
  <c r="AA14" i="20"/>
  <c r="Z14" i="20" s="1"/>
  <c r="Z14" i="21"/>
  <c r="Y14" i="21" s="1"/>
  <c r="AA15" i="21"/>
  <c r="AP16" i="23"/>
  <c r="AO16" i="23"/>
  <c r="AN16" i="23"/>
  <c r="AM16" i="23"/>
  <c r="AL16" i="23"/>
  <c r="AG13" i="18"/>
  <c r="AM13" i="18"/>
  <c r="AL13" i="18"/>
  <c r="AK13" i="18"/>
  <c r="CN13" i="23"/>
  <c r="CM13" i="23" s="1"/>
  <c r="AA15" i="18"/>
  <c r="Y15" i="18"/>
  <c r="AL13" i="21"/>
  <c r="AM13" i="21"/>
  <c r="AK13" i="21"/>
  <c r="AG13" i="21"/>
  <c r="CJ14" i="23"/>
  <c r="CL14" i="23" s="1"/>
  <c r="CI14" i="23"/>
  <c r="CK14" i="23" s="1"/>
  <c r="AK17" i="23"/>
  <c r="AJ18" i="23"/>
  <c r="BU13" i="23"/>
  <c r="CQ13" i="23"/>
  <c r="AR15" i="23"/>
  <c r="AQ15" i="23"/>
  <c r="AS15" i="23" s="1"/>
  <c r="AN12" i="21"/>
  <c r="V15" i="18"/>
  <c r="X15" i="18" s="1"/>
  <c r="U15" i="18"/>
  <c r="W15" i="18" s="1"/>
  <c r="AJ12" i="18"/>
  <c r="AJ13" i="19"/>
  <c r="CO14" i="23"/>
  <c r="AB15" i="21"/>
  <c r="AF15" i="21" s="1"/>
  <c r="Z14" i="19"/>
  <c r="AB15" i="18"/>
  <c r="AF15" i="18" s="1"/>
  <c r="V15" i="19"/>
  <c r="X15" i="19" s="1"/>
  <c r="U15" i="19"/>
  <c r="W15" i="19" s="1"/>
  <c r="U14" i="23"/>
  <c r="W14" i="23" s="1"/>
  <c r="V14" i="23"/>
  <c r="X14" i="23" s="1"/>
  <c r="Q15" i="23"/>
  <c r="T15" i="23"/>
  <c r="R15" i="23"/>
  <c r="P15" i="23"/>
  <c r="S15" i="23"/>
  <c r="AN12" i="18"/>
  <c r="AX15" i="23"/>
  <c r="AY15" i="23" s="1"/>
  <c r="AB15" i="20"/>
  <c r="AF15" i="20" s="1"/>
  <c r="AU15" i="23"/>
  <c r="AT15" i="23"/>
  <c r="AW15" i="23"/>
  <c r="CP14" i="23"/>
  <c r="CQ14" i="23" s="1"/>
  <c r="CS13" i="23"/>
  <c r="BN14" i="23"/>
  <c r="BP14" i="23" s="1"/>
  <c r="BM14" i="23"/>
  <c r="BO14" i="23" s="1"/>
  <c r="AG13" i="20"/>
  <c r="AL13" i="20"/>
  <c r="AM13" i="20"/>
  <c r="AK13" i="20"/>
  <c r="T16" i="18"/>
  <c r="S16" i="18"/>
  <c r="Q16" i="18"/>
  <c r="P16" i="18"/>
  <c r="R16" i="18"/>
  <c r="AD13" i="23"/>
  <c r="AD14" i="18"/>
  <c r="BQ14" i="23"/>
  <c r="U15" i="20"/>
  <c r="W15" i="20" s="1"/>
  <c r="V15" i="20"/>
  <c r="X15" i="20" s="1"/>
  <c r="O17" i="21"/>
  <c r="N18" i="21"/>
  <c r="Q16" i="20"/>
  <c r="T16" i="20"/>
  <c r="P16" i="20"/>
  <c r="R16" i="20"/>
  <c r="S16" i="20"/>
  <c r="O17" i="18"/>
  <c r="N18" i="18"/>
  <c r="Y14" i="23"/>
  <c r="AA14" i="23"/>
  <c r="AB15" i="19"/>
  <c r="AF15" i="19" s="1"/>
  <c r="AB14" i="23"/>
  <c r="AE14" i="23" s="1"/>
  <c r="BW13" i="23"/>
  <c r="Y15" i="20"/>
  <c r="T16" i="21"/>
  <c r="S16" i="21"/>
  <c r="Q16" i="21"/>
  <c r="P16" i="21"/>
  <c r="R16" i="21"/>
  <c r="O17" i="19"/>
  <c r="N18" i="19"/>
  <c r="BT14" i="23"/>
  <c r="BV14" i="23" s="1"/>
  <c r="AC14" i="20"/>
  <c r="O17" i="20"/>
  <c r="N18" i="20"/>
  <c r="BS13" i="23"/>
  <c r="BR13" i="23" s="1"/>
  <c r="U15" i="21"/>
  <c r="W15" i="21" s="1"/>
  <c r="V15" i="21"/>
  <c r="X15" i="21" s="1"/>
  <c r="CH15" i="23"/>
  <c r="CG15" i="23"/>
  <c r="CF15" i="23"/>
  <c r="CE15" i="23"/>
  <c r="CD15" i="23"/>
  <c r="AA15" i="19"/>
  <c r="Y15" i="19"/>
  <c r="T16" i="19"/>
  <c r="Q16" i="19"/>
  <c r="S16" i="19"/>
  <c r="R16" i="19"/>
  <c r="P16" i="19"/>
  <c r="BK15" i="23"/>
  <c r="BJ15" i="23"/>
  <c r="BI15" i="23"/>
  <c r="BH15" i="23"/>
  <c r="BL15" i="23"/>
  <c r="AD14" i="20"/>
  <c r="AZ14" i="23"/>
  <c r="CC16" i="23"/>
  <c r="CB17" i="23"/>
  <c r="AV14" i="23"/>
  <c r="BF17" i="23"/>
  <c r="BG16" i="23"/>
  <c r="AE14" i="20"/>
  <c r="AI14" i="20" s="1"/>
  <c r="Z14" i="18"/>
  <c r="N17" i="23"/>
  <c r="O16" i="23"/>
  <c r="BA14" i="23"/>
  <c r="Z13" i="23"/>
  <c r="AJ13" i="21" l="1"/>
  <c r="AG14" i="21"/>
  <c r="AN13" i="19"/>
  <c r="AL14" i="21"/>
  <c r="AK14" i="19"/>
  <c r="BX13" i="23"/>
  <c r="AJ13" i="18"/>
  <c r="AL14" i="19"/>
  <c r="AN14" i="19" s="1"/>
  <c r="AF13" i="23"/>
  <c r="AH14" i="19"/>
  <c r="AJ14" i="19" s="1"/>
  <c r="AH14" i="21"/>
  <c r="AJ14" i="21" s="1"/>
  <c r="AD15" i="20"/>
  <c r="AL15" i="20" s="1"/>
  <c r="AN13" i="21"/>
  <c r="AK14" i="21"/>
  <c r="BB14" i="23"/>
  <c r="AJ13" i="20"/>
  <c r="AM14" i="18"/>
  <c r="AM14" i="19"/>
  <c r="AE15" i="19"/>
  <c r="AI15" i="19" s="1"/>
  <c r="AE15" i="20"/>
  <c r="AC15" i="20"/>
  <c r="AG15" i="20" s="1"/>
  <c r="CT13" i="23"/>
  <c r="AL14" i="18"/>
  <c r="AM14" i="21"/>
  <c r="AN14" i="21" s="1"/>
  <c r="Z14" i="23"/>
  <c r="BU14" i="23"/>
  <c r="BW14" i="23"/>
  <c r="CS14" i="23"/>
  <c r="CR14" i="23"/>
  <c r="AH14" i="20"/>
  <c r="AD15" i="19"/>
  <c r="BA15" i="23"/>
  <c r="AE15" i="18"/>
  <c r="AI15" i="18" s="1"/>
  <c r="BS14" i="23"/>
  <c r="BR14" i="23" s="1"/>
  <c r="AC15" i="19"/>
  <c r="U15" i="23"/>
  <c r="W15" i="23" s="1"/>
  <c r="V15" i="23"/>
  <c r="X15" i="23" s="1"/>
  <c r="AN13" i="18"/>
  <c r="V16" i="21"/>
  <c r="X16" i="21" s="1"/>
  <c r="U16" i="21"/>
  <c r="W16" i="21" s="1"/>
  <c r="Y16" i="20"/>
  <c r="AB16" i="18"/>
  <c r="AV15" i="23"/>
  <c r="AB15" i="23"/>
  <c r="AC15" i="23" s="1"/>
  <c r="AD15" i="21"/>
  <c r="N19" i="20"/>
  <c r="O18" i="20"/>
  <c r="AB16" i="20"/>
  <c r="AF16" i="20" s="1"/>
  <c r="T17" i="20"/>
  <c r="Q17" i="20"/>
  <c r="R17" i="20"/>
  <c r="S17" i="20"/>
  <c r="P17" i="20"/>
  <c r="AA15" i="20"/>
  <c r="Z15" i="20" s="1"/>
  <c r="N19" i="21"/>
  <c r="O18" i="21"/>
  <c r="V16" i="18"/>
  <c r="U16" i="18"/>
  <c r="W16" i="18" s="1"/>
  <c r="AE15" i="21"/>
  <c r="AI15" i="21" s="1"/>
  <c r="AR16" i="23"/>
  <c r="AT16" i="23" s="1"/>
  <c r="AQ16" i="23"/>
  <c r="AS16" i="23" s="1"/>
  <c r="AA16" i="21"/>
  <c r="AB16" i="19"/>
  <c r="AF16" i="19" s="1"/>
  <c r="AA15" i="23"/>
  <c r="Y15" i="23"/>
  <c r="AC15" i="21"/>
  <c r="AW16" i="23"/>
  <c r="AU16" i="23"/>
  <c r="AL14" i="20"/>
  <c r="AK14" i="20"/>
  <c r="AM14" i="20"/>
  <c r="AG14" i="20"/>
  <c r="AJ14" i="20" s="1"/>
  <c r="CO15" i="23"/>
  <c r="CP15" i="23"/>
  <c r="CS15" i="23" s="1"/>
  <c r="AX16" i="23"/>
  <c r="BA16" i="23" s="1"/>
  <c r="AN17" i="23"/>
  <c r="AP17" i="23"/>
  <c r="AO17" i="23"/>
  <c r="AL17" i="23"/>
  <c r="AM17" i="23"/>
  <c r="BF18" i="23"/>
  <c r="BG17" i="23"/>
  <c r="N19" i="19"/>
  <c r="O18" i="19"/>
  <c r="BT15" i="23"/>
  <c r="U16" i="20"/>
  <c r="W16" i="20" s="1"/>
  <c r="V16" i="20"/>
  <c r="X16" i="20" s="1"/>
  <c r="V16" i="19"/>
  <c r="X16" i="19" s="1"/>
  <c r="U16" i="19"/>
  <c r="W16" i="19" s="1"/>
  <c r="T17" i="19"/>
  <c r="S17" i="19"/>
  <c r="R17" i="19"/>
  <c r="Q17" i="19"/>
  <c r="P17" i="19"/>
  <c r="AK14" i="18"/>
  <c r="AZ15" i="23"/>
  <c r="BB15" i="23" s="1"/>
  <c r="CN14" i="23"/>
  <c r="CM14" i="23" s="1"/>
  <c r="CB18" i="23"/>
  <c r="CC17" i="23"/>
  <c r="BL16" i="23"/>
  <c r="BK16" i="23"/>
  <c r="BJ16" i="23"/>
  <c r="BH16" i="23"/>
  <c r="BI16" i="23"/>
  <c r="Z15" i="19"/>
  <c r="CJ15" i="23"/>
  <c r="CL15" i="23" s="1"/>
  <c r="CI15" i="23"/>
  <c r="CK15" i="23" s="1"/>
  <c r="CE16" i="23"/>
  <c r="CD16" i="23"/>
  <c r="CG16" i="23"/>
  <c r="CH16" i="23"/>
  <c r="CF16" i="23"/>
  <c r="X16" i="18"/>
  <c r="AA16" i="18"/>
  <c r="Y16" i="18"/>
  <c r="N19" i="18"/>
  <c r="O18" i="18"/>
  <c r="N18" i="23"/>
  <c r="O17" i="23"/>
  <c r="BM15" i="23"/>
  <c r="BN15" i="23"/>
  <c r="BP15" i="23" s="1"/>
  <c r="AC14" i="23"/>
  <c r="R17" i="18"/>
  <c r="Q17" i="18"/>
  <c r="T17" i="18"/>
  <c r="S17" i="18"/>
  <c r="P17" i="18"/>
  <c r="AN13" i="20"/>
  <c r="AD15" i="18"/>
  <c r="Z15" i="18"/>
  <c r="Y16" i="19"/>
  <c r="AA16" i="19"/>
  <c r="S17" i="21"/>
  <c r="R17" i="21"/>
  <c r="T17" i="21"/>
  <c r="Q17" i="21"/>
  <c r="P17" i="21"/>
  <c r="T16" i="23"/>
  <c r="S16" i="23"/>
  <c r="Q16" i="23"/>
  <c r="P16" i="23"/>
  <c r="R16" i="23"/>
  <c r="BQ15" i="23"/>
  <c r="BO15" i="23"/>
  <c r="AB16" i="21"/>
  <c r="AF16" i="21" s="1"/>
  <c r="AD14" i="23"/>
  <c r="AH14" i="18"/>
  <c r="AJ14" i="18" s="1"/>
  <c r="AC15" i="18"/>
  <c r="AJ19" i="23"/>
  <c r="AK18" i="23"/>
  <c r="Z15" i="21"/>
  <c r="Y15" i="21" s="1"/>
  <c r="AF14" i="23" l="1"/>
  <c r="CT14" i="23"/>
  <c r="AK15" i="20"/>
  <c r="AM15" i="20"/>
  <c r="AN14" i="18"/>
  <c r="AH15" i="19"/>
  <c r="AI15" i="20"/>
  <c r="AE16" i="20"/>
  <c r="CQ15" i="23"/>
  <c r="AH15" i="20"/>
  <c r="Z15" i="23"/>
  <c r="AE16" i="19"/>
  <c r="AI16" i="19" s="1"/>
  <c r="AJ15" i="20"/>
  <c r="AY16" i="23"/>
  <c r="AC16" i="20"/>
  <c r="AG16" i="20" s="1"/>
  <c r="Z16" i="19"/>
  <c r="AD16" i="20"/>
  <c r="AC16" i="19"/>
  <c r="AG16" i="19" s="1"/>
  <c r="AV16" i="23"/>
  <c r="AD15" i="23"/>
  <c r="AD16" i="21"/>
  <c r="AE16" i="21"/>
  <c r="AI16" i="21" s="1"/>
  <c r="BX14" i="23"/>
  <c r="AX17" i="23"/>
  <c r="AY17" i="23" s="1"/>
  <c r="AN14" i="20"/>
  <c r="S18" i="21"/>
  <c r="Q18" i="21"/>
  <c r="T18" i="21"/>
  <c r="P18" i="21"/>
  <c r="R18" i="21"/>
  <c r="CH17" i="23"/>
  <c r="CG17" i="23"/>
  <c r="CF17" i="23"/>
  <c r="CE17" i="23"/>
  <c r="CD17" i="23"/>
  <c r="O19" i="19"/>
  <c r="N20" i="19"/>
  <c r="AZ16" i="23"/>
  <c r="AD16" i="19"/>
  <c r="O19" i="21"/>
  <c r="N20" i="21"/>
  <c r="T18" i="20"/>
  <c r="Q18" i="20"/>
  <c r="S18" i="20"/>
  <c r="R18" i="20"/>
  <c r="P18" i="20"/>
  <c r="AA16" i="20"/>
  <c r="Z16" i="20" s="1"/>
  <c r="AA17" i="18"/>
  <c r="Y17" i="18"/>
  <c r="AB17" i="18"/>
  <c r="AF17" i="18" s="1"/>
  <c r="AJ20" i="23"/>
  <c r="AK19" i="23"/>
  <c r="O19" i="20"/>
  <c r="N20" i="20"/>
  <c r="CB19" i="23"/>
  <c r="CC18" i="23"/>
  <c r="O18" i="23"/>
  <c r="N19" i="23"/>
  <c r="AH15" i="21"/>
  <c r="AN18" i="23"/>
  <c r="AL18" i="23"/>
  <c r="AP18" i="23"/>
  <c r="AO18" i="23"/>
  <c r="AM18" i="23"/>
  <c r="AN15" i="20"/>
  <c r="V16" i="23"/>
  <c r="X16" i="23" s="1"/>
  <c r="U16" i="23"/>
  <c r="W16" i="23" s="1"/>
  <c r="CJ16" i="23"/>
  <c r="CL16" i="23" s="1"/>
  <c r="CI16" i="23"/>
  <c r="CK16" i="23" s="1"/>
  <c r="Y16" i="23"/>
  <c r="AA16" i="23"/>
  <c r="R17" i="23"/>
  <c r="P17" i="23"/>
  <c r="Q17" i="23"/>
  <c r="T17" i="23"/>
  <c r="S17" i="23"/>
  <c r="P18" i="18"/>
  <c r="T18" i="18"/>
  <c r="R18" i="18"/>
  <c r="Q18" i="18"/>
  <c r="S18" i="18"/>
  <c r="BL17" i="23"/>
  <c r="BK17" i="23"/>
  <c r="BJ17" i="23"/>
  <c r="BI17" i="23"/>
  <c r="BH17" i="23"/>
  <c r="V17" i="20"/>
  <c r="X17" i="20" s="1"/>
  <c r="U17" i="20"/>
  <c r="W17" i="20" s="1"/>
  <c r="CP16" i="23"/>
  <c r="CO16" i="23"/>
  <c r="AH15" i="18"/>
  <c r="U17" i="21"/>
  <c r="W17" i="21" s="1"/>
  <c r="V17" i="21"/>
  <c r="X17" i="21" s="1"/>
  <c r="N20" i="18"/>
  <c r="O19" i="18"/>
  <c r="BG18" i="23"/>
  <c r="BF19" i="23"/>
  <c r="CR15" i="23"/>
  <c r="AG15" i="21"/>
  <c r="AM15" i="21"/>
  <c r="AK15" i="21"/>
  <c r="AL15" i="21"/>
  <c r="Z16" i="21"/>
  <c r="Y16" i="21" s="1"/>
  <c r="AG15" i="18"/>
  <c r="AM15" i="18"/>
  <c r="AK15" i="18"/>
  <c r="AL15" i="18"/>
  <c r="AA17" i="21"/>
  <c r="AB17" i="20"/>
  <c r="AF17" i="20" s="1"/>
  <c r="AE15" i="23"/>
  <c r="BW15" i="23"/>
  <c r="R18" i="19"/>
  <c r="Q18" i="19"/>
  <c r="T18" i="19"/>
  <c r="S18" i="19"/>
  <c r="P18" i="19"/>
  <c r="BQ16" i="23"/>
  <c r="V17" i="19"/>
  <c r="X17" i="19" s="1"/>
  <c r="U17" i="19"/>
  <c r="W17" i="19" s="1"/>
  <c r="AC16" i="21"/>
  <c r="BN16" i="23"/>
  <c r="BP16" i="23" s="1"/>
  <c r="BM16" i="23"/>
  <c r="BO16" i="23" s="1"/>
  <c r="Y17" i="19"/>
  <c r="AA17" i="19"/>
  <c r="BV15" i="23"/>
  <c r="AW17" i="23"/>
  <c r="AU17" i="23"/>
  <c r="Y17" i="20"/>
  <c r="BS15" i="23"/>
  <c r="BR15" i="23" s="1"/>
  <c r="AE16" i="18"/>
  <c r="AI16" i="18" s="1"/>
  <c r="AF16" i="18"/>
  <c r="AB16" i="23"/>
  <c r="AC16" i="23" s="1"/>
  <c r="V17" i="18"/>
  <c r="X17" i="18" s="1"/>
  <c r="U17" i="18"/>
  <c r="W17" i="18" s="1"/>
  <c r="AB17" i="21"/>
  <c r="AF17" i="21" s="1"/>
  <c r="Z16" i="18"/>
  <c r="BT16" i="23"/>
  <c r="BV16" i="23" s="1"/>
  <c r="AB17" i="19"/>
  <c r="AF17" i="19" s="1"/>
  <c r="BU15" i="23"/>
  <c r="AR17" i="23"/>
  <c r="AT17" i="23" s="1"/>
  <c r="AQ17" i="23"/>
  <c r="AS17" i="23" s="1"/>
  <c r="CN15" i="23"/>
  <c r="CM15" i="23" s="1"/>
  <c r="AC16" i="18"/>
  <c r="AG15" i="19"/>
  <c r="AM15" i="19"/>
  <c r="AK15" i="19"/>
  <c r="AL15" i="19"/>
  <c r="AD16" i="18"/>
  <c r="AF15" i="23" l="1"/>
  <c r="AM16" i="20"/>
  <c r="AJ15" i="19"/>
  <c r="AH16" i="18"/>
  <c r="AH16" i="19"/>
  <c r="AC17" i="19"/>
  <c r="AG17" i="19" s="1"/>
  <c r="AD17" i="19"/>
  <c r="AE17" i="19"/>
  <c r="AZ17" i="23"/>
  <c r="AN15" i="18"/>
  <c r="CT15" i="23"/>
  <c r="BB16" i="23"/>
  <c r="AL16" i="20"/>
  <c r="AN16" i="20" s="1"/>
  <c r="AK16" i="20"/>
  <c r="AC17" i="20"/>
  <c r="AG17" i="20" s="1"/>
  <c r="BX15" i="23"/>
  <c r="AD17" i="20"/>
  <c r="AD17" i="18"/>
  <c r="AH16" i="20"/>
  <c r="AJ15" i="18"/>
  <c r="AN15" i="21"/>
  <c r="AJ15" i="21"/>
  <c r="AI17" i="19"/>
  <c r="AN15" i="19"/>
  <c r="AE17" i="18"/>
  <c r="AI17" i="18" s="1"/>
  <c r="AJ16" i="19"/>
  <c r="BS16" i="23"/>
  <c r="BR16" i="23" s="1"/>
  <c r="Z17" i="21"/>
  <c r="Y17" i="21" s="1"/>
  <c r="AC17" i="21"/>
  <c r="AG16" i="21"/>
  <c r="AM16" i="21"/>
  <c r="AL16" i="21"/>
  <c r="AK16" i="21"/>
  <c r="O20" i="18"/>
  <c r="N21" i="18"/>
  <c r="Z17" i="18"/>
  <c r="R19" i="19"/>
  <c r="P19" i="19"/>
  <c r="T19" i="19"/>
  <c r="S19" i="19"/>
  <c r="Q19" i="19"/>
  <c r="AL16" i="19"/>
  <c r="CB20" i="23"/>
  <c r="CC19" i="23"/>
  <c r="BM17" i="23"/>
  <c r="BO17" i="23" s="1"/>
  <c r="BN17" i="23"/>
  <c r="BP17" i="23" s="1"/>
  <c r="Y17" i="23"/>
  <c r="AA17" i="23"/>
  <c r="AW18" i="23"/>
  <c r="AU18" i="23"/>
  <c r="N21" i="20"/>
  <c r="O20" i="20"/>
  <c r="CJ17" i="23"/>
  <c r="CL17" i="23" s="1"/>
  <c r="CI17" i="23"/>
  <c r="CK17" i="23" s="1"/>
  <c r="AM16" i="19"/>
  <c r="AH16" i="21"/>
  <c r="BQ17" i="23"/>
  <c r="U17" i="23"/>
  <c r="W17" i="23" s="1"/>
  <c r="V17" i="23"/>
  <c r="X17" i="23" s="1"/>
  <c r="T19" i="20"/>
  <c r="R19" i="20"/>
  <c r="S19" i="20"/>
  <c r="Q19" i="20"/>
  <c r="P19" i="20"/>
  <c r="V18" i="20"/>
  <c r="X18" i="20" s="1"/>
  <c r="U18" i="20"/>
  <c r="W18" i="20" s="1"/>
  <c r="CO17" i="23"/>
  <c r="AK16" i="19"/>
  <c r="CS16" i="23"/>
  <c r="O20" i="19"/>
  <c r="N21" i="19"/>
  <c r="AD16" i="23"/>
  <c r="BU16" i="23"/>
  <c r="BT17" i="23"/>
  <c r="BV17" i="23" s="1"/>
  <c r="AO19" i="23"/>
  <c r="AN19" i="23"/>
  <c r="AM19" i="23"/>
  <c r="AL19" i="23"/>
  <c r="AP19" i="23"/>
  <c r="AB18" i="20"/>
  <c r="AF18" i="20" s="1"/>
  <c r="CP17" i="23"/>
  <c r="CR17" i="23" s="1"/>
  <c r="R19" i="18"/>
  <c r="T19" i="18"/>
  <c r="S19" i="18"/>
  <c r="P19" i="18"/>
  <c r="Q19" i="18"/>
  <c r="CH18" i="23"/>
  <c r="CG18" i="23"/>
  <c r="CF18" i="23"/>
  <c r="CE18" i="23"/>
  <c r="CD18" i="23"/>
  <c r="AA18" i="21"/>
  <c r="AA17" i="20"/>
  <c r="Z17" i="20" s="1"/>
  <c r="AE16" i="23"/>
  <c r="AV17" i="23"/>
  <c r="AB17" i="23"/>
  <c r="AE17" i="23" s="1"/>
  <c r="AE17" i="20"/>
  <c r="CN16" i="23"/>
  <c r="CM16" i="23" s="1"/>
  <c r="AR18" i="23"/>
  <c r="AT18" i="23" s="1"/>
  <c r="AQ18" i="23"/>
  <c r="AS18" i="23" s="1"/>
  <c r="AJ21" i="23"/>
  <c r="AK20" i="23"/>
  <c r="V18" i="19"/>
  <c r="X18" i="19" s="1"/>
  <c r="U18" i="19"/>
  <c r="AX18" i="23"/>
  <c r="AY18" i="23" s="1"/>
  <c r="Y18" i="20"/>
  <c r="AG16" i="18"/>
  <c r="AJ16" i="18" s="1"/>
  <c r="AK16" i="18"/>
  <c r="AL16" i="18"/>
  <c r="AM16" i="18"/>
  <c r="Z17" i="19"/>
  <c r="Z16" i="23"/>
  <c r="AB18" i="19"/>
  <c r="AF18" i="19" s="1"/>
  <c r="AI16" i="20"/>
  <c r="Y18" i="18"/>
  <c r="AA18" i="18"/>
  <c r="AC17" i="18"/>
  <c r="N21" i="21"/>
  <c r="O20" i="21"/>
  <c r="AB18" i="21"/>
  <c r="AF18" i="21" s="1"/>
  <c r="U18" i="18"/>
  <c r="W18" i="18" s="1"/>
  <c r="V18" i="18"/>
  <c r="X18" i="18" s="1"/>
  <c r="BW16" i="23"/>
  <c r="AD17" i="21"/>
  <c r="AE17" i="21"/>
  <c r="AI17" i="21" s="1"/>
  <c r="Y18" i="19"/>
  <c r="AA18" i="19"/>
  <c r="W18" i="19"/>
  <c r="BF20" i="23"/>
  <c r="BG19" i="23"/>
  <c r="CQ16" i="23"/>
  <c r="AB18" i="18"/>
  <c r="AF18" i="18" s="1"/>
  <c r="N20" i="23"/>
  <c r="O19" i="23"/>
  <c r="T19" i="21"/>
  <c r="S19" i="21"/>
  <c r="Q19" i="21"/>
  <c r="R19" i="21"/>
  <c r="P19" i="21"/>
  <c r="V18" i="21"/>
  <c r="X18" i="21" s="1"/>
  <c r="U18" i="21"/>
  <c r="W18" i="21" s="1"/>
  <c r="BA17" i="23"/>
  <c r="BI18" i="23"/>
  <c r="BH18" i="23"/>
  <c r="BK18" i="23"/>
  <c r="BL18" i="23"/>
  <c r="BJ18" i="23"/>
  <c r="CR16" i="23"/>
  <c r="Q18" i="23"/>
  <c r="T18" i="23"/>
  <c r="R18" i="23"/>
  <c r="P18" i="23"/>
  <c r="S18" i="23"/>
  <c r="AH17" i="19" l="1"/>
  <c r="AM17" i="19"/>
  <c r="AK17" i="19"/>
  <c r="AL17" i="19"/>
  <c r="AN17" i="19" s="1"/>
  <c r="AH17" i="18"/>
  <c r="AC18" i="18"/>
  <c r="AG18" i="18" s="1"/>
  <c r="Z18" i="21"/>
  <c r="Y18" i="21" s="1"/>
  <c r="AH17" i="21"/>
  <c r="AH17" i="20"/>
  <c r="AE18" i="18"/>
  <c r="AI18" i="18" s="1"/>
  <c r="AJ16" i="20"/>
  <c r="AK17" i="20"/>
  <c r="AC18" i="21"/>
  <c r="AC18" i="19"/>
  <c r="AD18" i="20"/>
  <c r="AN16" i="18"/>
  <c r="AE18" i="19"/>
  <c r="AI18" i="19" s="1"/>
  <c r="BB17" i="23"/>
  <c r="AF16" i="23"/>
  <c r="CT16" i="23"/>
  <c r="AZ18" i="23"/>
  <c r="BX16" i="23"/>
  <c r="BS17" i="23"/>
  <c r="BR17" i="23" s="1"/>
  <c r="AJ17" i="19"/>
  <c r="AD18" i="19"/>
  <c r="V19" i="18"/>
  <c r="X19" i="18" s="1"/>
  <c r="U19" i="18"/>
  <c r="W19" i="18" s="1"/>
  <c r="AR19" i="23"/>
  <c r="AT19" i="23" s="1"/>
  <c r="AQ19" i="23"/>
  <c r="AS19" i="23" s="1"/>
  <c r="T20" i="19"/>
  <c r="S20" i="19"/>
  <c r="Q20" i="19"/>
  <c r="R20" i="19"/>
  <c r="P20" i="19"/>
  <c r="AB19" i="20"/>
  <c r="AF19" i="20" s="1"/>
  <c r="AB19" i="19"/>
  <c r="AF19" i="19" s="1"/>
  <c r="BT18" i="23"/>
  <c r="BU18" i="23" s="1"/>
  <c r="AM20" i="23"/>
  <c r="AO20" i="23"/>
  <c r="AN20" i="23"/>
  <c r="AL20" i="23"/>
  <c r="AP20" i="23"/>
  <c r="AW19" i="23"/>
  <c r="AU19" i="23"/>
  <c r="AJ22" i="23"/>
  <c r="AK21" i="23"/>
  <c r="O21" i="18"/>
  <c r="N22" i="18"/>
  <c r="T19" i="23"/>
  <c r="S19" i="23"/>
  <c r="Q19" i="23"/>
  <c r="P19" i="23"/>
  <c r="R19" i="23"/>
  <c r="Z18" i="19"/>
  <c r="AD18" i="21"/>
  <c r="AH18" i="21" s="1"/>
  <c r="AB19" i="18"/>
  <c r="AC19" i="18" s="1"/>
  <c r="T20" i="18"/>
  <c r="S20" i="18"/>
  <c r="Q20" i="18"/>
  <c r="P20" i="18"/>
  <c r="R20" i="18"/>
  <c r="AA18" i="20"/>
  <c r="Z18" i="20" s="1"/>
  <c r="CQ17" i="23"/>
  <c r="BU17" i="23"/>
  <c r="T20" i="20"/>
  <c r="S20" i="20"/>
  <c r="Q20" i="20"/>
  <c r="R20" i="20"/>
  <c r="P20" i="20"/>
  <c r="N22" i="20"/>
  <c r="O21" i="20"/>
  <c r="CF19" i="23"/>
  <c r="CE19" i="23"/>
  <c r="CD19" i="23"/>
  <c r="CH19" i="23"/>
  <c r="CG19" i="23"/>
  <c r="AN16" i="21"/>
  <c r="AE18" i="21"/>
  <c r="AI18" i="21" s="1"/>
  <c r="BQ18" i="23"/>
  <c r="R20" i="21"/>
  <c r="Q20" i="21"/>
  <c r="S20" i="21"/>
  <c r="P20" i="21"/>
  <c r="T20" i="21"/>
  <c r="CS17" i="23"/>
  <c r="CN17" i="23"/>
  <c r="CM17" i="23" s="1"/>
  <c r="CB21" i="23"/>
  <c r="CC20" i="23"/>
  <c r="AA19" i="21"/>
  <c r="AX19" i="23"/>
  <c r="BA19" i="23" s="1"/>
  <c r="BN18" i="23"/>
  <c r="BP18" i="23" s="1"/>
  <c r="BM18" i="23"/>
  <c r="BO18" i="23" s="1"/>
  <c r="O20" i="23"/>
  <c r="N21" i="23"/>
  <c r="AI17" i="20"/>
  <c r="AJ17" i="20" s="1"/>
  <c r="CJ18" i="23"/>
  <c r="CL18" i="23" s="1"/>
  <c r="CI18" i="23"/>
  <c r="CK18" i="23" s="1"/>
  <c r="BW17" i="23"/>
  <c r="AD18" i="18"/>
  <c r="N22" i="21"/>
  <c r="O21" i="21"/>
  <c r="CO18" i="23"/>
  <c r="AC18" i="20"/>
  <c r="AN16" i="19"/>
  <c r="AJ16" i="21"/>
  <c r="U18" i="23"/>
  <c r="W18" i="23" s="1"/>
  <c r="V18" i="23"/>
  <c r="AC17" i="23"/>
  <c r="CP18" i="23"/>
  <c r="CQ18" i="23" s="1"/>
  <c r="AM17" i="20"/>
  <c r="AV18" i="23"/>
  <c r="AA19" i="19"/>
  <c r="Y19" i="19"/>
  <c r="AK17" i="21"/>
  <c r="AG17" i="21"/>
  <c r="AJ17" i="21" s="1"/>
  <c r="AL17" i="21"/>
  <c r="AM17" i="21"/>
  <c r="AL17" i="18"/>
  <c r="AG17" i="18"/>
  <c r="AK17" i="18"/>
  <c r="AM17" i="18"/>
  <c r="AB18" i="23"/>
  <c r="AD18" i="23" s="1"/>
  <c r="BA18" i="23"/>
  <c r="AD17" i="23"/>
  <c r="AE18" i="20"/>
  <c r="V19" i="20"/>
  <c r="X19" i="20" s="1"/>
  <c r="U19" i="20"/>
  <c r="W19" i="20" s="1"/>
  <c r="AL17" i="20"/>
  <c r="BL19" i="23"/>
  <c r="BK19" i="23"/>
  <c r="BJ19" i="23"/>
  <c r="BI19" i="23"/>
  <c r="BH19" i="23"/>
  <c r="Z18" i="18"/>
  <c r="Y19" i="20"/>
  <c r="V19" i="21"/>
  <c r="X19" i="21" s="1"/>
  <c r="U19" i="21"/>
  <c r="W19" i="21" s="1"/>
  <c r="AA18" i="23"/>
  <c r="X18" i="23"/>
  <c r="Y18" i="23"/>
  <c r="AB19" i="21"/>
  <c r="AF19" i="21" s="1"/>
  <c r="BF21" i="23"/>
  <c r="BG20" i="23"/>
  <c r="AA19" i="18"/>
  <c r="Y19" i="18"/>
  <c r="N22" i="19"/>
  <c r="O21" i="19"/>
  <c r="Z17" i="23"/>
  <c r="V19" i="19"/>
  <c r="X19" i="19" s="1"/>
  <c r="U19" i="19"/>
  <c r="W19" i="19" s="1"/>
  <c r="CR18" i="23" l="1"/>
  <c r="AM18" i="21"/>
  <c r="AH18" i="20"/>
  <c r="AJ17" i="18"/>
  <c r="AK18" i="19"/>
  <c r="AG18" i="21"/>
  <c r="AJ18" i="21" s="1"/>
  <c r="AP18" i="21" s="1"/>
  <c r="AT15" i="21" s="1"/>
  <c r="E26" i="24" s="1"/>
  <c r="AL18" i="19"/>
  <c r="AG18" i="19"/>
  <c r="AC18" i="23"/>
  <c r="AH18" i="19"/>
  <c r="AJ18" i="19" s="1"/>
  <c r="AP18" i="19" s="1"/>
  <c r="AT15" i="19" s="1"/>
  <c r="C26" i="24" s="1"/>
  <c r="AD19" i="18"/>
  <c r="AK19" i="18" s="1"/>
  <c r="AC19" i="19"/>
  <c r="AG19" i="19" s="1"/>
  <c r="AE19" i="20"/>
  <c r="AI19" i="20" s="1"/>
  <c r="BB18" i="23"/>
  <c r="AZ19" i="23"/>
  <c r="AM18" i="19"/>
  <c r="AF17" i="23"/>
  <c r="AE19" i="19"/>
  <c r="AI19" i="19" s="1"/>
  <c r="AI18" i="20"/>
  <c r="BX17" i="23"/>
  <c r="AD19" i="19"/>
  <c r="AY19" i="23"/>
  <c r="CT17" i="23"/>
  <c r="AA19" i="20"/>
  <c r="Z19" i="20" s="1"/>
  <c r="AH18" i="18"/>
  <c r="AJ18" i="18" s="1"/>
  <c r="AP18" i="18" s="1"/>
  <c r="AT15" i="18" s="1"/>
  <c r="B26" i="24" s="1"/>
  <c r="AK18" i="21"/>
  <c r="CN18" i="23"/>
  <c r="CM18" i="23" s="1"/>
  <c r="AL18" i="18"/>
  <c r="AK18" i="18"/>
  <c r="AM18" i="18"/>
  <c r="BS18" i="23"/>
  <c r="BR18" i="23" s="1"/>
  <c r="BN19" i="23"/>
  <c r="BP19" i="23" s="1"/>
  <c r="BM19" i="23"/>
  <c r="AA20" i="18"/>
  <c r="Y20" i="18"/>
  <c r="AA20" i="21"/>
  <c r="O22" i="18"/>
  <c r="N23" i="18"/>
  <c r="AU20" i="23"/>
  <c r="AW20" i="23"/>
  <c r="V20" i="19"/>
  <c r="X20" i="19" s="1"/>
  <c r="U20" i="19"/>
  <c r="W20" i="19" s="1"/>
  <c r="T21" i="18"/>
  <c r="S21" i="18"/>
  <c r="Q21" i="18"/>
  <c r="P21" i="18"/>
  <c r="R21" i="18"/>
  <c r="BV18" i="23"/>
  <c r="AB20" i="19"/>
  <c r="AF20" i="19" s="1"/>
  <c r="AG18" i="20"/>
  <c r="AK18" i="20"/>
  <c r="AM18" i="20"/>
  <c r="AL18" i="20"/>
  <c r="O21" i="23"/>
  <c r="N22" i="23"/>
  <c r="CJ19" i="23"/>
  <c r="CL19" i="23" s="1"/>
  <c r="CI19" i="23"/>
  <c r="CK19" i="23" s="1"/>
  <c r="AG19" i="18"/>
  <c r="AP21" i="23"/>
  <c r="AO21" i="23"/>
  <c r="AN21" i="23"/>
  <c r="AM21" i="23"/>
  <c r="AL21" i="23"/>
  <c r="AA20" i="19"/>
  <c r="Y20" i="19"/>
  <c r="T21" i="19"/>
  <c r="Q21" i="19"/>
  <c r="R21" i="19"/>
  <c r="P21" i="19"/>
  <c r="S21" i="19"/>
  <c r="AB20" i="21"/>
  <c r="AF20" i="21" s="1"/>
  <c r="BW18" i="23"/>
  <c r="N23" i="19"/>
  <c r="O22" i="19"/>
  <c r="AN17" i="20"/>
  <c r="Z19" i="21"/>
  <c r="Y19" i="21" s="1"/>
  <c r="CH20" i="23"/>
  <c r="CG20" i="23"/>
  <c r="CF20" i="23"/>
  <c r="CD20" i="23"/>
  <c r="CE20" i="23"/>
  <c r="CP19" i="23"/>
  <c r="CR19" i="23" s="1"/>
  <c r="AE19" i="18"/>
  <c r="AI19" i="18" s="1"/>
  <c r="AF19" i="18"/>
  <c r="Y20" i="20"/>
  <c r="T20" i="23"/>
  <c r="Q20" i="23"/>
  <c r="P20" i="23"/>
  <c r="S20" i="23"/>
  <c r="R20" i="23"/>
  <c r="AN17" i="18"/>
  <c r="CB22" i="23"/>
  <c r="CC21" i="23"/>
  <c r="Q21" i="20"/>
  <c r="P21" i="20"/>
  <c r="R21" i="20"/>
  <c r="T21" i="20"/>
  <c r="S21" i="20"/>
  <c r="AB20" i="20"/>
  <c r="AF20" i="20" s="1"/>
  <c r="BT19" i="23"/>
  <c r="BW19" i="23" s="1"/>
  <c r="AE18" i="23"/>
  <c r="P21" i="21"/>
  <c r="T21" i="21"/>
  <c r="R21" i="21"/>
  <c r="Q21" i="21"/>
  <c r="S21" i="21"/>
  <c r="N23" i="20"/>
  <c r="O22" i="20"/>
  <c r="V20" i="21"/>
  <c r="X20" i="21" s="1"/>
  <c r="U20" i="21"/>
  <c r="W20" i="21" s="1"/>
  <c r="Z18" i="23"/>
  <c r="AK22" i="23"/>
  <c r="AJ23" i="23"/>
  <c r="BL20" i="23"/>
  <c r="BK20" i="23"/>
  <c r="BJ20" i="23"/>
  <c r="BI20" i="23"/>
  <c r="BH20" i="23"/>
  <c r="AC19" i="21"/>
  <c r="AN17" i="21"/>
  <c r="CS18" i="23"/>
  <c r="N23" i="21"/>
  <c r="O22" i="21"/>
  <c r="AB19" i="23"/>
  <c r="AE19" i="23" s="1"/>
  <c r="AV19" i="23"/>
  <c r="AX20" i="23"/>
  <c r="BA20" i="23" s="1"/>
  <c r="BQ19" i="23"/>
  <c r="BO19" i="23"/>
  <c r="Z19" i="18"/>
  <c r="CO19" i="23"/>
  <c r="V19" i="23"/>
  <c r="X19" i="23" s="1"/>
  <c r="U19" i="23"/>
  <c r="W19" i="23" s="1"/>
  <c r="AC19" i="20"/>
  <c r="V20" i="18"/>
  <c r="X20" i="18" s="1"/>
  <c r="U20" i="18"/>
  <c r="W20" i="18" s="1"/>
  <c r="Z19" i="19"/>
  <c r="BG21" i="23"/>
  <c r="BF22" i="23"/>
  <c r="AD19" i="21"/>
  <c r="AH19" i="21" s="1"/>
  <c r="AE19" i="21"/>
  <c r="AI19" i="21" s="1"/>
  <c r="AL18" i="21"/>
  <c r="U20" i="20"/>
  <c r="W20" i="20" s="1"/>
  <c r="V20" i="20"/>
  <c r="X20" i="20" s="1"/>
  <c r="AB20" i="18"/>
  <c r="AD20" i="18" s="1"/>
  <c r="Y19" i="23"/>
  <c r="AA19" i="23"/>
  <c r="AQ20" i="23"/>
  <c r="AS20" i="23" s="1"/>
  <c r="AR20" i="23"/>
  <c r="AT20" i="23" s="1"/>
  <c r="AD19" i="20"/>
  <c r="AH19" i="20" s="1"/>
  <c r="AY20" i="23" l="1"/>
  <c r="AZ20" i="23"/>
  <c r="AN18" i="21"/>
  <c r="AJ18" i="20"/>
  <c r="AP18" i="20" s="1"/>
  <c r="AT15" i="20" s="1"/>
  <c r="D26" i="24" s="1"/>
  <c r="AD20" i="19"/>
  <c r="AN18" i="19"/>
  <c r="AH19" i="18"/>
  <c r="AD19" i="23"/>
  <c r="AK19" i="19"/>
  <c r="CT18" i="23"/>
  <c r="AF18" i="23"/>
  <c r="Z20" i="21"/>
  <c r="Y20" i="21" s="1"/>
  <c r="AC19" i="23"/>
  <c r="AE20" i="21"/>
  <c r="AI20" i="21" s="1"/>
  <c r="AD20" i="21"/>
  <c r="AH20" i="21" s="1"/>
  <c r="AE20" i="19"/>
  <c r="AI20" i="19" s="1"/>
  <c r="AL19" i="19"/>
  <c r="BU19" i="23"/>
  <c r="AC20" i="19"/>
  <c r="AM19" i="19"/>
  <c r="AH19" i="19"/>
  <c r="AC20" i="18"/>
  <c r="AK20" i="18" s="1"/>
  <c r="BV19" i="23"/>
  <c r="BS19" i="23"/>
  <c r="BR19" i="23" s="1"/>
  <c r="AN18" i="20"/>
  <c r="AN18" i="18"/>
  <c r="BX18" i="23"/>
  <c r="AC20" i="21"/>
  <c r="U20" i="23"/>
  <c r="V20" i="23"/>
  <c r="X20" i="23" s="1"/>
  <c r="AB21" i="21"/>
  <c r="AF21" i="21" s="1"/>
  <c r="P22" i="18"/>
  <c r="T22" i="18"/>
  <c r="S22" i="18"/>
  <c r="Q22" i="18"/>
  <c r="R22" i="18"/>
  <c r="CJ20" i="23"/>
  <c r="CL20" i="23" s="1"/>
  <c r="CI20" i="23"/>
  <c r="CK20" i="23" s="1"/>
  <c r="AR21" i="23"/>
  <c r="AT21" i="23" s="1"/>
  <c r="AQ21" i="23"/>
  <c r="AS21" i="23" s="1"/>
  <c r="N23" i="23"/>
  <c r="O22" i="23"/>
  <c r="V21" i="18"/>
  <c r="X21" i="18" s="1"/>
  <c r="U21" i="18"/>
  <c r="W21" i="18" s="1"/>
  <c r="Y21" i="18"/>
  <c r="AA21" i="18"/>
  <c r="AA21" i="21"/>
  <c r="CP20" i="23"/>
  <c r="CR20" i="23" s="1"/>
  <c r="AW21" i="23"/>
  <c r="AU21" i="23"/>
  <c r="AB21" i="20"/>
  <c r="AF21" i="20" s="1"/>
  <c r="AA20" i="20"/>
  <c r="Z20" i="20" s="1"/>
  <c r="AX21" i="23"/>
  <c r="AY21" i="23" s="1"/>
  <c r="AN22" i="23"/>
  <c r="AO22" i="23"/>
  <c r="AM22" i="23"/>
  <c r="AL22" i="23"/>
  <c r="AP22" i="23"/>
  <c r="CO20" i="23"/>
  <c r="V21" i="21"/>
  <c r="X21" i="21" s="1"/>
  <c r="U21" i="21"/>
  <c r="W21" i="21" s="1"/>
  <c r="U21" i="20"/>
  <c r="W21" i="20" s="1"/>
  <c r="V21" i="20"/>
  <c r="X21" i="20" s="1"/>
  <c r="BN20" i="23"/>
  <c r="BP20" i="23" s="1"/>
  <c r="BM20" i="23"/>
  <c r="BO20" i="23" s="1"/>
  <c r="Y21" i="20"/>
  <c r="U21" i="19"/>
  <c r="V21" i="19"/>
  <c r="AB21" i="18"/>
  <c r="AF21" i="18" s="1"/>
  <c r="S21" i="23"/>
  <c r="R21" i="23"/>
  <c r="T21" i="23"/>
  <c r="Q21" i="23"/>
  <c r="P21" i="23"/>
  <c r="AB21" i="19"/>
  <c r="AF21" i="19" s="1"/>
  <c r="AL19" i="18"/>
  <c r="Z20" i="18"/>
  <c r="AH20" i="18" s="1"/>
  <c r="CN19" i="23"/>
  <c r="CM19" i="23" s="1"/>
  <c r="O23" i="21"/>
  <c r="N24" i="21"/>
  <c r="BL21" i="23"/>
  <c r="BK21" i="23"/>
  <c r="BI21" i="23"/>
  <c r="BH21" i="23"/>
  <c r="BJ21" i="23"/>
  <c r="Z19" i="23"/>
  <c r="AG19" i="20"/>
  <c r="AM19" i="20"/>
  <c r="AK19" i="20"/>
  <c r="AL19" i="20"/>
  <c r="BQ20" i="23"/>
  <c r="BT20" i="23"/>
  <c r="BV20" i="23" s="1"/>
  <c r="X21" i="19"/>
  <c r="AA21" i="19"/>
  <c r="Y21" i="19"/>
  <c r="W21" i="19"/>
  <c r="Q22" i="21"/>
  <c r="S22" i="21"/>
  <c r="T22" i="21"/>
  <c r="R22" i="21"/>
  <c r="P22" i="21"/>
  <c r="BF23" i="23"/>
  <c r="BG22" i="23"/>
  <c r="AG19" i="21"/>
  <c r="AK19" i="21"/>
  <c r="AM19" i="21"/>
  <c r="AL19" i="21"/>
  <c r="R22" i="19"/>
  <c r="Q22" i="19"/>
  <c r="T22" i="19"/>
  <c r="S22" i="19"/>
  <c r="P22" i="19"/>
  <c r="R22" i="20"/>
  <c r="Q22" i="20"/>
  <c r="T22" i="20"/>
  <c r="S22" i="20"/>
  <c r="P22" i="20"/>
  <c r="AE20" i="20"/>
  <c r="AI20" i="20" s="1"/>
  <c r="CS19" i="23"/>
  <c r="O23" i="19"/>
  <c r="N24" i="19"/>
  <c r="AM19" i="18"/>
  <c r="O23" i="18"/>
  <c r="N24" i="18"/>
  <c r="AD20" i="20"/>
  <c r="AB20" i="23"/>
  <c r="AD20" i="23" s="1"/>
  <c r="CQ19" i="23"/>
  <c r="AA20" i="23"/>
  <c r="W20" i="23"/>
  <c r="Y20" i="23"/>
  <c r="CH21" i="23"/>
  <c r="CG21" i="23"/>
  <c r="CF21" i="23"/>
  <c r="CE21" i="23"/>
  <c r="CD21" i="23"/>
  <c r="AE20" i="18"/>
  <c r="AI20" i="18" s="1"/>
  <c r="AF20" i="18"/>
  <c r="CB23" i="23"/>
  <c r="CC22" i="23"/>
  <c r="O23" i="20"/>
  <c r="N24" i="20"/>
  <c r="AK23" i="23"/>
  <c r="AJ24" i="23"/>
  <c r="AC20" i="20"/>
  <c r="Z20" i="19"/>
  <c r="AV20" i="23"/>
  <c r="BA21" i="23" l="1"/>
  <c r="CW18" i="23"/>
  <c r="DA15" i="23" s="1"/>
  <c r="F26" i="24" s="1"/>
  <c r="AH20" i="19"/>
  <c r="AM20" i="19"/>
  <c r="AG20" i="19"/>
  <c r="AL20" i="19"/>
  <c r="AK20" i="19"/>
  <c r="BU20" i="23"/>
  <c r="BW20" i="23"/>
  <c r="AD21" i="21"/>
  <c r="AH21" i="21" s="1"/>
  <c r="AH20" i="20"/>
  <c r="AL20" i="21"/>
  <c r="AN20" i="21" s="1"/>
  <c r="AG20" i="18"/>
  <c r="AN19" i="19"/>
  <c r="CS20" i="23"/>
  <c r="AE21" i="21"/>
  <c r="AI21" i="21" s="1"/>
  <c r="CQ20" i="23"/>
  <c r="AM20" i="21"/>
  <c r="AK20" i="21"/>
  <c r="Z21" i="21"/>
  <c r="Y21" i="21" s="1"/>
  <c r="Z21" i="18"/>
  <c r="AN19" i="20"/>
  <c r="AG20" i="21"/>
  <c r="AC21" i="18"/>
  <c r="AG21" i="18" s="1"/>
  <c r="AC21" i="21"/>
  <c r="AA21" i="20"/>
  <c r="Z21" i="20" s="1"/>
  <c r="Z20" i="23"/>
  <c r="V22" i="19"/>
  <c r="X22" i="19" s="1"/>
  <c r="U22" i="19"/>
  <c r="W22" i="19" s="1"/>
  <c r="CO21" i="23"/>
  <c r="CP21" i="23"/>
  <c r="CS21" i="23" s="1"/>
  <c r="O24" i="19"/>
  <c r="N25" i="19"/>
  <c r="O25" i="19" s="1"/>
  <c r="AA21" i="23"/>
  <c r="Y21" i="23"/>
  <c r="AR22" i="23"/>
  <c r="AT22" i="23" s="1"/>
  <c r="AQ22" i="23"/>
  <c r="AS22" i="23" s="1"/>
  <c r="AB22" i="18"/>
  <c r="AD22" i="18" s="1"/>
  <c r="AN19" i="21"/>
  <c r="AW22" i="23"/>
  <c r="AU22" i="23"/>
  <c r="Y22" i="18"/>
  <c r="AA22" i="18"/>
  <c r="N25" i="18"/>
  <c r="O25" i="18" s="1"/>
  <c r="O24" i="18"/>
  <c r="AN23" i="23"/>
  <c r="AM23" i="23"/>
  <c r="AP23" i="23"/>
  <c r="AO23" i="23"/>
  <c r="AL23" i="23"/>
  <c r="U22" i="20"/>
  <c r="W22" i="20" s="1"/>
  <c r="V22" i="20"/>
  <c r="X22" i="20" s="1"/>
  <c r="O24" i="21"/>
  <c r="N25" i="21"/>
  <c r="O25" i="21" s="1"/>
  <c r="AB21" i="23"/>
  <c r="AE21" i="23" s="1"/>
  <c r="AC20" i="23"/>
  <c r="AA22" i="19"/>
  <c r="Y22" i="19"/>
  <c r="BS20" i="23"/>
  <c r="BR20" i="23" s="1"/>
  <c r="AK24" i="23"/>
  <c r="AJ25" i="23"/>
  <c r="AK25" i="23" s="1"/>
  <c r="AE20" i="23"/>
  <c r="N25" i="20"/>
  <c r="O25" i="20" s="1"/>
  <c r="O24" i="20"/>
  <c r="T23" i="20"/>
  <c r="R23" i="20"/>
  <c r="S23" i="20"/>
  <c r="Q23" i="20"/>
  <c r="P23" i="20"/>
  <c r="AL20" i="18"/>
  <c r="Z21" i="19"/>
  <c r="T23" i="21"/>
  <c r="P23" i="21"/>
  <c r="R23" i="21"/>
  <c r="Q23" i="21"/>
  <c r="S23" i="21"/>
  <c r="AX22" i="23"/>
  <c r="BA22" i="23" s="1"/>
  <c r="AV21" i="23"/>
  <c r="V22" i="18"/>
  <c r="X22" i="18" s="1"/>
  <c r="U22" i="18"/>
  <c r="W22" i="18" s="1"/>
  <c r="CB24" i="23"/>
  <c r="CC23" i="23"/>
  <c r="Y22" i="20"/>
  <c r="BL22" i="23"/>
  <c r="BK22" i="23"/>
  <c r="BJ22" i="23"/>
  <c r="BI22" i="23"/>
  <c r="BH22" i="23"/>
  <c r="BT21" i="23"/>
  <c r="BW21" i="23" s="1"/>
  <c r="AD21" i="18"/>
  <c r="AH21" i="18" s="1"/>
  <c r="AZ21" i="23"/>
  <c r="CF22" i="23"/>
  <c r="CE22" i="23"/>
  <c r="CD22" i="23"/>
  <c r="CH22" i="23"/>
  <c r="CG22" i="23"/>
  <c r="AM20" i="18"/>
  <c r="AB22" i="20"/>
  <c r="AF22" i="20" s="1"/>
  <c r="BG23" i="23"/>
  <c r="BF24" i="23"/>
  <c r="BN21" i="23"/>
  <c r="BP21" i="23" s="1"/>
  <c r="BM21" i="23"/>
  <c r="BO21" i="23" s="1"/>
  <c r="AN19" i="18"/>
  <c r="AE21" i="18"/>
  <c r="AI21" i="18" s="1"/>
  <c r="S22" i="23"/>
  <c r="Q22" i="23"/>
  <c r="P22" i="23"/>
  <c r="T22" i="23"/>
  <c r="R22" i="23"/>
  <c r="U22" i="21"/>
  <c r="W22" i="21" s="1"/>
  <c r="V22" i="21"/>
  <c r="X22" i="21" s="1"/>
  <c r="BQ21" i="23"/>
  <c r="AE21" i="19"/>
  <c r="AI21" i="19" s="1"/>
  <c r="O23" i="23"/>
  <c r="N24" i="23"/>
  <c r="CJ21" i="23"/>
  <c r="CL21" i="23" s="1"/>
  <c r="CI21" i="23"/>
  <c r="CK21" i="23" s="1"/>
  <c r="Q23" i="18"/>
  <c r="S23" i="18"/>
  <c r="R23" i="18"/>
  <c r="P23" i="18"/>
  <c r="T23" i="18"/>
  <c r="AB22" i="21"/>
  <c r="AF22" i="21" s="1"/>
  <c r="AD21" i="19"/>
  <c r="AH21" i="19" s="1"/>
  <c r="AC21" i="19"/>
  <c r="AD21" i="20"/>
  <c r="CN20" i="23"/>
  <c r="CM20" i="23" s="1"/>
  <c r="AC21" i="20"/>
  <c r="AG20" i="20"/>
  <c r="AL20" i="20"/>
  <c r="AK20" i="20"/>
  <c r="AM20" i="20"/>
  <c r="R23" i="19"/>
  <c r="T23" i="19"/>
  <c r="S23" i="19"/>
  <c r="Q23" i="19"/>
  <c r="P23" i="19"/>
  <c r="AB22" i="19"/>
  <c r="AF22" i="19" s="1"/>
  <c r="AA22" i="21"/>
  <c r="V21" i="23"/>
  <c r="X21" i="23" s="1"/>
  <c r="U21" i="23"/>
  <c r="W21" i="23" s="1"/>
  <c r="AE21" i="20"/>
  <c r="BU21" i="23" l="1"/>
  <c r="AD21" i="23"/>
  <c r="AN20" i="19"/>
  <c r="AM21" i="21"/>
  <c r="AC22" i="18"/>
  <c r="AG22" i="18" s="1"/>
  <c r="AH21" i="20"/>
  <c r="CQ21" i="23"/>
  <c r="AG21" i="21"/>
  <c r="AC21" i="23"/>
  <c r="AL21" i="21"/>
  <c r="AN21" i="21" s="1"/>
  <c r="CR21" i="23"/>
  <c r="AK21" i="21"/>
  <c r="AE22" i="19"/>
  <c r="AI22" i="19" s="1"/>
  <c r="AD22" i="21"/>
  <c r="AH22" i="21" s="1"/>
  <c r="AC22" i="21"/>
  <c r="AG22" i="21" s="1"/>
  <c r="AI21" i="20"/>
  <c r="AA22" i="20"/>
  <c r="Z22" i="20" s="1"/>
  <c r="AD22" i="19"/>
  <c r="AE22" i="20"/>
  <c r="BV21" i="23"/>
  <c r="AE22" i="21"/>
  <c r="AI22" i="21" s="1"/>
  <c r="AZ22" i="23"/>
  <c r="AC22" i="19"/>
  <c r="Z22" i="21"/>
  <c r="Y22" i="21" s="1"/>
  <c r="AC22" i="20"/>
  <c r="AD22" i="20"/>
  <c r="AB22" i="23"/>
  <c r="AC22" i="23" s="1"/>
  <c r="Y23" i="20"/>
  <c r="AV22" i="23"/>
  <c r="T24" i="19"/>
  <c r="R24" i="19"/>
  <c r="P24" i="19"/>
  <c r="S24" i="19"/>
  <c r="Q24" i="19"/>
  <c r="Y23" i="18"/>
  <c r="AA23" i="18"/>
  <c r="Z22" i="19"/>
  <c r="AU23" i="23"/>
  <c r="AW23" i="23"/>
  <c r="AG21" i="20"/>
  <c r="AK21" i="20"/>
  <c r="AM21" i="20"/>
  <c r="AL21" i="20"/>
  <c r="AG21" i="19"/>
  <c r="AL21" i="19"/>
  <c r="AK21" i="19"/>
  <c r="AM21" i="19"/>
  <c r="AY22" i="23"/>
  <c r="AB23" i="20"/>
  <c r="AF23" i="20" s="1"/>
  <c r="AX23" i="23"/>
  <c r="BA23" i="23" s="1"/>
  <c r="T24" i="18"/>
  <c r="R24" i="18"/>
  <c r="Q24" i="18"/>
  <c r="S24" i="18"/>
  <c r="P24" i="18"/>
  <c r="BL23" i="23"/>
  <c r="BK23" i="23"/>
  <c r="BI23" i="23"/>
  <c r="BJ23" i="23"/>
  <c r="BH23" i="23"/>
  <c r="T25" i="19"/>
  <c r="S25" i="19"/>
  <c r="P25" i="19"/>
  <c r="R25" i="19"/>
  <c r="Q25" i="19"/>
  <c r="N25" i="23"/>
  <c r="O25" i="23" s="1"/>
  <c r="O24" i="23"/>
  <c r="CH23" i="23"/>
  <c r="CG23" i="23"/>
  <c r="CF23" i="23"/>
  <c r="CD23" i="23"/>
  <c r="CE23" i="23"/>
  <c r="T24" i="20"/>
  <c r="S24" i="20"/>
  <c r="Q24" i="20"/>
  <c r="P24" i="20"/>
  <c r="R24" i="20"/>
  <c r="Q25" i="18"/>
  <c r="P25" i="18"/>
  <c r="S25" i="18"/>
  <c r="R25" i="18"/>
  <c r="T25" i="18"/>
  <c r="AE22" i="18"/>
  <c r="AI22" i="18" s="1"/>
  <c r="AF22" i="18"/>
  <c r="AA23" i="19"/>
  <c r="Y23" i="19"/>
  <c r="AA22" i="23"/>
  <c r="Y22" i="23"/>
  <c r="CB25" i="23"/>
  <c r="CC25" i="23" s="1"/>
  <c r="CC24" i="23"/>
  <c r="AA23" i="21"/>
  <c r="Q25" i="20"/>
  <c r="P25" i="20"/>
  <c r="R25" i="20"/>
  <c r="S25" i="20"/>
  <c r="T25" i="20"/>
  <c r="V23" i="19"/>
  <c r="X23" i="19" s="1"/>
  <c r="U23" i="19"/>
  <c r="W23" i="19" s="1"/>
  <c r="V22" i="23"/>
  <c r="X22" i="23" s="1"/>
  <c r="U22" i="23"/>
  <c r="W22" i="23" s="1"/>
  <c r="AL21" i="18"/>
  <c r="T25" i="21"/>
  <c r="P25" i="21"/>
  <c r="S25" i="21"/>
  <c r="Q25" i="21"/>
  <c r="R25" i="21"/>
  <c r="Z22" i="18"/>
  <c r="AH22" i="18" s="1"/>
  <c r="CN21" i="23"/>
  <c r="CM21" i="23" s="1"/>
  <c r="AR23" i="23"/>
  <c r="AT23" i="23" s="1"/>
  <c r="AQ23" i="23"/>
  <c r="AS23" i="23" s="1"/>
  <c r="V23" i="20"/>
  <c r="X23" i="20" s="1"/>
  <c r="U23" i="20"/>
  <c r="W23" i="20" s="1"/>
  <c r="AN20" i="18"/>
  <c r="BS21" i="23"/>
  <c r="BR21" i="23" s="1"/>
  <c r="CO22" i="23"/>
  <c r="BM22" i="23"/>
  <c r="BO22" i="23" s="1"/>
  <c r="BN22" i="23"/>
  <c r="BP22" i="23" s="1"/>
  <c r="AM21" i="18"/>
  <c r="V23" i="21"/>
  <c r="X23" i="21" s="1"/>
  <c r="U23" i="21"/>
  <c r="W23" i="21" s="1"/>
  <c r="AO25" i="23"/>
  <c r="AN25" i="23"/>
  <c r="AM25" i="23"/>
  <c r="AP25" i="23"/>
  <c r="AL25" i="23"/>
  <c r="R24" i="21"/>
  <c r="T24" i="21"/>
  <c r="S24" i="21"/>
  <c r="P24" i="21"/>
  <c r="Q24" i="21"/>
  <c r="CP22" i="23"/>
  <c r="CS22" i="23" s="1"/>
  <c r="AK21" i="18"/>
  <c r="AL24" i="23"/>
  <c r="AO24" i="23"/>
  <c r="AP24" i="23"/>
  <c r="AN24" i="23"/>
  <c r="AM24" i="23"/>
  <c r="AB23" i="18"/>
  <c r="AC23" i="18" s="1"/>
  <c r="Q23" i="23"/>
  <c r="P23" i="23"/>
  <c r="T23" i="23"/>
  <c r="S23" i="23"/>
  <c r="R23" i="23"/>
  <c r="AB23" i="19"/>
  <c r="AF23" i="19" s="1"/>
  <c r="CJ22" i="23"/>
  <c r="CL22" i="23" s="1"/>
  <c r="CI22" i="23"/>
  <c r="CK22" i="23" s="1"/>
  <c r="AB23" i="21"/>
  <c r="AF23" i="21" s="1"/>
  <c r="BQ22" i="23"/>
  <c r="AN20" i="20"/>
  <c r="V23" i="18"/>
  <c r="X23" i="18" s="1"/>
  <c r="U23" i="18"/>
  <c r="W23" i="18" s="1"/>
  <c r="BF25" i="23"/>
  <c r="BG25" i="23" s="1"/>
  <c r="BG24" i="23"/>
  <c r="BT22" i="23"/>
  <c r="BV22" i="23" s="1"/>
  <c r="Z21" i="23"/>
  <c r="AK22" i="20" l="1"/>
  <c r="AK22" i="18"/>
  <c r="BU22" i="23"/>
  <c r="AD23" i="19"/>
  <c r="AY23" i="23"/>
  <c r="AK22" i="21"/>
  <c r="BW22" i="23"/>
  <c r="AL22" i="18"/>
  <c r="AZ23" i="23"/>
  <c r="AC23" i="20"/>
  <c r="AG23" i="20" s="1"/>
  <c r="AI22" i="20"/>
  <c r="CQ22" i="23"/>
  <c r="AE23" i="20"/>
  <c r="AM22" i="20"/>
  <c r="AL22" i="20"/>
  <c r="AM22" i="19"/>
  <c r="AG22" i="20"/>
  <c r="AN21" i="19"/>
  <c r="Z23" i="18"/>
  <c r="AM22" i="21"/>
  <c r="AG22" i="19"/>
  <c r="AL22" i="21"/>
  <c r="AH22" i="20"/>
  <c r="AH22" i="19"/>
  <c r="AD22" i="23"/>
  <c r="AM22" i="18"/>
  <c r="AN21" i="20"/>
  <c r="AL22" i="19"/>
  <c r="AD23" i="21"/>
  <c r="AK22" i="19"/>
  <c r="AG23" i="18"/>
  <c r="V24" i="19"/>
  <c r="X24" i="19" s="1"/>
  <c r="U24" i="19"/>
  <c r="W24" i="19" s="1"/>
  <c r="AC23" i="19"/>
  <c r="CE25" i="23"/>
  <c r="CD25" i="23"/>
  <c r="CG25" i="23"/>
  <c r="CH25" i="23"/>
  <c r="CF25" i="23"/>
  <c r="Z23" i="19"/>
  <c r="AB24" i="19"/>
  <c r="AF24" i="19" s="1"/>
  <c r="BN23" i="23"/>
  <c r="BM23" i="23"/>
  <c r="CO23" i="23"/>
  <c r="AB23" i="23"/>
  <c r="AE23" i="23" s="1"/>
  <c r="AR24" i="23"/>
  <c r="AT24" i="23" s="1"/>
  <c r="AQ24" i="23"/>
  <c r="AA24" i="21"/>
  <c r="CJ23" i="23"/>
  <c r="CL23" i="23" s="1"/>
  <c r="CI23" i="23"/>
  <c r="CK23" i="23" s="1"/>
  <c r="BT23" i="23"/>
  <c r="BW23" i="23" s="1"/>
  <c r="AX24" i="23"/>
  <c r="BA24" i="23" s="1"/>
  <c r="V24" i="21"/>
  <c r="X24" i="21" s="1"/>
  <c r="U24" i="21"/>
  <c r="W24" i="21" s="1"/>
  <c r="CP23" i="23"/>
  <c r="CS23" i="23" s="1"/>
  <c r="AB25" i="18"/>
  <c r="AD25" i="18" s="1"/>
  <c r="CH24" i="23"/>
  <c r="CG24" i="23"/>
  <c r="CF24" i="23"/>
  <c r="CE24" i="23"/>
  <c r="CD24" i="23"/>
  <c r="BS22" i="23"/>
  <c r="BR22" i="23" s="1"/>
  <c r="AC23" i="21"/>
  <c r="U23" i="23"/>
  <c r="W23" i="23" s="1"/>
  <c r="V23" i="23"/>
  <c r="X23" i="23" s="1"/>
  <c r="CR22" i="23"/>
  <c r="AB25" i="21"/>
  <c r="AF25" i="21" s="1"/>
  <c r="AB25" i="20"/>
  <c r="AF25" i="20" s="1"/>
  <c r="AA23" i="20"/>
  <c r="Z23" i="20" s="1"/>
  <c r="AE23" i="21"/>
  <c r="AI23" i="21" s="1"/>
  <c r="AA23" i="23"/>
  <c r="Y23" i="23"/>
  <c r="AB24" i="21"/>
  <c r="AF24" i="21" s="1"/>
  <c r="AA25" i="21"/>
  <c r="U25" i="20"/>
  <c r="W25" i="20" s="1"/>
  <c r="V25" i="20"/>
  <c r="X25" i="20" s="1"/>
  <c r="U25" i="18"/>
  <c r="W25" i="18" s="1"/>
  <c r="V25" i="18"/>
  <c r="X25" i="18" s="1"/>
  <c r="S24" i="23"/>
  <c r="R24" i="23"/>
  <c r="Q24" i="23"/>
  <c r="P24" i="23"/>
  <c r="T24" i="23"/>
  <c r="CN22" i="23"/>
  <c r="CM22" i="23" s="1"/>
  <c r="Y25" i="20"/>
  <c r="S25" i="23"/>
  <c r="R25" i="23"/>
  <c r="Q25" i="23"/>
  <c r="P25" i="23"/>
  <c r="T25" i="23"/>
  <c r="U24" i="18"/>
  <c r="W24" i="18" s="1"/>
  <c r="V24" i="18"/>
  <c r="X24" i="18" s="1"/>
  <c r="AD23" i="20"/>
  <c r="AE22" i="23"/>
  <c r="BQ23" i="23"/>
  <c r="BP23" i="23"/>
  <c r="BO23" i="23"/>
  <c r="AD23" i="18"/>
  <c r="AH23" i="18" s="1"/>
  <c r="AR25" i="23"/>
  <c r="AT25" i="23" s="1"/>
  <c r="AQ25" i="23"/>
  <c r="AS25" i="23" s="1"/>
  <c r="Y25" i="18"/>
  <c r="AA25" i="18"/>
  <c r="BL24" i="23"/>
  <c r="BK24" i="23"/>
  <c r="BJ24" i="23"/>
  <c r="BI24" i="23"/>
  <c r="BH24" i="23"/>
  <c r="V25" i="21"/>
  <c r="X25" i="21" s="1"/>
  <c r="U25" i="21"/>
  <c r="W25" i="21" s="1"/>
  <c r="Z22" i="23"/>
  <c r="AB24" i="20"/>
  <c r="AF24" i="20" s="1"/>
  <c r="AA25" i="19"/>
  <c r="Y25" i="19"/>
  <c r="AW25" i="23"/>
  <c r="AU25" i="23"/>
  <c r="Z23" i="21"/>
  <c r="Y23" i="21" s="1"/>
  <c r="U24" i="20"/>
  <c r="W24" i="20" s="1"/>
  <c r="V24" i="20"/>
  <c r="X24" i="20" s="1"/>
  <c r="AB25" i="19"/>
  <c r="AF25" i="19" s="1"/>
  <c r="Y24" i="18"/>
  <c r="AA24" i="18"/>
  <c r="AA24" i="19"/>
  <c r="Y24" i="19"/>
  <c r="AV23" i="23"/>
  <c r="BL25" i="23"/>
  <c r="BK25" i="23"/>
  <c r="BI25" i="23"/>
  <c r="BJ25" i="23"/>
  <c r="BH25" i="23"/>
  <c r="AE23" i="18"/>
  <c r="AI23" i="18" s="1"/>
  <c r="AF23" i="18"/>
  <c r="AE23" i="19"/>
  <c r="AI23" i="19" s="1"/>
  <c r="AS24" i="23"/>
  <c r="AU24" i="23"/>
  <c r="AW24" i="23"/>
  <c r="AX25" i="23"/>
  <c r="AZ25" i="23" s="1"/>
  <c r="AN21" i="18"/>
  <c r="Y24" i="20"/>
  <c r="V25" i="19"/>
  <c r="X25" i="19" s="1"/>
  <c r="U25" i="19"/>
  <c r="W25" i="19" s="1"/>
  <c r="AB24" i="18"/>
  <c r="AF24" i="18" s="1"/>
  <c r="AN22" i="21" l="1"/>
  <c r="AH23" i="19"/>
  <c r="AN22" i="18"/>
  <c r="AM23" i="20"/>
  <c r="AN22" i="20"/>
  <c r="AN22" i="19"/>
  <c r="AY24" i="23"/>
  <c r="AZ24" i="23"/>
  <c r="AY25" i="23"/>
  <c r="CR23" i="23"/>
  <c r="AC24" i="20"/>
  <c r="AG24" i="20" s="1"/>
  <c r="AC25" i="19"/>
  <c r="AK25" i="19" s="1"/>
  <c r="AE25" i="20"/>
  <c r="AD24" i="18"/>
  <c r="AD25" i="20"/>
  <c r="AC24" i="21"/>
  <c r="AE24" i="21"/>
  <c r="AI24" i="21" s="1"/>
  <c r="AD24" i="21"/>
  <c r="AK23" i="20"/>
  <c r="AD24" i="19"/>
  <c r="Z25" i="18"/>
  <c r="AH25" i="18" s="1"/>
  <c r="AC25" i="20"/>
  <c r="AG25" i="20" s="1"/>
  <c r="AE24" i="19"/>
  <c r="AI24" i="19" s="1"/>
  <c r="CN23" i="23"/>
  <c r="CM23" i="23" s="1"/>
  <c r="BA25" i="23"/>
  <c r="AE25" i="19"/>
  <c r="AI25" i="19" s="1"/>
  <c r="Z24" i="18"/>
  <c r="AA24" i="20"/>
  <c r="Z24" i="20" s="1"/>
  <c r="Z25" i="21"/>
  <c r="Y25" i="21" s="1"/>
  <c r="AD25" i="19"/>
  <c r="AI23" i="20"/>
  <c r="BM24" i="23"/>
  <c r="BO24" i="23" s="1"/>
  <c r="BN24" i="23"/>
  <c r="BP24" i="23" s="1"/>
  <c r="AC25" i="18"/>
  <c r="BU23" i="23"/>
  <c r="CP25" i="23"/>
  <c r="CS25" i="23" s="1"/>
  <c r="AV24" i="23"/>
  <c r="Z24" i="19"/>
  <c r="BQ24" i="23"/>
  <c r="BS23" i="23"/>
  <c r="BR23" i="23" s="1"/>
  <c r="Z23" i="23"/>
  <c r="BV23" i="23"/>
  <c r="AH23" i="20"/>
  <c r="AG23" i="21"/>
  <c r="AM23" i="21"/>
  <c r="AK23" i="21"/>
  <c r="AL23" i="21"/>
  <c r="CQ23" i="23"/>
  <c r="CO25" i="23"/>
  <c r="AH23" i="21"/>
  <c r="Z24" i="21"/>
  <c r="Y24" i="21" s="1"/>
  <c r="AG23" i="19"/>
  <c r="AM23" i="19"/>
  <c r="AK23" i="19"/>
  <c r="AL23" i="19"/>
  <c r="AE24" i="20"/>
  <c r="AD24" i="20"/>
  <c r="CI24" i="23"/>
  <c r="CK24" i="23" s="1"/>
  <c r="CJ24" i="23"/>
  <c r="AA25" i="20"/>
  <c r="Z25" i="20" s="1"/>
  <c r="V25" i="23"/>
  <c r="X25" i="23" s="1"/>
  <c r="U25" i="23"/>
  <c r="W25" i="23" s="1"/>
  <c r="CO24" i="23"/>
  <c r="CL24" i="23"/>
  <c r="AK23" i="18"/>
  <c r="Z25" i="19"/>
  <c r="CJ25" i="23"/>
  <c r="CL25" i="23" s="1"/>
  <c r="CI25" i="23"/>
  <c r="CK25" i="23" s="1"/>
  <c r="AL23" i="20"/>
  <c r="AN23" i="20" s="1"/>
  <c r="Y24" i="23"/>
  <c r="AA24" i="23"/>
  <c r="BQ25" i="23"/>
  <c r="AV25" i="23"/>
  <c r="Y25" i="23"/>
  <c r="AA25" i="23"/>
  <c r="AB24" i="23"/>
  <c r="AE24" i="23" s="1"/>
  <c r="AD25" i="21"/>
  <c r="AH25" i="21" s="1"/>
  <c r="CP24" i="23"/>
  <c r="CS24" i="23" s="1"/>
  <c r="AC24" i="19"/>
  <c r="AL23" i="18"/>
  <c r="U24" i="23"/>
  <c r="W24" i="23" s="1"/>
  <c r="V24" i="23"/>
  <c r="X24" i="23" s="1"/>
  <c r="BT25" i="23"/>
  <c r="BW25" i="23" s="1"/>
  <c r="AE24" i="18"/>
  <c r="AI24" i="18" s="1"/>
  <c r="AB25" i="23"/>
  <c r="AE25" i="23" s="1"/>
  <c r="AE25" i="21"/>
  <c r="AI25" i="21" s="1"/>
  <c r="AD23" i="23"/>
  <c r="AM23" i="18"/>
  <c r="BT24" i="23"/>
  <c r="BW24" i="23" s="1"/>
  <c r="AE25" i="18"/>
  <c r="AI25" i="18" s="1"/>
  <c r="AF25" i="18"/>
  <c r="BN25" i="23"/>
  <c r="BP25" i="23" s="1"/>
  <c r="BM25" i="23"/>
  <c r="BO25" i="23" s="1"/>
  <c r="AC24" i="18"/>
  <c r="AC25" i="21"/>
  <c r="AC23" i="23"/>
  <c r="AK25" i="20" l="1"/>
  <c r="AM25" i="20"/>
  <c r="AG25" i="19"/>
  <c r="AL25" i="19"/>
  <c r="AH24" i="18"/>
  <c r="AL25" i="20"/>
  <c r="AN25" i="20" s="1"/>
  <c r="AK24" i="21"/>
  <c r="BV25" i="23"/>
  <c r="AH25" i="20"/>
  <c r="AG24" i="21"/>
  <c r="AM25" i="19"/>
  <c r="AN25" i="19" s="1"/>
  <c r="AM24" i="21"/>
  <c r="AL24" i="21"/>
  <c r="AH24" i="19"/>
  <c r="AK24" i="20"/>
  <c r="BV24" i="23"/>
  <c r="BU24" i="23"/>
  <c r="CR24" i="23"/>
  <c r="CR25" i="23"/>
  <c r="AD25" i="23"/>
  <c r="AC25" i="23"/>
  <c r="AC24" i="23"/>
  <c r="CQ25" i="23"/>
  <c r="BS24" i="23"/>
  <c r="BR24" i="23" s="1"/>
  <c r="AH25" i="19"/>
  <c r="AH24" i="20"/>
  <c r="CQ24" i="23"/>
  <c r="AI24" i="20"/>
  <c r="AN23" i="21"/>
  <c r="AN23" i="18"/>
  <c r="AM24" i="20"/>
  <c r="AI25" i="20"/>
  <c r="Z25" i="23"/>
  <c r="AG24" i="19"/>
  <c r="AK24" i="19"/>
  <c r="AL24" i="19"/>
  <c r="AM24" i="19"/>
  <c r="AL24" i="20"/>
  <c r="AG25" i="18"/>
  <c r="AL25" i="18"/>
  <c r="AM25" i="18"/>
  <c r="AK25" i="18"/>
  <c r="CN24" i="23"/>
  <c r="CM24" i="23" s="1"/>
  <c r="AG24" i="18"/>
  <c r="AL24" i="18"/>
  <c r="AM24" i="18"/>
  <c r="AK24" i="18"/>
  <c r="AH24" i="21"/>
  <c r="AG25" i="21"/>
  <c r="AK25" i="21"/>
  <c r="AL25" i="21"/>
  <c r="AM25" i="21"/>
  <c r="BS25" i="23"/>
  <c r="BR25" i="23" s="1"/>
  <c r="BU25" i="23"/>
  <c r="AD24" i="23"/>
  <c r="Z24" i="23"/>
  <c r="AN23" i="19"/>
  <c r="CN25" i="23"/>
  <c r="CM25" i="23" s="1"/>
  <c r="AN24" i="21" l="1"/>
  <c r="AN25" i="21"/>
  <c r="AN24" i="20"/>
  <c r="AN24" i="19"/>
  <c r="AN24" i="18"/>
  <c r="AN25" i="18"/>
</calcChain>
</file>

<file path=xl/sharedStrings.xml><?xml version="1.0" encoding="utf-8"?>
<sst xmlns="http://schemas.openxmlformats.org/spreadsheetml/2006/main" count="762" uniqueCount="144">
  <si>
    <t>INPUTS - paste raw measured data here (100 block cols A-D, 111 block cols F-I). Constants at cols L-M.</t>
  </si>
  <si>
    <t>Oil bar</t>
  </si>
  <si>
    <t>SBR 100 (S buffer)</t>
  </si>
  <si>
    <t>2TP 100 (raw)</t>
  </si>
  <si>
    <t>2TS 100 (raw)</t>
  </si>
  <si>
    <t>SBR 111 (S buffer)</t>
  </si>
  <si>
    <t>2TP 111 (raw)</t>
  </si>
  <si>
    <t>2TS 111 (raw)</t>
  </si>
  <si>
    <t>Linit 100 (initial length, mm)</t>
  </si>
  <si>
    <t>Lfin 100 (final/used length, mm)</t>
  </si>
  <si>
    <t>alpha 100 (thermal expansion)</t>
  </si>
  <si>
    <t>rho 100 (density g/cc)</t>
  </si>
  <si>
    <t>gamma 100 (Gruneisen)</t>
  </si>
  <si>
    <t>T 100 (K)</t>
  </si>
  <si>
    <t>SBR0 100 (0-P buffer S-time = first measured pt; source O24)</t>
  </si>
  <si>
    <t>scalar 100 =(1+a*g*T)/(12*rho*Lfin^2)</t>
  </si>
  <si>
    <t>Linit 111 (initial length, mm)</t>
  </si>
  <si>
    <t>Lfin 111 (final/used length, mm)</t>
  </si>
  <si>
    <t>alpha 111 (thermal expansion)</t>
  </si>
  <si>
    <t>rho 111 (density g/cc)</t>
  </si>
  <si>
    <t>gamma 111 (Gruneisen)</t>
  </si>
  <si>
    <t>T 111 (K)</t>
  </si>
  <si>
    <t>SBR0 111 (pressure_fit, 0-P buffer S-time)</t>
  </si>
  <si>
    <t>scalar 111 =(1+a*g*T)/(12*rho*Lfin^2)</t>
  </si>
  <si>
    <t>Cutoff HIGH oil bar (fit uses oil &lt;= this)</t>
  </si>
  <si>
    <t>Cutoff LOW oil bar (fit uses oil &gt;= this)</t>
  </si>
  <si>
    <t>Normalize flag (0/1, global fits)</t>
  </si>
  <si>
    <t>ALIGN - master pressure = 100 calibration; 111 travel times resampled onto master P via 6th-order polynomial (LINEST).</t>
  </si>
  <si>
    <t>P master (GPa)</t>
  </si>
  <si>
    <t>tP100</t>
  </si>
  <si>
    <t>tS100</t>
  </si>
  <si>
    <t>P111 (GPa)</t>
  </si>
  <si>
    <t>tP111 aligned</t>
  </si>
  <si>
    <t>tS111 aligned</t>
  </si>
  <si>
    <t>poly coeffs c6..c0 -&gt;</t>
  </si>
  <si>
    <t>2TP111:</t>
  </si>
  <si>
    <t>2TS111:</t>
  </si>
  <si>
    <t>P (GPa)</t>
  </si>
  <si>
    <t>tP111</t>
  </si>
  <si>
    <t>tS111</t>
  </si>
  <si>
    <t>L fit</t>
  </si>
  <si>
    <t>L111</t>
  </si>
  <si>
    <t>V0/V</t>
  </si>
  <si>
    <t>rho</t>
  </si>
  <si>
    <t>f</t>
  </si>
  <si>
    <t>Vp100</t>
  </si>
  <si>
    <t>Vs100</t>
  </si>
  <si>
    <t>Vp111</t>
  </si>
  <si>
    <t>Vs111</t>
  </si>
  <si>
    <t>rVp111^2</t>
  </si>
  <si>
    <t>rVs111^2</t>
  </si>
  <si>
    <t>C11 meas</t>
  </si>
  <si>
    <t>C12 meas</t>
  </si>
  <si>
    <t>C44 meas</t>
  </si>
  <si>
    <t>P_FS</t>
  </si>
  <si>
    <t>C11 mod</t>
  </si>
  <si>
    <t>C12 mod</t>
  </si>
  <si>
    <t>C44 mod</t>
  </si>
  <si>
    <t>dP</t>
  </si>
  <si>
    <t>dC11</t>
  </si>
  <si>
    <t>dC12</t>
  </si>
  <si>
    <t>dC44</t>
  </si>
  <si>
    <t>gated sq</t>
  </si>
  <si>
    <t>K bulk</t>
  </si>
  <si>
    <t>GV</t>
  </si>
  <si>
    <t>GR</t>
  </si>
  <si>
    <t>GH</t>
  </si>
  <si>
    <t>FIT PARAMS</t>
  </si>
  <si>
    <t>C11_0</t>
  </si>
  <si>
    <t>C12_0</t>
  </si>
  <si>
    <t>C44_0</t>
  </si>
  <si>
    <t>C11'</t>
  </si>
  <si>
    <t>C12'</t>
  </si>
  <si>
    <t>C44'</t>
  </si>
  <si>
    <t>K0</t>
  </si>
  <si>
    <t>K0'</t>
  </si>
  <si>
    <t>C11a</t>
  </si>
  <si>
    <t>C12a</t>
  </si>
  <si>
    <t>C44a</t>
  </si>
  <si>
    <t>OBJECTIVE (misfit)</t>
  </si>
  <si>
    <t>OUTPUTS</t>
  </si>
  <si>
    <t>GV0</t>
  </si>
  <si>
    <t>GR0</t>
  </si>
  <si>
    <t>GH0 (Hill)</t>
  </si>
  <si>
    <t>misfit</t>
  </si>
  <si>
    <t>Vp100r</t>
  </si>
  <si>
    <t>Vs100r</t>
  </si>
  <si>
    <t>Vp111r</t>
  </si>
  <si>
    <t>Vs111r</t>
  </si>
  <si>
    <t>vcombo2</t>
  </si>
  <si>
    <t>integrand</t>
  </si>
  <si>
    <t>trap</t>
  </si>
  <si>
    <t>Integral</t>
  </si>
  <si>
    <t>Cook L</t>
  </si>
  <si>
    <t>C11 exp</t>
  </si>
  <si>
    <t>C12 exp</t>
  </si>
  <si>
    <t>C44 exp</t>
  </si>
  <si>
    <t>C11 nVs111</t>
  </si>
  <si>
    <t>C12 nVs111</t>
  </si>
  <si>
    <t>C44 nVs111</t>
  </si>
  <si>
    <t>C11 nVp111</t>
  </si>
  <si>
    <t>C12 nVp111</t>
  </si>
  <si>
    <t>C44 nVp111</t>
  </si>
  <si>
    <t>C11 nVs100</t>
  </si>
  <si>
    <t>C12 nVs100</t>
  </si>
  <si>
    <t>C44 nVs100</t>
  </si>
  <si>
    <t>C11 nVp100</t>
  </si>
  <si>
    <t>C12 nVp100</t>
  </si>
  <si>
    <t>C44 nVp100</t>
  </si>
  <si>
    <t>gated sum</t>
  </si>
  <si>
    <t>vc2 NoVs111</t>
  </si>
  <si>
    <t>integral</t>
  </si>
  <si>
    <t>C11</t>
  </si>
  <si>
    <t>C12</t>
  </si>
  <si>
    <t>C44</t>
  </si>
  <si>
    <t>C11mod</t>
  </si>
  <si>
    <t>C12mod</t>
  </si>
  <si>
    <t>C44mod</t>
  </si>
  <si>
    <t>gated</t>
  </si>
  <si>
    <t>vc2 NoVp111</t>
  </si>
  <si>
    <t>vc2 NoVs100</t>
  </si>
  <si>
    <t>vc2 NoVp100</t>
  </si>
  <si>
    <t>SHARED FIT PARAMS</t>
  </si>
  <si>
    <t>OBJECTIVE</t>
  </si>
  <si>
    <t>No Vs111 FS</t>
  </si>
  <si>
    <t>No Vs111 CK</t>
  </si>
  <si>
    <t>No Vp111 FS</t>
  </si>
  <si>
    <t>No Vp111 CK</t>
  </si>
  <si>
    <t>No Vs100 FS</t>
  </si>
  <si>
    <t>No Vs100 CK</t>
  </si>
  <si>
    <t>No Vp100 FS</t>
  </si>
  <si>
    <t>No Vp100 CK</t>
  </si>
  <si>
    <t>GLOBAL FS</t>
  </si>
  <si>
    <t>GLOBAL CK</t>
  </si>
  <si>
    <t>Katahara 1979</t>
  </si>
  <si>
    <t>Lenkkeri 1978</t>
  </si>
  <si>
    <t>Greiner 1979</t>
  </si>
  <si>
    <t>C11_0 (GPa)</t>
  </si>
  <si>
    <t>C12_0 (GPa)</t>
  </si>
  <si>
    <t>C44_0 (GPa)</t>
  </si>
  <si>
    <t>K0 (GPa)</t>
  </si>
  <si>
    <t>G Hill 0 (GPa)</t>
  </si>
  <si>
    <t>total misfit</t>
  </si>
  <si>
    <t>SIMPLIFIED VANADIUM Cij Cij' SUMMARY (all fits live-linked; edit Inputs, re-run each sheet's Solver)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</si>
</sst>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FS_NoVp111!$T$3</c:f>
              <c:strCache>
                <c:ptCount val="1"/>
                <c:pt idx="0">
                  <c:v>C44 meas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FS_NoVp111!$B$4:$B$25</c:f>
              <c:numCache>
                <c:formatCode>General</c:formatCode>
                <c:ptCount val="22"/>
                <c:pt idx="0">
                  <c:v>0</c:v>
                </c:pt>
                <c:pt idx="1">
                  <c:v>0.12913290811927533</c:v>
                </c:pt>
                <c:pt idx="2">
                  <c:v>1.635683502844302</c:v>
                </c:pt>
                <c:pt idx="3">
                  <c:v>2.4965695569728967</c:v>
                </c:pt>
                <c:pt idx="4">
                  <c:v>3.4435442165143506</c:v>
                </c:pt>
                <c:pt idx="5">
                  <c:v>4.4335631787622765</c:v>
                </c:pt>
                <c:pt idx="6">
                  <c:v>5.1222720220651237</c:v>
                </c:pt>
                <c:pt idx="7">
                  <c:v>5.7679365626615837</c:v>
                </c:pt>
                <c:pt idx="8">
                  <c:v>6.5857783140837629</c:v>
                </c:pt>
                <c:pt idx="9">
                  <c:v>7.274487157386611</c:v>
                </c:pt>
                <c:pt idx="10">
                  <c:v>7.834063092570239</c:v>
                </c:pt>
                <c:pt idx="11">
                  <c:v>8.5227719358730862</c:v>
                </c:pt>
                <c:pt idx="12">
                  <c:v>9.1253921737631298</c:v>
                </c:pt>
                <c:pt idx="13">
                  <c:v>9.5558352008274561</c:v>
                </c:pt>
                <c:pt idx="14">
                  <c:v>10.115411136011028</c:v>
                </c:pt>
                <c:pt idx="15">
                  <c:v>10.631942768488157</c:v>
                </c:pt>
                <c:pt idx="16">
                  <c:v>10.933252887433179</c:v>
                </c:pt>
                <c:pt idx="17">
                  <c:v>11.148474400965315</c:v>
                </c:pt>
                <c:pt idx="18">
                  <c:v>11.535873125323196</c:v>
                </c:pt>
                <c:pt idx="19">
                  <c:v>12.052404757800351</c:v>
                </c:pt>
                <c:pt idx="20">
                  <c:v>12.31067057403893</c:v>
                </c:pt>
                <c:pt idx="21">
                  <c:v>12.482847784864649</c:v>
                </c:pt>
              </c:numCache>
            </c:numRef>
          </c:xVal>
          <c:yVal>
            <c:numRef>
              <c:f>FS_NoVp111!$T$4:$T$25</c:f>
              <c:numCache>
                <c:formatCode>General</c:formatCode>
                <c:ptCount val="22"/>
                <c:pt idx="0">
                  <c:v>46.249286332836874</c:v>
                </c:pt>
                <c:pt idx="1">
                  <c:v>46.972898272042251</c:v>
                </c:pt>
                <c:pt idx="2">
                  <c:v>47.281293472453648</c:v>
                </c:pt>
                <c:pt idx="3">
                  <c:v>47.329412028806644</c:v>
                </c:pt>
                <c:pt idx="4">
                  <c:v>47.617793917710017</c:v>
                </c:pt>
                <c:pt idx="5">
                  <c:v>47.691739488430805</c:v>
                </c:pt>
                <c:pt idx="6">
                  <c:v>47.75352331723127</c:v>
                </c:pt>
                <c:pt idx="7">
                  <c:v>48.020235829879617</c:v>
                </c:pt>
                <c:pt idx="8">
                  <c:v>48.062874047353873</c:v>
                </c:pt>
                <c:pt idx="9">
                  <c:v>48.065467796200693</c:v>
                </c:pt>
                <c:pt idx="10">
                  <c:v>48.268668892242204</c:v>
                </c:pt>
                <c:pt idx="11">
                  <c:v>48.267745863186171</c:v>
                </c:pt>
                <c:pt idx="12">
                  <c:v>48.241416118888928</c:v>
                </c:pt>
                <c:pt idx="13">
                  <c:v>48.398949791681567</c:v>
                </c:pt>
                <c:pt idx="14">
                  <c:v>48.556360269686472</c:v>
                </c:pt>
                <c:pt idx="15">
                  <c:v>48.18090086167561</c:v>
                </c:pt>
                <c:pt idx="16">
                  <c:v>48.077974180013186</c:v>
                </c:pt>
                <c:pt idx="17">
                  <c:v>48.051494645921096</c:v>
                </c:pt>
                <c:pt idx="18">
                  <c:v>48.177349901757744</c:v>
                </c:pt>
                <c:pt idx="19">
                  <c:v>48.11284943048355</c:v>
                </c:pt>
                <c:pt idx="20">
                  <c:v>47.934972227676305</c:v>
                </c:pt>
                <c:pt idx="21">
                  <c:v>48.022543995190276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CD-4821-B408-F74A4628E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723664"/>
        <c:axId val="1893724144"/>
      </c:scatterChart>
      <c:valAx>
        <c:axId val="189372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24144"/>
        <c:crosses val="autoZero"/>
        <c:crossBetween val="midCat"/>
      </c:valAx>
      <c:valAx>
        <c:axId val="18937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23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466725</xdr:colOff>
      <xdr:row>25</xdr:row>
      <xdr:rowOff>61912</xdr:rowOff>
    </xdr:from>
    <xdr:to>
      <xdr:col>18</xdr:col>
      <xdr:colOff>161925</xdr:colOff>
      <xdr:row>39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78D043-9521-57C7-975F-9FFA7E268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4A672-E363-400E-9B10-69524028F99A}">
  <dimension ref="A1:O26"/>
  <sheetViews>
    <sheetView tabSelected="1" workbookViewId="0">
      <selection activeCell="A16" sqref="A16:F26"/>
    </sheetView>
  </sheetViews>
  <sheetFormatPr defaultRowHeight="15" x14ac:dyDescent="0.25"/>
  <cols>
    <col min="1" max="1" width="16.7109375" customWidth="1"/>
    <col min="2" max="2" width="12" bestFit="1" customWidth="1"/>
    <col min="3" max="3" width="12.140625" bestFit="1" customWidth="1"/>
    <col min="4" max="4" width="12" bestFit="1" customWidth="1"/>
    <col min="5" max="5" width="12.28515625" bestFit="1" customWidth="1"/>
    <col min="6" max="6" width="12" bestFit="1" customWidth="1"/>
    <col min="7" max="7" width="12.140625" bestFit="1" customWidth="1"/>
    <col min="8" max="8" width="12" bestFit="1" customWidth="1"/>
    <col min="9" max="9" width="12.28515625" bestFit="1" customWidth="1"/>
    <col min="10" max="11" width="12" bestFit="1" customWidth="1"/>
  </cols>
  <sheetData>
    <row r="1" spans="1:15" x14ac:dyDescent="0.25">
      <c r="A1" s="1" t="s">
        <v>143</v>
      </c>
    </row>
    <row r="3" spans="1:15" x14ac:dyDescent="0.25">
      <c r="A3" s="1"/>
      <c r="B3" s="1" t="s">
        <v>124</v>
      </c>
      <c r="C3" s="1" t="s">
        <v>126</v>
      </c>
      <c r="D3" s="1" t="s">
        <v>128</v>
      </c>
      <c r="E3" s="1" t="s">
        <v>130</v>
      </c>
      <c r="F3" s="1" t="s">
        <v>132</v>
      </c>
      <c r="L3" s="1"/>
      <c r="M3" s="1" t="s">
        <v>134</v>
      </c>
      <c r="N3" s="1" t="s">
        <v>135</v>
      </c>
      <c r="O3" s="1" t="s">
        <v>136</v>
      </c>
    </row>
    <row r="4" spans="1:15" x14ac:dyDescent="0.25">
      <c r="A4" s="1" t="s">
        <v>137</v>
      </c>
      <c r="B4">
        <f>FS_NoVs111!AM4</f>
        <v>240.96046124790024</v>
      </c>
      <c r="C4">
        <f>FS_NoVp111!AM4</f>
        <v>241.05873297787619</v>
      </c>
      <c r="D4">
        <f>FS_NoVs100!AM4</f>
        <v>241.08911453647184</v>
      </c>
      <c r="E4">
        <f>FS_NoVp100!AM4</f>
        <v>229.36899385943329</v>
      </c>
      <c r="F4">
        <f>Global_FS!AT4</f>
        <v>239.4992317427654</v>
      </c>
      <c r="M4">
        <v>230.9</v>
      </c>
      <c r="N4">
        <v>235.7</v>
      </c>
      <c r="O4">
        <v>235.89</v>
      </c>
    </row>
    <row r="5" spans="1:15" x14ac:dyDescent="0.25">
      <c r="A5" s="1" t="s">
        <v>138</v>
      </c>
      <c r="B5">
        <f>FS_NoVs111!AM5</f>
        <v>112.06552577088253</v>
      </c>
      <c r="C5">
        <f>FS_NoVp111!AM5</f>
        <v>129.03859511290136</v>
      </c>
      <c r="D5">
        <f>FS_NoVs100!AM5</f>
        <v>123.47736714778917</v>
      </c>
      <c r="E5">
        <f>FS_NoVp100!AM5</f>
        <v>117.4340474416213</v>
      </c>
      <c r="F5">
        <f>Global_FS!AT5</f>
        <v>121.24040751978364</v>
      </c>
      <c r="M5">
        <v>120.02</v>
      </c>
      <c r="N5">
        <v>126.5</v>
      </c>
      <c r="O5">
        <v>120.76</v>
      </c>
    </row>
    <row r="6" spans="1:15" x14ac:dyDescent="0.25">
      <c r="A6" s="1" t="s">
        <v>139</v>
      </c>
      <c r="B6">
        <f>FS_NoVs111!AM6</f>
        <v>46.819046584123754</v>
      </c>
      <c r="C6">
        <f>FS_NoVp111!AM6</f>
        <v>46.772391044309501</v>
      </c>
      <c r="D6">
        <f>FS_NoVs100!AM6</f>
        <v>41.202696127223327</v>
      </c>
      <c r="E6">
        <f>FS_NoVp100!AM6</f>
        <v>46.816573070370382</v>
      </c>
      <c r="F6">
        <f>Global_FS!AT6</f>
        <v>45.464314625666582</v>
      </c>
      <c r="M6">
        <v>43.36</v>
      </c>
      <c r="N6">
        <v>43.6</v>
      </c>
      <c r="O6">
        <v>46.55</v>
      </c>
    </row>
    <row r="7" spans="1:15" x14ac:dyDescent="0.25">
      <c r="A7" s="1" t="s">
        <v>71</v>
      </c>
      <c r="B7">
        <f>FS_NoVs111!AM7</f>
        <v>5.4434469097157949</v>
      </c>
      <c r="C7">
        <f>FS_NoVp111!AM7</f>
        <v>5.3603023086196773</v>
      </c>
      <c r="D7">
        <f>FS_NoVs100!AM7</f>
        <v>5.380012010691102</v>
      </c>
      <c r="E7">
        <f>FS_NoVp100!AM7</f>
        <v>5.9635509794934727</v>
      </c>
      <c r="F7">
        <f>Global_FS!AT7</f>
        <v>5.516167813918031</v>
      </c>
      <c r="M7">
        <v>5.65</v>
      </c>
    </row>
    <row r="8" spans="1:15" x14ac:dyDescent="0.25">
      <c r="A8" s="1" t="s">
        <v>72</v>
      </c>
      <c r="B8">
        <f>FS_NoVs111!AM8</f>
        <v>3.4747766965273712</v>
      </c>
      <c r="C8">
        <f>FS_NoVp111!AM8</f>
        <v>2.7008201526204805</v>
      </c>
      <c r="D8">
        <f>FS_NoVs100!AM8</f>
        <v>2.9454369020587525</v>
      </c>
      <c r="E8">
        <f>FS_NoVp100!AM8</f>
        <v>3.2662478532088626</v>
      </c>
      <c r="F8">
        <f>Global_FS!AT8</f>
        <v>3.0923015180253683</v>
      </c>
      <c r="M8">
        <v>3.5659999999999998</v>
      </c>
    </row>
    <row r="9" spans="1:15" x14ac:dyDescent="0.25">
      <c r="A9" s="1" t="s">
        <v>73</v>
      </c>
      <c r="B9">
        <f>FS_NoVs111!AM9</f>
        <v>0.25152855951518088</v>
      </c>
      <c r="C9">
        <f>FS_NoVp111!AM9</f>
        <v>0.2560980191762135</v>
      </c>
      <c r="D9">
        <f>FS_NoVs100!AM9</f>
        <v>0.4884730499486164</v>
      </c>
      <c r="E9">
        <f>FS_NoVp100!AM9</f>
        <v>0.25126331846518196</v>
      </c>
      <c r="F9">
        <f>Global_FS!AT9</f>
        <v>0.3066063753062786</v>
      </c>
      <c r="M9">
        <v>0.185</v>
      </c>
    </row>
    <row r="10" spans="1:15" x14ac:dyDescent="0.25">
      <c r="A10" s="1" t="s">
        <v>140</v>
      </c>
      <c r="B10">
        <f>FS_NoVs111!AM10</f>
        <v>155.03050426322179</v>
      </c>
      <c r="C10">
        <f>FS_NoVp111!AM10</f>
        <v>166.37864106789297</v>
      </c>
      <c r="D10">
        <f>FS_NoVs100!AM10</f>
        <v>162.68128294401671</v>
      </c>
      <c r="E10">
        <f>FS_NoVp100!AM10</f>
        <v>154.74569624755864</v>
      </c>
      <c r="F10">
        <f>Global_FS!AT10</f>
        <v>160.66001559411089</v>
      </c>
      <c r="M10">
        <f>(M4+2*M5)/3</f>
        <v>156.97999999999999</v>
      </c>
      <c r="N10">
        <f>(N4+2*N5)/3</f>
        <v>162.9</v>
      </c>
      <c r="O10">
        <f>(O4+2*O5)/3</f>
        <v>159.13666666666666</v>
      </c>
    </row>
    <row r="11" spans="1:15" x14ac:dyDescent="0.25">
      <c r="A11" s="1" t="s">
        <v>75</v>
      </c>
      <c r="B11">
        <f>FS_NoVs111!AM11</f>
        <v>4.1310001009235124</v>
      </c>
      <c r="C11">
        <f>FS_NoVp111!AM11</f>
        <v>3.5873142046202129</v>
      </c>
      <c r="D11">
        <f>FS_NoVs100!AM11</f>
        <v>3.7569619382695358</v>
      </c>
      <c r="E11">
        <f>FS_NoVp100!AM11</f>
        <v>4.1653488953037323</v>
      </c>
      <c r="F11">
        <f>Global_FS!AT11</f>
        <v>3.9002569499895894</v>
      </c>
    </row>
    <row r="12" spans="1:15" x14ac:dyDescent="0.25">
      <c r="A12" s="1" t="s">
        <v>141</v>
      </c>
      <c r="B12">
        <f>FS_NoVs111!AM14</f>
        <v>53.220695842700735</v>
      </c>
      <c r="C12">
        <f>FS_NoVp111!AM14</f>
        <v>50.271721712780007</v>
      </c>
      <c r="D12">
        <f>FS_NoVs100!AM14</f>
        <v>47.525626408870743</v>
      </c>
      <c r="E12">
        <f>FS_NoVp100!AM14</f>
        <v>50.284823942240763</v>
      </c>
      <c r="F12">
        <f>Global_FS!AT14</f>
        <v>50.512784141709361</v>
      </c>
    </row>
    <row r="13" spans="1:15" x14ac:dyDescent="0.25">
      <c r="A13" s="1" t="s">
        <v>142</v>
      </c>
      <c r="B13">
        <f>FS_NoVs111!AM15</f>
        <v>2.4080153756449287</v>
      </c>
      <c r="C13">
        <f>FS_NoVp111!AM15</f>
        <v>1.8087601896400081</v>
      </c>
      <c r="D13">
        <f>FS_NoVs100!AM15</f>
        <v>1.2677211012607184</v>
      </c>
      <c r="E13">
        <f>FS_NoVp100!AM15</f>
        <v>0.62657574921648274</v>
      </c>
      <c r="F13">
        <f>Global_FS!AT15</f>
        <v>1455.4838027933622</v>
      </c>
    </row>
    <row r="16" spans="1:15" x14ac:dyDescent="0.25">
      <c r="B16" s="1" t="s">
        <v>125</v>
      </c>
      <c r="C16" s="1" t="s">
        <v>127</v>
      </c>
      <c r="D16" s="1" t="s">
        <v>129</v>
      </c>
      <c r="E16" s="1" t="s">
        <v>131</v>
      </c>
      <c r="F16" s="1" t="s">
        <v>133</v>
      </c>
    </row>
    <row r="17" spans="1:6" x14ac:dyDescent="0.25">
      <c r="A17" s="1" t="s">
        <v>137</v>
      </c>
      <c r="B17">
        <f>Cook_NoVs111!AT4</f>
        <v>240.76226088746844</v>
      </c>
      <c r="C17">
        <f>Cook_NoVp111!AT4</f>
        <v>241.08875371324729</v>
      </c>
      <c r="D17">
        <f>Cook_NoVs100!AT4</f>
        <v>240.98565584741851</v>
      </c>
      <c r="E17">
        <f>Cook_NoVp100!AT4</f>
        <v>229.51816057834182</v>
      </c>
      <c r="F17">
        <f>Global_Cook!DA4</f>
        <v>238.83941734220869</v>
      </c>
    </row>
    <row r="18" spans="1:6" x14ac:dyDescent="0.25">
      <c r="A18" s="1" t="s">
        <v>138</v>
      </c>
      <c r="B18">
        <f>Cook_NoVs111!AT5</f>
        <v>112.00951120366543</v>
      </c>
      <c r="C18">
        <f>Cook_NoVp111!AT5</f>
        <v>129.07597908873981</v>
      </c>
      <c r="D18">
        <f>Cook_NoVs100!AT5</f>
        <v>123.40647219659995</v>
      </c>
      <c r="E18">
        <f>Cook_NoVp100!AT5</f>
        <v>117.64262325144692</v>
      </c>
      <c r="F18">
        <f>Global_Cook!DA5</f>
        <v>121.84739270278482</v>
      </c>
    </row>
    <row r="19" spans="1:6" x14ac:dyDescent="0.25">
      <c r="A19" s="1" t="s">
        <v>139</v>
      </c>
      <c r="B19">
        <f>Cook_NoVs111!AT6</f>
        <v>46.790334430217442</v>
      </c>
      <c r="C19">
        <f>Cook_NoVp111!AT6</f>
        <v>46.758423865802719</v>
      </c>
      <c r="D19">
        <f>Cook_NoVs100!AT6</f>
        <v>41.158974994648382</v>
      </c>
      <c r="E19">
        <f>Cook_NoVp100!AT6</f>
        <v>46.790182446566121</v>
      </c>
      <c r="F19">
        <f>Global_Cook!DA6</f>
        <v>45.192081540647706</v>
      </c>
    </row>
    <row r="20" spans="1:6" x14ac:dyDescent="0.25">
      <c r="A20" s="1" t="s">
        <v>71</v>
      </c>
      <c r="B20">
        <f>Cook_NoVs111!AT7</f>
        <v>5.3932383911069595</v>
      </c>
      <c r="C20">
        <f>Cook_NoVp111!AT7</f>
        <v>5.2844575575835711</v>
      </c>
      <c r="D20">
        <f>Cook_NoVs100!AT7</f>
        <v>5.3185898519142603</v>
      </c>
      <c r="E20">
        <f>Cook_NoVp100!AT7</f>
        <v>5.8625342988227631</v>
      </c>
      <c r="F20">
        <f>Global_Cook!DA7</f>
        <v>5.3345224902881041</v>
      </c>
    </row>
    <row r="21" spans="1:6" x14ac:dyDescent="0.25">
      <c r="A21" s="1" t="s">
        <v>72</v>
      </c>
      <c r="B21">
        <f>Cook_NoVs111!AT8</f>
        <v>3.4293131141108861</v>
      </c>
      <c r="C21">
        <f>Cook_NoVp111!AT8</f>
        <v>2.6585351032391191</v>
      </c>
      <c r="D21">
        <f>Cook_NoVs100!AT8</f>
        <v>2.9115198162145375</v>
      </c>
      <c r="E21">
        <f>Cook_NoVp100!AT8</f>
        <v>3.1929859964847416</v>
      </c>
      <c r="F21">
        <f>Global_Cook!DA8</f>
        <v>2.853604674918337</v>
      </c>
    </row>
    <row r="22" spans="1:6" x14ac:dyDescent="0.25">
      <c r="A22" s="1" t="s">
        <v>73</v>
      </c>
      <c r="B22">
        <f>Cook_NoVs111!AT9</f>
        <v>0.25587766555467051</v>
      </c>
      <c r="C22">
        <f>Cook_NoVp111!AT9</f>
        <v>0.25849683128721007</v>
      </c>
      <c r="D22">
        <f>Cook_NoVs100!AT9</f>
        <v>0.49019991408747371</v>
      </c>
      <c r="E22">
        <f>Cook_NoVp100!AT9</f>
        <v>0.25591180780639855</v>
      </c>
      <c r="F22">
        <f>Global_Cook!DA9</f>
        <v>0.34109188366599785</v>
      </c>
    </row>
    <row r="23" spans="1:6" x14ac:dyDescent="0.25">
      <c r="A23" s="1" t="s">
        <v>140</v>
      </c>
      <c r="B23">
        <f>Cook_NoVs111!AT10</f>
        <v>154.92709443159978</v>
      </c>
      <c r="C23">
        <f>Cook_NoVp111!AT10</f>
        <v>166.4135706302423</v>
      </c>
      <c r="D23">
        <f>Cook_NoVs100!AT10</f>
        <v>162.59953341353946</v>
      </c>
      <c r="E23">
        <f>Cook_NoVp100!AT10</f>
        <v>154.93446902707856</v>
      </c>
      <c r="F23">
        <f>Global_Cook!DA10</f>
        <v>160.84473424925943</v>
      </c>
    </row>
    <row r="24" spans="1:6" x14ac:dyDescent="0.25">
      <c r="A24" s="1" t="s">
        <v>75</v>
      </c>
      <c r="B24">
        <f>Cook_NoVs111!AT11</f>
        <v>4.0839548731095769</v>
      </c>
      <c r="C24">
        <f>Cook_NoVp111!AT11</f>
        <v>3.5338425880206032</v>
      </c>
      <c r="D24">
        <f>Cook_NoVs100!AT11</f>
        <v>3.7138764947811116</v>
      </c>
      <c r="E24">
        <f>Cook_NoVp100!AT11</f>
        <v>4.0828354305974157</v>
      </c>
      <c r="F24">
        <f>Global_Cook!DA11</f>
        <v>3.680577280041593</v>
      </c>
    </row>
    <row r="25" spans="1:6" x14ac:dyDescent="0.25">
      <c r="A25" s="1" t="s">
        <v>141</v>
      </c>
      <c r="B25">
        <f>Cook_NoVs111!AT14</f>
        <v>53.177541135370035</v>
      </c>
      <c r="C25">
        <f>Cook_NoVp111!AT14</f>
        <v>50.261403388030097</v>
      </c>
      <c r="D25">
        <f>Cook_NoVs100!AT14</f>
        <v>47.490260148563898</v>
      </c>
      <c r="E25">
        <f>Cook_NoVp100!AT14</f>
        <v>50.257142657046117</v>
      </c>
      <c r="F25">
        <f>Global_Cook!DA14</f>
        <v>50.114226065207546</v>
      </c>
    </row>
    <row r="26" spans="1:6" x14ac:dyDescent="0.25">
      <c r="A26" s="1" t="s">
        <v>142</v>
      </c>
      <c r="B26">
        <f>Cook_NoVs111!AT15</f>
        <v>3.7353512483794526</v>
      </c>
      <c r="C26">
        <f>Cook_NoVp111!AT15</f>
        <v>5.2312077563105159</v>
      </c>
      <c r="D26">
        <f>Cook_NoVs100!AT15</f>
        <v>3.5899280017322237</v>
      </c>
      <c r="E26">
        <f>Cook_NoVp100!AT15</f>
        <v>3.1806578879974174</v>
      </c>
      <c r="F26">
        <f>Global_Cook!DA15</f>
        <v>1828.1769515560634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2DDEE-824B-42B1-8CA1-57C54297E97C}">
  <dimension ref="A1:M25"/>
  <sheetViews>
    <sheetView workbookViewId="0">
      <selection activeCell="P16" sqref="P16"/>
    </sheetView>
  </sheetViews>
  <sheetFormatPr defaultRowHeight="15" x14ac:dyDescent="0.25"/>
  <cols>
    <col min="1" max="1" width="8.7109375" customWidth="1"/>
    <col min="12" max="12" width="40.7109375" customWidth="1"/>
  </cols>
  <sheetData>
    <row r="1" spans="1:13" x14ac:dyDescent="0.25">
      <c r="A1" t="s">
        <v>0</v>
      </c>
    </row>
    <row r="3" spans="1:13" x14ac:dyDescent="0.25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5</v>
      </c>
      <c r="H3" t="s">
        <v>6</v>
      </c>
      <c r="I3" t="s">
        <v>7</v>
      </c>
    </row>
    <row r="4" spans="1:13" x14ac:dyDescent="0.25">
      <c r="A4">
        <v>0</v>
      </c>
      <c r="B4">
        <v>1.1601999999999999</v>
      </c>
      <c r="C4">
        <v>0.229199934662983</v>
      </c>
      <c r="D4">
        <v>0.51092691729323303</v>
      </c>
      <c r="F4">
        <v>0</v>
      </c>
      <c r="G4">
        <v>1.1382000000000001</v>
      </c>
      <c r="H4">
        <v>0.2029</v>
      </c>
      <c r="I4">
        <v>0.4194</v>
      </c>
      <c r="L4" t="s">
        <v>8</v>
      </c>
      <c r="M4">
        <v>0.71199999999999997</v>
      </c>
    </row>
    <row r="5" spans="1:13" x14ac:dyDescent="0.25">
      <c r="A5">
        <v>30</v>
      </c>
      <c r="B5">
        <v>1.1596</v>
      </c>
      <c r="C5">
        <v>0.22474572005565299</v>
      </c>
      <c r="D5">
        <v>0.50723364660407499</v>
      </c>
      <c r="F5">
        <v>30</v>
      </c>
      <c r="G5">
        <v>1.1162000000000001</v>
      </c>
      <c r="H5">
        <v>0.2011</v>
      </c>
      <c r="I5">
        <v>0.41260000000000002</v>
      </c>
      <c r="L5" t="s">
        <v>9</v>
      </c>
      <c r="M5">
        <v>0.70399999999999996</v>
      </c>
    </row>
    <row r="6" spans="1:13" x14ac:dyDescent="0.25">
      <c r="A6">
        <v>60</v>
      </c>
      <c r="B6">
        <v>1.1526000000000001</v>
      </c>
      <c r="C6">
        <v>0.22094572005565299</v>
      </c>
      <c r="D6">
        <v>0.50583364660407504</v>
      </c>
      <c r="F6">
        <v>60</v>
      </c>
      <c r="G6">
        <v>1.1120000000000001</v>
      </c>
      <c r="H6">
        <v>0.19950000000000001</v>
      </c>
      <c r="I6">
        <v>0.4052</v>
      </c>
      <c r="L6" t="s">
        <v>10</v>
      </c>
      <c r="M6">
        <v>4.6E-5</v>
      </c>
    </row>
    <row r="7" spans="1:13" x14ac:dyDescent="0.25">
      <c r="A7">
        <v>90</v>
      </c>
      <c r="B7">
        <v>1.1486000000000001</v>
      </c>
      <c r="C7">
        <v>0.21874572005565299</v>
      </c>
      <c r="D7">
        <v>0.50583364660407504</v>
      </c>
      <c r="F7">
        <v>90</v>
      </c>
      <c r="G7">
        <v>1.1055999999999999</v>
      </c>
      <c r="H7">
        <v>0.19689999999999999</v>
      </c>
      <c r="I7">
        <v>0.40279999999999999</v>
      </c>
      <c r="L7" t="s">
        <v>11</v>
      </c>
      <c r="M7">
        <v>6.09</v>
      </c>
    </row>
    <row r="8" spans="1:13" x14ac:dyDescent="0.25">
      <c r="A8">
        <v>120</v>
      </c>
      <c r="B8">
        <v>1.1442000000000001</v>
      </c>
      <c r="C8">
        <v>0.21654572005565301</v>
      </c>
      <c r="D8">
        <v>0.50523364660407499</v>
      </c>
      <c r="F8">
        <v>120</v>
      </c>
      <c r="G8">
        <v>1.1033999999999999</v>
      </c>
      <c r="H8">
        <v>0.1953</v>
      </c>
      <c r="I8">
        <v>0.3972</v>
      </c>
      <c r="L8" t="s">
        <v>12</v>
      </c>
      <c r="M8">
        <v>1.23</v>
      </c>
    </row>
    <row r="9" spans="1:13" x14ac:dyDescent="0.25">
      <c r="A9">
        <v>150</v>
      </c>
      <c r="B9">
        <v>1.1395999999999999</v>
      </c>
      <c r="C9">
        <v>0.21474572005565301</v>
      </c>
      <c r="D9">
        <v>0.50523364660407499</v>
      </c>
      <c r="F9">
        <v>150</v>
      </c>
      <c r="G9">
        <v>1.0978000000000001</v>
      </c>
      <c r="H9">
        <v>0.19409999999999999</v>
      </c>
      <c r="I9">
        <v>0.39600000000000002</v>
      </c>
      <c r="L9" t="s">
        <v>13</v>
      </c>
      <c r="M9">
        <v>300</v>
      </c>
    </row>
    <row r="10" spans="1:13" x14ac:dyDescent="0.25">
      <c r="A10">
        <v>180</v>
      </c>
      <c r="B10">
        <v>1.1364000000000001</v>
      </c>
      <c r="C10">
        <v>0.213345720055653</v>
      </c>
      <c r="D10">
        <v>0.50523364660407499</v>
      </c>
      <c r="F10">
        <v>180</v>
      </c>
      <c r="G10">
        <v>1.0942000000000001</v>
      </c>
      <c r="H10">
        <v>0.19289999999999999</v>
      </c>
      <c r="I10">
        <v>0.3926</v>
      </c>
      <c r="L10" t="s">
        <v>14</v>
      </c>
      <c r="M10">
        <v>1.1601999999999999</v>
      </c>
    </row>
    <row r="11" spans="1:13" x14ac:dyDescent="0.25">
      <c r="A11">
        <v>210</v>
      </c>
      <c r="B11">
        <v>1.1334</v>
      </c>
      <c r="C11">
        <v>0.21174572005565301</v>
      </c>
      <c r="D11">
        <v>0.50423364660407499</v>
      </c>
      <c r="F11">
        <v>210</v>
      </c>
      <c r="G11">
        <v>1.0913999999999999</v>
      </c>
      <c r="H11">
        <v>0.19170000000000001</v>
      </c>
      <c r="I11">
        <v>0.38940000000000002</v>
      </c>
      <c r="L11" t="s">
        <v>15</v>
      </c>
      <c r="M11">
        <f>(1+M6*M8*M9)/(12*M7*M5^2)</f>
        <v>2.8077988570065868E-2</v>
      </c>
    </row>
    <row r="12" spans="1:13" x14ac:dyDescent="0.25">
      <c r="A12">
        <v>240</v>
      </c>
      <c r="B12">
        <v>1.1295999999999999</v>
      </c>
      <c r="C12">
        <v>0.21074572005565301</v>
      </c>
      <c r="D12">
        <v>0.50423364660407499</v>
      </c>
      <c r="F12">
        <v>240</v>
      </c>
      <c r="G12">
        <v>1.0862000000000001</v>
      </c>
      <c r="H12">
        <v>0.1905</v>
      </c>
      <c r="I12">
        <v>0.38940000000000002</v>
      </c>
    </row>
    <row r="13" spans="1:13" x14ac:dyDescent="0.25">
      <c r="A13">
        <v>270</v>
      </c>
      <c r="B13">
        <v>1.1264000000000001</v>
      </c>
      <c r="C13">
        <v>0.20914572005565299</v>
      </c>
      <c r="D13">
        <v>0.50463364660407495</v>
      </c>
      <c r="F13">
        <v>270</v>
      </c>
      <c r="G13">
        <v>1.0831999999999999</v>
      </c>
      <c r="H13">
        <v>0.18890000000000001</v>
      </c>
      <c r="I13">
        <v>0.3866</v>
      </c>
      <c r="L13" t="s">
        <v>16</v>
      </c>
      <c r="M13">
        <v>0.623</v>
      </c>
    </row>
    <row r="14" spans="1:13" x14ac:dyDescent="0.25">
      <c r="A14">
        <v>300</v>
      </c>
      <c r="B14">
        <v>1.1237999999999999</v>
      </c>
      <c r="C14">
        <v>0.20814572005565299</v>
      </c>
      <c r="D14">
        <v>0.50383364660407504</v>
      </c>
      <c r="F14">
        <v>300</v>
      </c>
      <c r="G14">
        <v>1.0804</v>
      </c>
      <c r="H14">
        <v>0.18809999999999999</v>
      </c>
      <c r="I14">
        <v>0.3846</v>
      </c>
      <c r="L14" t="s">
        <v>17</v>
      </c>
      <c r="M14">
        <v>0.60699999999999998</v>
      </c>
    </row>
    <row r="15" spans="1:13" x14ac:dyDescent="0.25">
      <c r="A15">
        <v>330</v>
      </c>
      <c r="B15">
        <v>1.1206</v>
      </c>
      <c r="C15">
        <v>0.20734572005565299</v>
      </c>
      <c r="D15">
        <v>0.50403364660407501</v>
      </c>
      <c r="F15">
        <v>330</v>
      </c>
      <c r="G15">
        <v>1.0758000000000001</v>
      </c>
      <c r="H15">
        <v>0.1875</v>
      </c>
      <c r="I15">
        <v>0.38440000000000002</v>
      </c>
      <c r="L15" t="s">
        <v>18</v>
      </c>
      <c r="M15">
        <v>4.6E-5</v>
      </c>
    </row>
    <row r="16" spans="1:13" x14ac:dyDescent="0.25">
      <c r="A16">
        <v>360</v>
      </c>
      <c r="B16">
        <v>1.1177999999999999</v>
      </c>
      <c r="C16">
        <v>0.20634572005565299</v>
      </c>
      <c r="D16">
        <v>0.50443364660407497</v>
      </c>
      <c r="F16">
        <v>360</v>
      </c>
      <c r="G16">
        <v>1.0726</v>
      </c>
      <c r="H16">
        <v>0.18629999999999999</v>
      </c>
      <c r="I16">
        <v>0.38300000000000001</v>
      </c>
      <c r="L16" t="s">
        <v>19</v>
      </c>
      <c r="M16">
        <v>6.09</v>
      </c>
    </row>
    <row r="17" spans="1:13" x14ac:dyDescent="0.25">
      <c r="A17">
        <v>390</v>
      </c>
      <c r="B17">
        <v>1.1157999999999999</v>
      </c>
      <c r="C17">
        <v>0.205545720055653</v>
      </c>
      <c r="D17">
        <v>0.50383364660407504</v>
      </c>
      <c r="F17">
        <v>390</v>
      </c>
      <c r="G17">
        <v>1.0708</v>
      </c>
      <c r="H17">
        <v>0.18590000000000001</v>
      </c>
      <c r="I17">
        <v>0.38119999999999998</v>
      </c>
      <c r="L17" t="s">
        <v>20</v>
      </c>
      <c r="M17">
        <v>1.23</v>
      </c>
    </row>
    <row r="18" spans="1:13" x14ac:dyDescent="0.25">
      <c r="A18">
        <v>420</v>
      </c>
      <c r="B18">
        <v>1.1132</v>
      </c>
      <c r="C18">
        <v>0.204745720055653</v>
      </c>
      <c r="D18">
        <v>0.50323364660407499</v>
      </c>
      <c r="F18">
        <v>420</v>
      </c>
      <c r="G18">
        <v>1.0680000000000001</v>
      </c>
      <c r="H18">
        <v>0.18509999999999999</v>
      </c>
      <c r="I18">
        <v>0.38</v>
      </c>
      <c r="L18" t="s">
        <v>21</v>
      </c>
      <c r="M18">
        <v>300</v>
      </c>
    </row>
    <row r="19" spans="1:13" x14ac:dyDescent="0.25">
      <c r="A19">
        <v>450</v>
      </c>
      <c r="B19">
        <v>1.1108</v>
      </c>
      <c r="C19">
        <v>0.20394572005565301</v>
      </c>
      <c r="D19">
        <v>0.50443364660407497</v>
      </c>
      <c r="F19">
        <v>450</v>
      </c>
      <c r="G19">
        <v>1.0644</v>
      </c>
      <c r="H19">
        <v>0.1845</v>
      </c>
      <c r="I19">
        <v>0.37980000000000003</v>
      </c>
      <c r="L19" t="s">
        <v>22</v>
      </c>
      <c r="M19">
        <v>1.1225000000000001</v>
      </c>
    </row>
    <row r="20" spans="1:13" x14ac:dyDescent="0.25">
      <c r="A20">
        <v>480</v>
      </c>
      <c r="B20">
        <v>1.1093999999999999</v>
      </c>
      <c r="C20">
        <v>0.20334572005565299</v>
      </c>
      <c r="D20">
        <v>0.50523364660407499</v>
      </c>
      <c r="F20">
        <v>480</v>
      </c>
      <c r="G20">
        <v>1.0626</v>
      </c>
      <c r="H20">
        <v>0.18390000000000001</v>
      </c>
      <c r="I20">
        <v>0.37880000000000003</v>
      </c>
      <c r="L20" t="s">
        <v>23</v>
      </c>
      <c r="M20">
        <f>(1+M15*M17*M18)/(12*M16*M14^2)</f>
        <v>3.776886457322931E-2</v>
      </c>
    </row>
    <row r="21" spans="1:13" x14ac:dyDescent="0.25">
      <c r="A21">
        <v>510</v>
      </c>
      <c r="B21">
        <v>1.1084000000000001</v>
      </c>
      <c r="C21">
        <v>0.20234572005565299</v>
      </c>
      <c r="D21">
        <v>0.50563364660407495</v>
      </c>
      <c r="F21">
        <v>510</v>
      </c>
      <c r="G21">
        <v>1.0613999999999999</v>
      </c>
      <c r="H21">
        <v>0.18290000000000001</v>
      </c>
      <c r="I21">
        <v>0.37740000000000001</v>
      </c>
    </row>
    <row r="22" spans="1:13" x14ac:dyDescent="0.25">
      <c r="A22">
        <v>540</v>
      </c>
      <c r="B22">
        <v>1.1066</v>
      </c>
      <c r="C22">
        <v>0.201745720055653</v>
      </c>
      <c r="D22">
        <v>0.50523364660407499</v>
      </c>
      <c r="F22">
        <v>540</v>
      </c>
      <c r="G22">
        <v>1.0593999999999999</v>
      </c>
      <c r="H22">
        <v>0.1825</v>
      </c>
      <c r="I22">
        <v>0.37630000000000002</v>
      </c>
      <c r="L22" t="s">
        <v>24</v>
      </c>
      <c r="M22">
        <v>420</v>
      </c>
    </row>
    <row r="23" spans="1:13" x14ac:dyDescent="0.25">
      <c r="A23">
        <v>570</v>
      </c>
      <c r="B23">
        <v>1.1042000000000001</v>
      </c>
      <c r="C23">
        <v>0.200945720055653</v>
      </c>
      <c r="D23">
        <v>0.50583364660407504</v>
      </c>
      <c r="F23">
        <v>570</v>
      </c>
      <c r="G23">
        <v>1.0568</v>
      </c>
      <c r="H23">
        <v>0.18129999999999999</v>
      </c>
      <c r="I23">
        <v>0.37659999999999999</v>
      </c>
      <c r="L23" t="s">
        <v>25</v>
      </c>
      <c r="M23">
        <v>120</v>
      </c>
    </row>
    <row r="24" spans="1:13" x14ac:dyDescent="0.25">
      <c r="A24">
        <v>600</v>
      </c>
      <c r="B24">
        <v>1.103</v>
      </c>
      <c r="C24">
        <v>0.20034572005565299</v>
      </c>
      <c r="D24">
        <v>0.50703364660407502</v>
      </c>
      <c r="F24">
        <v>600</v>
      </c>
      <c r="G24">
        <v>1.0551999999999999</v>
      </c>
      <c r="H24">
        <v>0.18049999999999999</v>
      </c>
      <c r="I24">
        <v>0.37619999999999998</v>
      </c>
      <c r="L24" t="s">
        <v>26</v>
      </c>
      <c r="M24">
        <v>0</v>
      </c>
    </row>
    <row r="25" spans="1:13" x14ac:dyDescent="0.25">
      <c r="A25">
        <v>630</v>
      </c>
      <c r="B25">
        <v>1.1022000000000001</v>
      </c>
      <c r="C25">
        <v>0.199745720055653</v>
      </c>
      <c r="D25">
        <v>0.50683364660407504</v>
      </c>
      <c r="F25">
        <v>630</v>
      </c>
      <c r="G25">
        <v>1.0546</v>
      </c>
      <c r="H25">
        <v>0.18010000000000001</v>
      </c>
      <c r="I25">
        <v>0.37459999999999999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0C0BB-529D-4F6A-B2C9-13A02F7B6681}">
  <dimension ref="A1:Q25"/>
  <sheetViews>
    <sheetView workbookViewId="0">
      <selection activeCell="H8" sqref="H8"/>
    </sheetView>
  </sheetViews>
  <sheetFormatPr defaultRowHeight="15" x14ac:dyDescent="0.25"/>
  <sheetData>
    <row r="1" spans="1:17" x14ac:dyDescent="0.25">
      <c r="A1" t="s">
        <v>27</v>
      </c>
      <c r="K1" t="s">
        <v>34</v>
      </c>
    </row>
    <row r="2" spans="1:17" x14ac:dyDescent="0.25">
      <c r="J2" t="s">
        <v>35</v>
      </c>
      <c r="K2">
        <f>INDEX(LINEST(Inputs!$H$4:$H$25,$E$4:$E$25^{1,2,3,4,5,6}),1,1)</f>
        <v>-2.289524138605456E-8</v>
      </c>
      <c r="L2">
        <f>INDEX(LINEST(Inputs!$H$4:$H$25,$E$4:$E$25^{1,2,3,4,5,6}),1,2)</f>
        <v>1.0267486677848426E-6</v>
      </c>
      <c r="M2">
        <f>INDEX(LINEST(Inputs!$H$4:$H$25,$E$4:$E$25^{1,2,3,4,5,6}),1,3)</f>
        <v>-1.8151058192437776E-5</v>
      </c>
      <c r="N2">
        <f>INDEX(LINEST(Inputs!$H$4:$H$25,$E$4:$E$25^{1,2,3,4,5,6}),1,4)</f>
        <v>1.5823308379420934E-4</v>
      </c>
      <c r="O2">
        <f>INDEX(LINEST(Inputs!$H$4:$H$25,$E$4:$E$25^{1,2,3,4,5,6}),1,5)</f>
        <v>-6.5271807577940916E-4</v>
      </c>
      <c r="P2">
        <f>INDEX(LINEST(Inputs!$H$4:$H$25,$E$4:$E$25^{1,2,3,4,5,6}),1,6)</f>
        <v>-6.4853890614358436E-4</v>
      </c>
      <c r="Q2">
        <f>INDEX(LINEST(Inputs!$H$4:$H$25,$E$4:$E$25^{1,2,3,4,5,6}),1,7)</f>
        <v>0.20291614843494321</v>
      </c>
    </row>
    <row r="3" spans="1:17" x14ac:dyDescent="0.25">
      <c r="A3" t="s">
        <v>1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J3" t="s">
        <v>36</v>
      </c>
      <c r="K3">
        <f>INDEX(LINEST(Inputs!$I$4:$I$25,$E$4:$E$25^{1,2,3,4,5,6}),1,1)</f>
        <v>4.8923024316772469E-9</v>
      </c>
      <c r="L3">
        <f>INDEX(LINEST(Inputs!$I$4:$I$25,$E$4:$E$25^{1,2,3,4,5,6}),1,2)</f>
        <v>-1.7053610561322062E-7</v>
      </c>
      <c r="M3">
        <f>INDEX(LINEST(Inputs!$I$4:$I$25,$E$4:$E$25^{1,2,3,4,5,6}),1,3)</f>
        <v>1.9120584455360709E-6</v>
      </c>
      <c r="N3">
        <f>INDEX(LINEST(Inputs!$I$4:$I$25,$E$4:$E$25^{1,2,3,4,5,6}),1,4)</f>
        <v>-1.6827309385601089E-5</v>
      </c>
      <c r="O3">
        <f>INDEX(LINEST(Inputs!$I$4:$I$25,$E$4:$E$25^{1,2,3,4,5,6}),1,5)</f>
        <v>3.6779205275421016E-4</v>
      </c>
      <c r="P3">
        <f>INDEX(LINEST(Inputs!$I$4:$I$25,$E$4:$E$25^{1,2,3,4,5,6}),1,6)</f>
        <v>-6.2059759748840622E-3</v>
      </c>
      <c r="Q3">
        <f>INDEX(LINEST(Inputs!$I$4:$I$25,$E$4:$E$25^{1,2,3,4,5,6}),1,7)</f>
        <v>0.41955125799861193</v>
      </c>
    </row>
    <row r="4" spans="1:17" x14ac:dyDescent="0.25">
      <c r="A4">
        <f>Inputs!A4</f>
        <v>0</v>
      </c>
      <c r="B4">
        <f>249.7*(1-Inputs!B4/SBR0_100)</f>
        <v>0</v>
      </c>
      <c r="C4">
        <f>Inputs!C4</f>
        <v>0.229199934662983</v>
      </c>
      <c r="D4">
        <f>Inputs!D4</f>
        <v>0.51092691729323303</v>
      </c>
      <c r="E4">
        <v>0</v>
      </c>
      <c r="F4">
        <f>SUMPRODUCT($K$2:$P$2,B4^{6,5,4,3,2,1})+$Q$2</f>
        <v>0.20291614843494321</v>
      </c>
      <c r="G4">
        <f>SUMPRODUCT($K$3:$P$3,B4^{6,5,4,3,2,1})+$Q$3</f>
        <v>0.41955125799861193</v>
      </c>
    </row>
    <row r="5" spans="1:17" x14ac:dyDescent="0.25">
      <c r="A5">
        <f>Inputs!A5</f>
        <v>30</v>
      </c>
      <c r="B5">
        <f>249.7*(1-Inputs!B5/SBR0_100)</f>
        <v>0.12913290811927533</v>
      </c>
      <c r="C5">
        <f>Inputs!C5</f>
        <v>0.22474572005565299</v>
      </c>
      <c r="D5">
        <f>Inputs!D5</f>
        <v>0.50723364660407499</v>
      </c>
      <c r="E5">
        <f>249.7*(1-Inputs!G5/SBR0_111)</f>
        <v>1.4014342984409727</v>
      </c>
      <c r="F5">
        <f>SUMPRODUCT($K$2:$P$2,B5^{6,5,4,3,2,1})+$Q$2</f>
        <v>0.20282185216281789</v>
      </c>
      <c r="G5">
        <f>SUMPRODUCT($K$3:$P$3,B5^{6,5,4,3,2,1})+$Q$3</f>
        <v>0.41875595960981177</v>
      </c>
    </row>
    <row r="6" spans="1:17" x14ac:dyDescent="0.25">
      <c r="A6">
        <f>Inputs!A6</f>
        <v>60</v>
      </c>
      <c r="B6">
        <f>249.7*(1-Inputs!B6/SBR0_100)</f>
        <v>1.635683502844302</v>
      </c>
      <c r="C6">
        <f>Inputs!C6</f>
        <v>0.22094572005565299</v>
      </c>
      <c r="D6">
        <f>Inputs!D6</f>
        <v>0.50583364660407504</v>
      </c>
      <c r="E6">
        <f>249.7*(1-Inputs!G6/SBR0_111)</f>
        <v>2.3357238307349637</v>
      </c>
      <c r="F6">
        <f>SUMPRODUCT($K$2:$P$2,B6^{6,5,4,3,2,1})+$Q$2</f>
        <v>0.20068313946370661</v>
      </c>
      <c r="G6">
        <f>SUMPRODUCT($K$3:$P$3,B6^{6,5,4,3,2,1})+$Q$3</f>
        <v>0.41032240249009772</v>
      </c>
    </row>
    <row r="7" spans="1:17" x14ac:dyDescent="0.25">
      <c r="A7">
        <f>Inputs!A7</f>
        <v>90</v>
      </c>
      <c r="B7">
        <f>249.7*(1-Inputs!B7/SBR0_100)</f>
        <v>2.4965695569728967</v>
      </c>
      <c r="C7">
        <f>Inputs!C7</f>
        <v>0.21874572005565299</v>
      </c>
      <c r="D7">
        <f>Inputs!D7</f>
        <v>0.50583364660407504</v>
      </c>
      <c r="E7">
        <f>249.7*(1-Inputs!G7/SBR0_111)</f>
        <v>3.759403118040114</v>
      </c>
      <c r="F7">
        <f>SUMPRODUCT($K$2:$P$2,B7^{6,5,4,3,2,1})+$Q$2</f>
        <v>0.19907985057124322</v>
      </c>
      <c r="G7">
        <f>SUMPRODUCT($K$3:$P$3,B7^{6,5,4,3,2,1})+$Q$3</f>
        <v>0.40614708298662372</v>
      </c>
    </row>
    <row r="8" spans="1:17" x14ac:dyDescent="0.25">
      <c r="A8">
        <f>Inputs!A8</f>
        <v>120</v>
      </c>
      <c r="B8">
        <f>249.7*(1-Inputs!B8/SBR0_100)</f>
        <v>3.4435442165143506</v>
      </c>
      <c r="C8">
        <f>Inputs!C8</f>
        <v>0.21654572005565301</v>
      </c>
      <c r="D8">
        <f>Inputs!D8</f>
        <v>0.50523364660407499</v>
      </c>
      <c r="E8">
        <f>249.7*(1-Inputs!G8/SBR0_111)</f>
        <v>4.2487928730512454</v>
      </c>
      <c r="F8">
        <f>SUMPRODUCT($K$2:$P$2,B8^{6,5,4,3,2,1})+$Q$2</f>
        <v>0.19731088611066464</v>
      </c>
      <c r="G8">
        <f>SUMPRODUCT($K$3:$P$3,B8^{6,5,4,3,2,1})+$Q$3</f>
        <v>0.40204930534036237</v>
      </c>
    </row>
    <row r="9" spans="1:17" x14ac:dyDescent="0.25">
      <c r="A9">
        <f>Inputs!A9</f>
        <v>150</v>
      </c>
      <c r="B9">
        <f>249.7*(1-Inputs!B9/SBR0_100)</f>
        <v>4.4335631787622765</v>
      </c>
      <c r="C9">
        <f>Inputs!C9</f>
        <v>0.21474572005565301</v>
      </c>
      <c r="D9">
        <f>Inputs!D9</f>
        <v>0.50523364660407499</v>
      </c>
      <c r="E9">
        <f>249.7*(1-Inputs!G9/SBR0_111)</f>
        <v>5.494512249443197</v>
      </c>
      <c r="F9">
        <f>SUMPRODUCT($K$2:$P$2,B9^{6,5,4,3,2,1})+$Q$2</f>
        <v>0.19557221353453599</v>
      </c>
      <c r="G9">
        <f>SUMPRODUCT($K$3:$P$3,B9^{6,5,4,3,2,1})+$Q$3</f>
        <v>0.3982834977610536</v>
      </c>
    </row>
    <row r="10" spans="1:17" x14ac:dyDescent="0.25">
      <c r="A10">
        <f>Inputs!A10</f>
        <v>180</v>
      </c>
      <c r="B10">
        <f>249.7*(1-Inputs!B10/SBR0_100)</f>
        <v>5.1222720220651237</v>
      </c>
      <c r="C10">
        <f>Inputs!C10</f>
        <v>0.213345720055653</v>
      </c>
      <c r="D10">
        <f>Inputs!D10</f>
        <v>0.50523364660407499</v>
      </c>
      <c r="E10">
        <f>249.7*(1-Inputs!G10/SBR0_111)</f>
        <v>6.295331848552344</v>
      </c>
      <c r="F10">
        <f>SUMPRODUCT($K$2:$P$2,B10^{6,5,4,3,2,1})+$Q$2</f>
        <v>0.19444588691824252</v>
      </c>
      <c r="G10">
        <f>SUMPRODUCT($K$3:$P$3,B10^{6,5,4,3,2,1})+$Q$3</f>
        <v>0.39595434052709966</v>
      </c>
    </row>
    <row r="11" spans="1:17" x14ac:dyDescent="0.25">
      <c r="A11">
        <f>Inputs!A11</f>
        <v>210</v>
      </c>
      <c r="B11">
        <f>249.7*(1-Inputs!B11/SBR0_100)</f>
        <v>5.7679365626615837</v>
      </c>
      <c r="C11">
        <f>Inputs!C11</f>
        <v>0.21174572005565301</v>
      </c>
      <c r="D11">
        <f>Inputs!D11</f>
        <v>0.50423364660407499</v>
      </c>
      <c r="E11">
        <f>249.7*(1-Inputs!G11/SBR0_111)</f>
        <v>6.9181915367483473</v>
      </c>
      <c r="F11">
        <f>SUMPRODUCT($K$2:$P$2,B11^{6,5,4,3,2,1})+$Q$2</f>
        <v>0.19344570800055366</v>
      </c>
      <c r="G11">
        <f>SUMPRODUCT($K$3:$P$3,B11^{6,5,4,3,2,1})+$Q$3</f>
        <v>0.39397038293851272</v>
      </c>
    </row>
    <row r="12" spans="1:17" x14ac:dyDescent="0.25">
      <c r="A12">
        <f>Inputs!A12</f>
        <v>240</v>
      </c>
      <c r="B12">
        <f>249.7*(1-Inputs!B12/SBR0_100)</f>
        <v>6.5857783140837629</v>
      </c>
      <c r="C12">
        <f>Inputs!C12</f>
        <v>0.21074572005565301</v>
      </c>
      <c r="D12">
        <f>Inputs!D12</f>
        <v>0.50423364660407499</v>
      </c>
      <c r="E12">
        <f>249.7*(1-Inputs!G12/SBR0_111)</f>
        <v>8.0749309576837547</v>
      </c>
      <c r="F12">
        <f>SUMPRODUCT($K$2:$P$2,B12^{6,5,4,3,2,1})+$Q$2</f>
        <v>0.19224001764408633</v>
      </c>
      <c r="G12">
        <f>SUMPRODUCT($K$3:$P$3,B12^{6,5,4,3,2,1})+$Q$3</f>
        <v>0.39170885995096172</v>
      </c>
    </row>
    <row r="13" spans="1:17" x14ac:dyDescent="0.25">
      <c r="A13">
        <f>Inputs!A13</f>
        <v>270</v>
      </c>
      <c r="B13">
        <f>249.7*(1-Inputs!B13/SBR0_100)</f>
        <v>7.274487157386611</v>
      </c>
      <c r="C13">
        <f>Inputs!C13</f>
        <v>0.20914572005565299</v>
      </c>
      <c r="D13">
        <f>Inputs!D13</f>
        <v>0.50463364660407495</v>
      </c>
      <c r="E13">
        <f>249.7*(1-Inputs!G13/SBR0_111)</f>
        <v>8.7422806236080302</v>
      </c>
      <c r="F13">
        <f>SUMPRODUCT($K$2:$P$2,B13^{6,5,4,3,2,1})+$Q$2</f>
        <v>0.19126401652995695</v>
      </c>
      <c r="G13">
        <f>SUMPRODUCT($K$3:$P$3,B13^{6,5,4,3,2,1})+$Q$3</f>
        <v>0.3899965242098074</v>
      </c>
    </row>
    <row r="14" spans="1:17" x14ac:dyDescent="0.25">
      <c r="A14">
        <f>Inputs!A14</f>
        <v>300</v>
      </c>
      <c r="B14">
        <f>249.7*(1-Inputs!B14/SBR0_100)</f>
        <v>7.834063092570239</v>
      </c>
      <c r="C14">
        <f>Inputs!C14</f>
        <v>0.20814572005565299</v>
      </c>
      <c r="D14">
        <f>Inputs!D14</f>
        <v>0.50383364660407504</v>
      </c>
      <c r="E14">
        <f>249.7*(1-Inputs!G14/SBR0_111)</f>
        <v>9.3651403118040051</v>
      </c>
      <c r="F14">
        <f>SUMPRODUCT($K$2:$P$2,B14^{6,5,4,3,2,1})+$Q$2</f>
        <v>0.19049120618688217</v>
      </c>
      <c r="G14">
        <f>SUMPRODUCT($K$3:$P$3,B14^{6,5,4,3,2,1})+$Q$3</f>
        <v>0.38871581605483574</v>
      </c>
    </row>
    <row r="15" spans="1:17" x14ac:dyDescent="0.25">
      <c r="A15">
        <f>Inputs!A15</f>
        <v>330</v>
      </c>
      <c r="B15">
        <f>249.7*(1-Inputs!B15/SBR0_100)</f>
        <v>8.5227719358730862</v>
      </c>
      <c r="C15">
        <f>Inputs!C15</f>
        <v>0.20734572005565299</v>
      </c>
      <c r="D15">
        <f>Inputs!D15</f>
        <v>0.50403364660407501</v>
      </c>
      <c r="E15">
        <f>249.7*(1-Inputs!G15/SBR0_111)</f>
        <v>10.388409799554568</v>
      </c>
      <c r="F15">
        <f>SUMPRODUCT($K$2:$P$2,B15^{6,5,4,3,2,1})+$Q$2</f>
        <v>0.18956204408307292</v>
      </c>
      <c r="G15">
        <f>SUMPRODUCT($K$3:$P$3,B15^{6,5,4,3,2,1})+$Q$3</f>
        <v>0.38725209804704125</v>
      </c>
    </row>
    <row r="16" spans="1:17" x14ac:dyDescent="0.25">
      <c r="A16">
        <f>Inputs!A16</f>
        <v>360</v>
      </c>
      <c r="B16">
        <f>249.7*(1-Inputs!B16/SBR0_100)</f>
        <v>9.1253921737631298</v>
      </c>
      <c r="C16">
        <f>Inputs!C16</f>
        <v>0.20634572005565299</v>
      </c>
      <c r="D16">
        <f>Inputs!D16</f>
        <v>0.50443364660407497</v>
      </c>
      <c r="E16">
        <f>249.7*(1-Inputs!G16/SBR0_111)</f>
        <v>11.100249443207144</v>
      </c>
      <c r="F16">
        <f>SUMPRODUCT($K$2:$P$2,B16^{6,5,4,3,2,1})+$Q$2</f>
        <v>0.18876987732243708</v>
      </c>
      <c r="G16">
        <f>SUMPRODUCT($K$3:$P$3,B16^{6,5,4,3,2,1})+$Q$3</f>
        <v>0.38605195687015897</v>
      </c>
    </row>
    <row r="17" spans="1:7" x14ac:dyDescent="0.25">
      <c r="A17">
        <f>Inputs!A17</f>
        <v>390</v>
      </c>
      <c r="B17">
        <f>249.7*(1-Inputs!B17/SBR0_100)</f>
        <v>9.5558352008274561</v>
      </c>
      <c r="C17">
        <f>Inputs!C17</f>
        <v>0.205545720055653</v>
      </c>
      <c r="D17">
        <f>Inputs!D17</f>
        <v>0.50383364660407504</v>
      </c>
      <c r="E17">
        <f>249.7*(1-Inputs!G17/SBR0_111)</f>
        <v>11.500659242761703</v>
      </c>
      <c r="F17">
        <f>SUMPRODUCT($K$2:$P$2,B17^{6,5,4,3,2,1})+$Q$2</f>
        <v>0.18821761319213962</v>
      </c>
      <c r="G17">
        <f>SUMPRODUCT($K$3:$P$3,B17^{6,5,4,3,2,1})+$Q$3</f>
        <v>0.38522940940047751</v>
      </c>
    </row>
    <row r="18" spans="1:7" x14ac:dyDescent="0.25">
      <c r="A18">
        <f>Inputs!A18</f>
        <v>420</v>
      </c>
      <c r="B18">
        <f>249.7*(1-Inputs!B18/SBR0_100)</f>
        <v>10.115411136011028</v>
      </c>
      <c r="C18">
        <f>Inputs!C18</f>
        <v>0.204745720055653</v>
      </c>
      <c r="D18">
        <f>Inputs!D18</f>
        <v>0.50323364660407499</v>
      </c>
      <c r="E18">
        <f>249.7*(1-Inputs!G18/SBR0_111)</f>
        <v>12.123518930957678</v>
      </c>
      <c r="F18">
        <f>SUMPRODUCT($K$2:$P$2,B18^{6,5,4,3,2,1})+$Q$2</f>
        <v>0.18751881685054153</v>
      </c>
      <c r="G18">
        <f>SUMPRODUCT($K$3:$P$3,B18^{6,5,4,3,2,1})+$Q$3</f>
        <v>0.38419063426876759</v>
      </c>
    </row>
    <row r="19" spans="1:7" x14ac:dyDescent="0.25">
      <c r="A19">
        <f>Inputs!A19</f>
        <v>450</v>
      </c>
      <c r="B19">
        <f>249.7*(1-Inputs!B19/SBR0_100)</f>
        <v>10.631942768488157</v>
      </c>
      <c r="C19">
        <f>Inputs!C19</f>
        <v>0.20394572005565301</v>
      </c>
      <c r="D19">
        <f>Inputs!D19</f>
        <v>0.50443364660407497</v>
      </c>
      <c r="E19">
        <f>249.7*(1-Inputs!G19/SBR0_111)</f>
        <v>12.924338530066825</v>
      </c>
      <c r="F19">
        <f>SUMPRODUCT($K$2:$P$2,B19^{6,5,4,3,2,1})+$Q$2</f>
        <v>0.18689416907287151</v>
      </c>
      <c r="G19">
        <f>SUMPRODUCT($K$3:$P$3,B19^{6,5,4,3,2,1})+$Q$3</f>
        <v>0.3832512269076177</v>
      </c>
    </row>
    <row r="20" spans="1:7" x14ac:dyDescent="0.25">
      <c r="A20">
        <f>Inputs!A20</f>
        <v>480</v>
      </c>
      <c r="B20">
        <f>249.7*(1-Inputs!B20/SBR0_100)</f>
        <v>10.933252887433179</v>
      </c>
      <c r="C20">
        <f>Inputs!C20</f>
        <v>0.20334572005565299</v>
      </c>
      <c r="D20">
        <f>Inputs!D20</f>
        <v>0.50523364660407499</v>
      </c>
      <c r="E20">
        <f>249.7*(1-Inputs!G20/SBR0_111)</f>
        <v>13.324748329621386</v>
      </c>
      <c r="F20">
        <f>SUMPRODUCT($K$2:$P$2,B20^{6,5,4,3,2,1})+$Q$2</f>
        <v>0.18653850947206904</v>
      </c>
      <c r="G20">
        <f>SUMPRODUCT($K$3:$P$3,B20^{6,5,4,3,2,1})+$Q$3</f>
        <v>0.38270781210782145</v>
      </c>
    </row>
    <row r="21" spans="1:7" x14ac:dyDescent="0.25">
      <c r="A21">
        <f>Inputs!A21</f>
        <v>510</v>
      </c>
      <c r="B21">
        <f>249.7*(1-Inputs!B21/SBR0_100)</f>
        <v>11.148474400965315</v>
      </c>
      <c r="C21">
        <f>Inputs!C21</f>
        <v>0.20234572005565299</v>
      </c>
      <c r="D21">
        <f>Inputs!D21</f>
        <v>0.50563364660407495</v>
      </c>
      <c r="E21">
        <f>249.7*(1-Inputs!G21/SBR0_111)</f>
        <v>13.591688195991129</v>
      </c>
      <c r="F21">
        <f>SUMPRODUCT($K$2:$P$2,B21^{6,5,4,3,2,1})+$Q$2</f>
        <v>0.18628790984322882</v>
      </c>
      <c r="G21">
        <f>SUMPRODUCT($K$3:$P$3,B21^{6,5,4,3,2,1})+$Q$3</f>
        <v>0.38232053933053556</v>
      </c>
    </row>
    <row r="22" spans="1:7" x14ac:dyDescent="0.25">
      <c r="A22">
        <f>Inputs!A22</f>
        <v>540</v>
      </c>
      <c r="B22">
        <f>249.7*(1-Inputs!B22/SBR0_100)</f>
        <v>11.535873125323196</v>
      </c>
      <c r="C22">
        <f>Inputs!C22</f>
        <v>0.201745720055653</v>
      </c>
      <c r="D22">
        <f>Inputs!D22</f>
        <v>0.50523364660407499</v>
      </c>
      <c r="E22">
        <f>249.7*(1-Inputs!G22/SBR0_111)</f>
        <v>14.036587973273988</v>
      </c>
      <c r="F22">
        <f>SUMPRODUCT($K$2:$P$2,B22^{6,5,4,3,2,1})+$Q$2</f>
        <v>0.18584227706986439</v>
      </c>
      <c r="G22">
        <f>SUMPRODUCT($K$3:$P$3,B22^{6,5,4,3,2,1})+$Q$3</f>
        <v>0.38162352074308936</v>
      </c>
    </row>
    <row r="23" spans="1:7" x14ac:dyDescent="0.25">
      <c r="A23">
        <f>Inputs!A23</f>
        <v>570</v>
      </c>
      <c r="B23">
        <f>249.7*(1-Inputs!B23/SBR0_100)</f>
        <v>12.052404757800351</v>
      </c>
      <c r="C23">
        <f>Inputs!C23</f>
        <v>0.200945720055653</v>
      </c>
      <c r="D23">
        <f>Inputs!D23</f>
        <v>0.50583364660407504</v>
      </c>
      <c r="E23">
        <f>249.7*(1-Inputs!G23/SBR0_111)</f>
        <v>14.614957683741665</v>
      </c>
      <c r="F23">
        <f>SUMPRODUCT($K$2:$P$2,B23^{6,5,4,3,2,1})+$Q$2</f>
        <v>0.18525167989688088</v>
      </c>
      <c r="G23">
        <f>SUMPRODUCT($K$3:$P$3,B23^{6,5,4,3,2,1})+$Q$3</f>
        <v>0.38069110863859346</v>
      </c>
    </row>
    <row r="24" spans="1:7" x14ac:dyDescent="0.25">
      <c r="A24">
        <f>Inputs!A24</f>
        <v>600</v>
      </c>
      <c r="B24">
        <f>249.7*(1-Inputs!B24/SBR0_100)</f>
        <v>12.31067057403893</v>
      </c>
      <c r="C24">
        <f>Inputs!C24</f>
        <v>0.20034572005565299</v>
      </c>
      <c r="D24">
        <f>Inputs!D24</f>
        <v>0.50703364660407502</v>
      </c>
      <c r="E24">
        <f>249.7*(1-Inputs!G24/SBR0_111)</f>
        <v>14.970877505567952</v>
      </c>
      <c r="F24">
        <f>SUMPRODUCT($K$2:$P$2,B24^{6,5,4,3,2,1})+$Q$2</f>
        <v>0.18495311800280445</v>
      </c>
      <c r="G24">
        <f>SUMPRODUCT($K$3:$P$3,B24^{6,5,4,3,2,1})+$Q$3</f>
        <v>0.38022277732041276</v>
      </c>
    </row>
    <row r="25" spans="1:7" x14ac:dyDescent="0.25">
      <c r="A25">
        <f>Inputs!A25</f>
        <v>630</v>
      </c>
      <c r="B25">
        <f>249.7*(1-Inputs!B25/SBR0_100)</f>
        <v>12.482847784864649</v>
      </c>
      <c r="C25">
        <f>Inputs!C25</f>
        <v>0.199745720055653</v>
      </c>
      <c r="D25">
        <f>Inputs!D25</f>
        <v>0.50683364660407504</v>
      </c>
      <c r="E25">
        <f>249.7*(1-Inputs!G25/SBR0_111)</f>
        <v>15.104347438752795</v>
      </c>
      <c r="F25">
        <f>SUMPRODUCT($K$2:$P$2,B25^{6,5,4,3,2,1})+$Q$2</f>
        <v>0.18475088415451557</v>
      </c>
      <c r="G25">
        <f>SUMPRODUCT($K$3:$P$3,B25^{6,5,4,3,2,1})+$Q$3</f>
        <v>0.37990972573080195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446D7-D4BF-4235-93A9-451CFE9747E7}">
  <dimension ref="A3:AM25"/>
  <sheetViews>
    <sheetView topLeftCell="G1" workbookViewId="0">
      <selection activeCell="G6" sqref="G6"/>
    </sheetView>
  </sheetViews>
  <sheetFormatPr defaultRowHeight="15" x14ac:dyDescent="0.25"/>
  <sheetData>
    <row r="3" spans="1:39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66</v>
      </c>
      <c r="AI3" t="s">
        <v>67</v>
      </c>
      <c r="AL3" t="s">
        <v>80</v>
      </c>
    </row>
    <row r="4" spans="1:39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0.20291614843494321</v>
      </c>
      <c r="F4">
        <f>Align!G4</f>
        <v>0.41955125799861193</v>
      </c>
      <c r="G4">
        <f>Lfin_100</f>
        <v>0.70399999999999996</v>
      </c>
      <c r="H4">
        <f t="shared" ref="H4:H25" si="0">G4*Lfin_111/Lfin_100</f>
        <v>0.60699999999999998</v>
      </c>
      <c r="I4">
        <f t="shared" ref="I4:I25" si="1">($G$4/G4)^3</f>
        <v>1</v>
      </c>
      <c r="J4">
        <f t="shared" ref="J4:J25" si="2">rho_100*I4</f>
        <v>6.09</v>
      </c>
      <c r="K4">
        <f t="shared" ref="K4:K25" si="3">0.5*(1-I4^(2/3))</f>
        <v>0</v>
      </c>
      <c r="L4">
        <f t="shared" ref="L4:L25" si="4">2*G4/C4</f>
        <v>6.1431082084309132</v>
      </c>
      <c r="M4">
        <f t="shared" ref="M4:M25" si="5">2*G4/D4</f>
        <v>2.7557757329741848</v>
      </c>
      <c r="N4">
        <f t="shared" ref="N4:N25" si="6">2*H4/E4</f>
        <v>5.9827668195132313</v>
      </c>
      <c r="O4">
        <f t="shared" ref="O4:O25" si="7">2*H4/F4</f>
        <v>2.8935677747485538</v>
      </c>
      <c r="P4">
        <f t="shared" ref="P4:P25" si="8">J4*N4^2</f>
        <v>217.98240779351096</v>
      </c>
      <c r="Q4">
        <f t="shared" ref="Q4:Q25" si="9">J4*O4^2</f>
        <v>50.989952904415482</v>
      </c>
      <c r="R4">
        <f t="shared" ref="R4:R25" si="10">J4*L4^2</f>
        <v>229.82307082439178</v>
      </c>
      <c r="S4">
        <f t="shared" ref="S4:S25" si="11">1.5*P4-0.5*R4-2*T4</f>
        <v>119.56350361239683</v>
      </c>
      <c r="T4">
        <f t="shared" ref="T4:T25" si="12">J4*M4^2</f>
        <v>46.249286332836874</v>
      </c>
      <c r="U4">
        <f t="shared" ref="U4:U25" si="13">-3*$AI$11*((1-2*K4)^2.5)*(1+1.5*(4-$AI$12)*K4)*K4</f>
        <v>0</v>
      </c>
      <c r="V4">
        <f t="shared" ref="V4:V25" si="14">((1-2*K4)^3.5)*($AI$4-$AI$14*K4)+3*U4</f>
        <v>240.96046124790024</v>
      </c>
      <c r="W4">
        <f t="shared" ref="W4:W25" si="15">((1-2*K4)^3.5)*($AI$5-$AI$15*K4)+1*U4</f>
        <v>112.06552577088253</v>
      </c>
      <c r="X4">
        <f t="shared" ref="X4:X25" si="16">((1-2*K4)^3.5)*($AI$6-$AI$16*K4)+1*U4</f>
        <v>46.819046584123754</v>
      </c>
      <c r="Y4">
        <f t="shared" ref="Y4:Y25" si="17">U4-B4</f>
        <v>0</v>
      </c>
      <c r="Z4">
        <f t="shared" ref="Z4:Z25" si="18">V4-R4</f>
        <v>11.137390423508464</v>
      </c>
      <c r="AA4">
        <f t="shared" ref="AA4:AA25" si="19">W4-S4</f>
        <v>-7.4979778415142988</v>
      </c>
      <c r="AB4">
        <f t="shared" ref="AB4:AB25" si="20">X4-T4</f>
        <v>0.56976025128687979</v>
      </c>
      <c r="AC4">
        <f t="shared" ref="AC4:AC25" si="21">IF(AND(A4&gt;=CutoffLowBar,A4&lt;=CutoffOilBar),Y4^2+Z4^2+AA4^2+AB4^2,0)</f>
        <v>0</v>
      </c>
      <c r="AD4">
        <f t="shared" ref="AD4:AD25" si="22">(V4+2*W4)/3</f>
        <v>155.03050426322179</v>
      </c>
      <c r="AE4">
        <f t="shared" ref="AE4:AE25" si="23">(V4-W4+3*X4)/5</f>
        <v>53.870415045877806</v>
      </c>
      <c r="AF4">
        <f t="shared" ref="AF4:AF25" si="24">5*(V4-W4)*X4/(3*(V4-W4)+4*X4)</f>
        <v>52.570976639523671</v>
      </c>
      <c r="AG4">
        <f t="shared" ref="AG4:AG25" si="25">(AE4+AF4)/2</f>
        <v>53.220695842700735</v>
      </c>
      <c r="AH4" t="s">
        <v>68</v>
      </c>
      <c r="AI4">
        <v>240.96046124790024</v>
      </c>
      <c r="AL4" t="s">
        <v>68</v>
      </c>
      <c r="AM4">
        <f>$AI$4</f>
        <v>240.96046124790024</v>
      </c>
    </row>
    <row r="5" spans="1:39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0.20282185216281789</v>
      </c>
      <c r="F5">
        <f>Align!G5</f>
        <v>0.41875595960981177</v>
      </c>
      <c r="G5">
        <v>0.70328571428571429</v>
      </c>
      <c r="H5">
        <f t="shared" si="0"/>
        <v>0.60638413149350656</v>
      </c>
      <c r="I5">
        <f t="shared" si="1"/>
        <v>1.0030500182349524</v>
      </c>
      <c r="J5">
        <f t="shared" si="2"/>
        <v>6.1085746110508605</v>
      </c>
      <c r="K5">
        <f t="shared" si="3"/>
        <v>-1.0161566325762594E-3</v>
      </c>
      <c r="L5">
        <f t="shared" si="4"/>
        <v>6.258501511054912</v>
      </c>
      <c r="M5">
        <f t="shared" si="5"/>
        <v>2.7730246957953448</v>
      </c>
      <c r="N5">
        <f t="shared" si="6"/>
        <v>5.979475337861758</v>
      </c>
      <c r="O5">
        <f t="shared" si="7"/>
        <v>2.896121798760896</v>
      </c>
      <c r="P5">
        <f t="shared" si="8"/>
        <v>218.40674214624084</v>
      </c>
      <c r="Q5">
        <f t="shared" si="9"/>
        <v>51.235800721188021</v>
      </c>
      <c r="R5">
        <f t="shared" si="10"/>
        <v>239.26578867794052</v>
      </c>
      <c r="S5">
        <f t="shared" si="11"/>
        <v>114.03142233630651</v>
      </c>
      <c r="T5">
        <f t="shared" si="12"/>
        <v>46.972898272042251</v>
      </c>
      <c r="U5">
        <f t="shared" si="13"/>
        <v>0.47510554216920359</v>
      </c>
      <c r="V5">
        <f t="shared" si="14"/>
        <v>243.54093604024686</v>
      </c>
      <c r="W5">
        <f t="shared" si="15"/>
        <v>113.71490837272373</v>
      </c>
      <c r="X5">
        <f t="shared" si="16"/>
        <v>46.936369630710246</v>
      </c>
      <c r="Y5">
        <f t="shared" si="17"/>
        <v>0.34597263404992828</v>
      </c>
      <c r="Z5">
        <f t="shared" si="18"/>
        <v>4.2751473623063418</v>
      </c>
      <c r="AA5">
        <f t="shared" si="19"/>
        <v>-0.3165139635827785</v>
      </c>
      <c r="AB5">
        <f t="shared" si="20"/>
        <v>-3.6528641332004952E-2</v>
      </c>
      <c r="AC5">
        <f t="shared" si="21"/>
        <v>0</v>
      </c>
      <c r="AD5">
        <f t="shared" si="22"/>
        <v>156.99025092856479</v>
      </c>
      <c r="AE5">
        <f t="shared" si="23"/>
        <v>54.127027311930775</v>
      </c>
      <c r="AF5">
        <f t="shared" si="24"/>
        <v>52.783382630695272</v>
      </c>
      <c r="AG5">
        <f t="shared" si="25"/>
        <v>53.455204971313023</v>
      </c>
      <c r="AH5" t="s">
        <v>69</v>
      </c>
      <c r="AI5">
        <v>112.06552577088253</v>
      </c>
      <c r="AL5" t="s">
        <v>69</v>
      </c>
      <c r="AM5">
        <f>$AI$5</f>
        <v>112.06552577088253</v>
      </c>
    </row>
    <row r="6" spans="1:39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0.20068313946370661</v>
      </c>
      <c r="F6">
        <f>Align!G6</f>
        <v>0.41032240249009772</v>
      </c>
      <c r="G6">
        <v>0.70257142857142851</v>
      </c>
      <c r="H6">
        <f t="shared" si="0"/>
        <v>0.60576826298701292</v>
      </c>
      <c r="I6">
        <f t="shared" si="1"/>
        <v>1.0061124525725225</v>
      </c>
      <c r="J6">
        <f t="shared" si="2"/>
        <v>6.1272248361666612</v>
      </c>
      <c r="K6">
        <f t="shared" si="3"/>
        <v>-2.0354141387647351E-3</v>
      </c>
      <c r="L6">
        <f t="shared" si="4"/>
        <v>6.3596744792744664</v>
      </c>
      <c r="M6">
        <f t="shared" si="5"/>
        <v>2.7778754271810775</v>
      </c>
      <c r="N6">
        <f t="shared" si="6"/>
        <v>6.0370618538839995</v>
      </c>
      <c r="O6">
        <f t="shared" si="7"/>
        <v>2.9526453311387595</v>
      </c>
      <c r="P6">
        <f t="shared" si="8"/>
        <v>223.31354608080815</v>
      </c>
      <c r="Q6">
        <f t="shared" si="9"/>
        <v>53.417847391746804</v>
      </c>
      <c r="R6">
        <f t="shared" si="10"/>
        <v>247.81842385033514</v>
      </c>
      <c r="S6">
        <f t="shared" si="11"/>
        <v>116.49852025113738</v>
      </c>
      <c r="T6">
        <f t="shared" si="12"/>
        <v>47.281293472453648</v>
      </c>
      <c r="U6">
        <f t="shared" si="13"/>
        <v>0.95669992617220412</v>
      </c>
      <c r="V6">
        <f t="shared" si="14"/>
        <v>246.14512467830087</v>
      </c>
      <c r="W6">
        <f t="shared" si="15"/>
        <v>115.38380793117531</v>
      </c>
      <c r="X6">
        <f t="shared" si="16"/>
        <v>47.050904903455226</v>
      </c>
      <c r="Y6">
        <f t="shared" si="17"/>
        <v>-0.67898357667209785</v>
      </c>
      <c r="Z6">
        <f t="shared" si="18"/>
        <v>-1.6732991720342625</v>
      </c>
      <c r="AA6">
        <f t="shared" si="19"/>
        <v>-1.1147123199620665</v>
      </c>
      <c r="AB6">
        <f t="shared" si="20"/>
        <v>-0.23038856899842131</v>
      </c>
      <c r="AC6">
        <f t="shared" si="21"/>
        <v>0</v>
      </c>
      <c r="AD6">
        <f t="shared" si="22"/>
        <v>158.9709135135505</v>
      </c>
      <c r="AE6">
        <f t="shared" si="23"/>
        <v>54.382806291498241</v>
      </c>
      <c r="AF6">
        <f t="shared" si="24"/>
        <v>52.993712516999409</v>
      </c>
      <c r="AG6">
        <f t="shared" si="25"/>
        <v>53.688259404248825</v>
      </c>
      <c r="AH6" t="s">
        <v>70</v>
      </c>
      <c r="AI6">
        <v>46.819046584123754</v>
      </c>
      <c r="AL6" t="s">
        <v>70</v>
      </c>
      <c r="AM6">
        <f>$AI$6</f>
        <v>46.819046584123754</v>
      </c>
    </row>
    <row r="7" spans="1:39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0.19907985057124322</v>
      </c>
      <c r="F7">
        <f>Align!G7</f>
        <v>0.40614708298662372</v>
      </c>
      <c r="G7">
        <v>0.70185714285714285</v>
      </c>
      <c r="H7">
        <f t="shared" si="0"/>
        <v>0.6051523944805195</v>
      </c>
      <c r="I7">
        <f t="shared" si="1"/>
        <v>1.0091873662568498</v>
      </c>
      <c r="J7">
        <f t="shared" si="2"/>
        <v>6.1459510605042151</v>
      </c>
      <c r="K7">
        <f t="shared" si="3"/>
        <v>-3.057785148123271E-3</v>
      </c>
      <c r="L7">
        <f t="shared" si="4"/>
        <v>6.4171051454499528</v>
      </c>
      <c r="M7">
        <f t="shared" si="5"/>
        <v>2.7750512350021621</v>
      </c>
      <c r="N7">
        <f t="shared" si="6"/>
        <v>6.0794941601983785</v>
      </c>
      <c r="O7">
        <f t="shared" si="7"/>
        <v>2.9799667156563077</v>
      </c>
      <c r="P7">
        <f t="shared" si="8"/>
        <v>227.15588303696245</v>
      </c>
      <c r="Q7">
        <f t="shared" si="9"/>
        <v>54.577284603383816</v>
      </c>
      <c r="R7">
        <f t="shared" si="10"/>
        <v>253.08558420876813</v>
      </c>
      <c r="S7">
        <f t="shared" si="11"/>
        <v>119.53220839344633</v>
      </c>
      <c r="T7">
        <f t="shared" si="12"/>
        <v>47.329412028806644</v>
      </c>
      <c r="U7">
        <f t="shared" si="13"/>
        <v>1.4448605259232232</v>
      </c>
      <c r="V7">
        <f t="shared" si="14"/>
        <v>248.77324537964853</v>
      </c>
      <c r="W7">
        <f t="shared" si="15"/>
        <v>117.07245676694572</v>
      </c>
      <c r="X7">
        <f t="shared" si="16"/>
        <v>47.162579548171401</v>
      </c>
      <c r="Y7">
        <f t="shared" si="17"/>
        <v>-1.0517090310496735</v>
      </c>
      <c r="Z7">
        <f t="shared" si="18"/>
        <v>-4.3123388291195965</v>
      </c>
      <c r="AA7">
        <f t="shared" si="19"/>
        <v>-2.459751626500605</v>
      </c>
      <c r="AB7">
        <f t="shared" si="20"/>
        <v>-0.16683248063524303</v>
      </c>
      <c r="AC7">
        <f t="shared" si="21"/>
        <v>0</v>
      </c>
      <c r="AD7">
        <f t="shared" si="22"/>
        <v>160.97271963784667</v>
      </c>
      <c r="AE7">
        <f t="shared" si="23"/>
        <v>54.637705451443402</v>
      </c>
      <c r="AF7">
        <f t="shared" si="24"/>
        <v>53.201887455269002</v>
      </c>
      <c r="AG7">
        <f t="shared" si="25"/>
        <v>53.919796453356199</v>
      </c>
      <c r="AH7" t="s">
        <v>71</v>
      </c>
      <c r="AI7">
        <v>5.4434469097157949</v>
      </c>
      <c r="AL7" t="s">
        <v>71</v>
      </c>
      <c r="AM7">
        <f>$AI$7</f>
        <v>5.4434469097157949</v>
      </c>
    </row>
    <row r="8" spans="1:39" x14ac:dyDescent="0.25">
      <c r="A8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0.19731088611066464</v>
      </c>
      <c r="F8">
        <f>Align!G8</f>
        <v>0.40204930534036237</v>
      </c>
      <c r="G8">
        <v>0.69912964799919353</v>
      </c>
      <c r="H8">
        <f t="shared" si="0"/>
        <v>0.60280070502203198</v>
      </c>
      <c r="I8">
        <f t="shared" si="1"/>
        <v>1.0210448484150185</v>
      </c>
      <c r="J8">
        <f t="shared" si="2"/>
        <v>6.2181631268474629</v>
      </c>
      <c r="K8">
        <f t="shared" si="3"/>
        <v>-6.9905720623451018E-3</v>
      </c>
      <c r="L8">
        <f t="shared" si="4"/>
        <v>6.4571088989384302</v>
      </c>
      <c r="M8">
        <f t="shared" si="5"/>
        <v>2.7675498363911011</v>
      </c>
      <c r="N8">
        <f t="shared" si="6"/>
        <v>6.1101616530569185</v>
      </c>
      <c r="O8">
        <f t="shared" si="7"/>
        <v>2.9986406991138548</v>
      </c>
      <c r="P8">
        <f t="shared" si="8"/>
        <v>232.14937119192501</v>
      </c>
      <c r="Q8">
        <f t="shared" si="9"/>
        <v>55.912765503029213</v>
      </c>
      <c r="R8">
        <f t="shared" si="10"/>
        <v>259.26168111146842</v>
      </c>
      <c r="S8">
        <f t="shared" si="11"/>
        <v>123.33926338960308</v>
      </c>
      <c r="T8">
        <f t="shared" si="12"/>
        <v>47.626976421275131</v>
      </c>
      <c r="U8">
        <f t="shared" si="13"/>
        <v>3.3707146407968227</v>
      </c>
      <c r="V8">
        <f t="shared" si="14"/>
        <v>259.0328298087606</v>
      </c>
      <c r="W8">
        <f t="shared" si="15"/>
        <v>123.70647202626171</v>
      </c>
      <c r="X8">
        <f t="shared" si="16"/>
        <v>47.561350684811693</v>
      </c>
      <c r="Y8">
        <f t="shared" si="17"/>
        <v>-7.2829575717527906E-2</v>
      </c>
      <c r="Z8">
        <f t="shared" si="18"/>
        <v>-0.22885130270782383</v>
      </c>
      <c r="AA8">
        <f t="shared" si="19"/>
        <v>0.36720863665863135</v>
      </c>
      <c r="AB8">
        <f t="shared" si="20"/>
        <v>-6.56257364634385E-2</v>
      </c>
      <c r="AC8">
        <f t="shared" si="21"/>
        <v>0.19682598597332254</v>
      </c>
      <c r="AD8">
        <f t="shared" si="22"/>
        <v>168.81525795376135</v>
      </c>
      <c r="AE8">
        <f t="shared" si="23"/>
        <v>55.602081967386788</v>
      </c>
      <c r="AF8">
        <f t="shared" si="24"/>
        <v>53.975512726647288</v>
      </c>
      <c r="AG8">
        <f t="shared" si="25"/>
        <v>54.788797347017038</v>
      </c>
      <c r="AH8" t="s">
        <v>72</v>
      </c>
      <c r="AI8">
        <v>3.4747766965273712</v>
      </c>
      <c r="AL8" t="s">
        <v>72</v>
      </c>
      <c r="AM8">
        <f>$AI$8</f>
        <v>3.4747766965273712</v>
      </c>
    </row>
    <row r="9" spans="1:39" x14ac:dyDescent="0.25">
      <c r="A9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0.19557221353453599</v>
      </c>
      <c r="F9">
        <f>Align!G9</f>
        <v>0.3982834977610536</v>
      </c>
      <c r="G9">
        <v>0.6977302385651315</v>
      </c>
      <c r="H9">
        <f t="shared" si="0"/>
        <v>0.60159411194465173</v>
      </c>
      <c r="I9">
        <f t="shared" si="1"/>
        <v>1.02720078420573</v>
      </c>
      <c r="J9">
        <f t="shared" si="2"/>
        <v>6.2556527758128952</v>
      </c>
      <c r="K9">
        <f t="shared" si="3"/>
        <v>-9.0263126549390282E-3</v>
      </c>
      <c r="L9">
        <f t="shared" si="4"/>
        <v>6.4981992505770014</v>
      </c>
      <c r="M9">
        <f t="shared" si="5"/>
        <v>2.762010183822559</v>
      </c>
      <c r="N9">
        <f t="shared" si="6"/>
        <v>6.1521429969234003</v>
      </c>
      <c r="O9">
        <f t="shared" si="7"/>
        <v>3.0209341603481268</v>
      </c>
      <c r="P9">
        <f t="shared" si="8"/>
        <v>236.7693477310919</v>
      </c>
      <c r="Q9">
        <f t="shared" si="9"/>
        <v>57.08935748351395</v>
      </c>
      <c r="R9">
        <f t="shared" si="10"/>
        <v>264.1549068426458</v>
      </c>
      <c r="S9">
        <f t="shared" si="11"/>
        <v>127.63156831649418</v>
      </c>
      <c r="T9">
        <f t="shared" si="12"/>
        <v>47.722499929410382</v>
      </c>
      <c r="U9">
        <f t="shared" si="13"/>
        <v>4.3978860346733946</v>
      </c>
      <c r="V9">
        <f t="shared" si="14"/>
        <v>264.43753752979637</v>
      </c>
      <c r="W9">
        <f t="shared" si="15"/>
        <v>127.22770945893875</v>
      </c>
      <c r="X9">
        <f t="shared" si="16"/>
        <v>47.747939681820739</v>
      </c>
      <c r="Y9">
        <f t="shared" si="17"/>
        <v>-3.5677144088881896E-2</v>
      </c>
      <c r="Z9">
        <f t="shared" si="18"/>
        <v>0.28263068715057216</v>
      </c>
      <c r="AA9">
        <f t="shared" si="19"/>
        <v>-0.40385885755543427</v>
      </c>
      <c r="AB9">
        <f t="shared" si="20"/>
        <v>2.5439752410356675E-2</v>
      </c>
      <c r="AC9">
        <f t="shared" si="21"/>
        <v>0.24490212175822423</v>
      </c>
      <c r="AD9">
        <f t="shared" si="22"/>
        <v>172.96431881589129</v>
      </c>
      <c r="AE9">
        <f t="shared" si="23"/>
        <v>56.090729423263966</v>
      </c>
      <c r="AF9">
        <f t="shared" si="24"/>
        <v>54.358244678856842</v>
      </c>
      <c r="AG9">
        <f t="shared" si="25"/>
        <v>55.224487051060407</v>
      </c>
      <c r="AH9" t="s">
        <v>73</v>
      </c>
      <c r="AI9">
        <v>0.25152855951518088</v>
      </c>
      <c r="AL9" t="s">
        <v>73</v>
      </c>
      <c r="AM9">
        <f>$AI$9</f>
        <v>0.25152855951518088</v>
      </c>
    </row>
    <row r="10" spans="1:39" x14ac:dyDescent="0.25">
      <c r="A10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0.19444588691824252</v>
      </c>
      <c r="F10">
        <f>Align!G10</f>
        <v>0.39595434052709966</v>
      </c>
      <c r="G10">
        <v>0.69674367719371333</v>
      </c>
      <c r="H10">
        <f t="shared" si="0"/>
        <v>0.60074348303492042</v>
      </c>
      <c r="I10">
        <f t="shared" si="1"/>
        <v>1.031570392086905</v>
      </c>
      <c r="J10">
        <f t="shared" si="2"/>
        <v>6.2822636878092517</v>
      </c>
      <c r="K10">
        <f t="shared" si="3"/>
        <v>-1.0468855303118474E-2</v>
      </c>
      <c r="L10">
        <f t="shared" si="4"/>
        <v>6.5315927313841771</v>
      </c>
      <c r="M10">
        <f t="shared" si="5"/>
        <v>2.758104816956954</v>
      </c>
      <c r="N10">
        <f t="shared" si="6"/>
        <v>6.1790299867593639</v>
      </c>
      <c r="O10">
        <f t="shared" si="7"/>
        <v>3.0344078675091817</v>
      </c>
      <c r="P10">
        <f t="shared" si="8"/>
        <v>239.85941323750421</v>
      </c>
      <c r="Q10">
        <f t="shared" si="9"/>
        <v>57.844766550489815</v>
      </c>
      <c r="R10">
        <f t="shared" si="10"/>
        <v>268.0120714408323</v>
      </c>
      <c r="S10">
        <f t="shared" si="11"/>
        <v>130.20293794840831</v>
      </c>
      <c r="T10">
        <f t="shared" si="12"/>
        <v>47.790073093715939</v>
      </c>
      <c r="U10">
        <f t="shared" si="13"/>
        <v>5.1384035514777189</v>
      </c>
      <c r="V10">
        <f t="shared" si="14"/>
        <v>268.30641457459046</v>
      </c>
      <c r="W10">
        <f t="shared" si="15"/>
        <v>129.7593864013993</v>
      </c>
      <c r="X10">
        <f t="shared" si="16"/>
        <v>47.87169660674418</v>
      </c>
      <c r="Y10">
        <f t="shared" si="17"/>
        <v>1.6131529412595214E-2</v>
      </c>
      <c r="Z10">
        <f t="shared" si="18"/>
        <v>0.29434313375816146</v>
      </c>
      <c r="AA10">
        <f t="shared" si="19"/>
        <v>-0.44355154700900812</v>
      </c>
      <c r="AB10">
        <f t="shared" si="20"/>
        <v>8.1623513028240779E-2</v>
      </c>
      <c r="AC10">
        <f t="shared" si="21"/>
        <v>0.29029847936492009</v>
      </c>
      <c r="AD10">
        <f t="shared" si="22"/>
        <v>175.94172912579634</v>
      </c>
      <c r="AE10">
        <f t="shared" si="23"/>
        <v>56.432423598684736</v>
      </c>
      <c r="AF10">
        <f t="shared" si="24"/>
        <v>54.621782460197323</v>
      </c>
      <c r="AG10">
        <f t="shared" si="25"/>
        <v>55.527103029441029</v>
      </c>
      <c r="AL10" t="s">
        <v>74</v>
      </c>
      <c r="AM10">
        <f>$AI$11</f>
        <v>155.03050426322179</v>
      </c>
    </row>
    <row r="11" spans="1:39" x14ac:dyDescent="0.25">
      <c r="A11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0.19344570800055366</v>
      </c>
      <c r="F11">
        <f>Align!G11</f>
        <v>0.39397038293851272</v>
      </c>
      <c r="G11">
        <v>0.6957961463850123</v>
      </c>
      <c r="H11">
        <f t="shared" si="0"/>
        <v>0.59992650689730465</v>
      </c>
      <c r="I11">
        <f t="shared" si="1"/>
        <v>1.035790491961941</v>
      </c>
      <c r="J11">
        <f t="shared" si="2"/>
        <v>6.3079640960482202</v>
      </c>
      <c r="K11">
        <f t="shared" si="3"/>
        <v>-1.1860108500962085E-2</v>
      </c>
      <c r="L11">
        <f t="shared" si="4"/>
        <v>6.5719972635303945</v>
      </c>
      <c r="M11">
        <f t="shared" si="5"/>
        <v>2.7598164107892327</v>
      </c>
      <c r="N11">
        <f t="shared" si="6"/>
        <v>6.202531067741111</v>
      </c>
      <c r="O11">
        <f t="shared" si="7"/>
        <v>3.04554115171107</v>
      </c>
      <c r="P11">
        <f t="shared" si="8"/>
        <v>242.67615722983001</v>
      </c>
      <c r="Q11">
        <f t="shared" si="9"/>
        <v>58.508391259202774</v>
      </c>
      <c r="R11">
        <f t="shared" si="10"/>
        <v>272.44821105201981</v>
      </c>
      <c r="S11">
        <f t="shared" si="11"/>
        <v>131.69982043601681</v>
      </c>
      <c r="T11">
        <f t="shared" si="12"/>
        <v>48.045154941359165</v>
      </c>
      <c r="U11">
        <f t="shared" si="13"/>
        <v>5.8626130189968055</v>
      </c>
      <c r="V11">
        <f t="shared" si="14"/>
        <v>272.06854343912482</v>
      </c>
      <c r="W11">
        <f t="shared" si="15"/>
        <v>132.22997166232028</v>
      </c>
      <c r="X11">
        <f t="shared" si="16"/>
        <v>47.984261885364688</v>
      </c>
      <c r="Y11">
        <f t="shared" si="17"/>
        <v>9.4676456335221815E-2</v>
      </c>
      <c r="Z11">
        <f t="shared" si="18"/>
        <v>-0.37966761289499118</v>
      </c>
      <c r="AA11">
        <f t="shared" si="19"/>
        <v>0.53015122630347378</v>
      </c>
      <c r="AB11">
        <f t="shared" si="20"/>
        <v>-6.0893055994476697E-2</v>
      </c>
      <c r="AC11">
        <f t="shared" si="21"/>
        <v>0.43787941468499958</v>
      </c>
      <c r="AD11">
        <f t="shared" si="22"/>
        <v>178.84282892125512</v>
      </c>
      <c r="AE11">
        <f t="shared" si="23"/>
        <v>56.758271486579723</v>
      </c>
      <c r="AF11">
        <f t="shared" si="24"/>
        <v>54.869738573898815</v>
      </c>
      <c r="AG11">
        <f t="shared" si="25"/>
        <v>55.814005030239272</v>
      </c>
      <c r="AH11" t="s">
        <v>74</v>
      </c>
      <c r="AI11">
        <f>($AI$4+2*$AI$5)/3</f>
        <v>155.03050426322179</v>
      </c>
      <c r="AL11" t="s">
        <v>75</v>
      </c>
      <c r="AM11">
        <f>$AI$12</f>
        <v>4.1310001009235124</v>
      </c>
    </row>
    <row r="12" spans="1:39" x14ac:dyDescent="0.25">
      <c r="A1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0.19224001764408633</v>
      </c>
      <c r="F12">
        <f>Align!G12</f>
        <v>0.39170885995096172</v>
      </c>
      <c r="G12">
        <v>0.69487975629139098</v>
      </c>
      <c r="H12">
        <f t="shared" si="0"/>
        <v>0.59913638077965103</v>
      </c>
      <c r="I12">
        <f t="shared" si="1"/>
        <v>1.0398938225880707</v>
      </c>
      <c r="J12">
        <f t="shared" si="2"/>
        <v>6.3329533795613502</v>
      </c>
      <c r="K12">
        <f t="shared" si="3"/>
        <v>-1.3211055404063643E-2</v>
      </c>
      <c r="L12">
        <f t="shared" si="4"/>
        <v>6.5944851084794465</v>
      </c>
      <c r="M12">
        <f t="shared" si="5"/>
        <v>2.7561816271932034</v>
      </c>
      <c r="N12">
        <f t="shared" si="6"/>
        <v>6.2332118787971993</v>
      </c>
      <c r="O12">
        <f t="shared" si="7"/>
        <v>3.0590902684951131</v>
      </c>
      <c r="P12">
        <f t="shared" si="8"/>
        <v>246.05379641376729</v>
      </c>
      <c r="Q12">
        <f t="shared" si="9"/>
        <v>59.263988428369935</v>
      </c>
      <c r="R12">
        <f t="shared" si="10"/>
        <v>275.40262455252923</v>
      </c>
      <c r="S12">
        <f t="shared" si="11"/>
        <v>135.16235095730374</v>
      </c>
      <c r="T12">
        <f t="shared" si="12"/>
        <v>48.108515693541293</v>
      </c>
      <c r="U12">
        <f t="shared" si="13"/>
        <v>6.5753198267746571</v>
      </c>
      <c r="V12">
        <f t="shared" si="14"/>
        <v>275.75072603136925</v>
      </c>
      <c r="W12">
        <f t="shared" si="15"/>
        <v>134.65635432292942</v>
      </c>
      <c r="X12">
        <f t="shared" si="16"/>
        <v>48.087068142374882</v>
      </c>
      <c r="Y12">
        <f t="shared" si="17"/>
        <v>-1.0458487309105813E-2</v>
      </c>
      <c r="Z12">
        <f t="shared" si="18"/>
        <v>0.34810147884002163</v>
      </c>
      <c r="AA12">
        <f t="shared" si="19"/>
        <v>-0.50599663437432696</v>
      </c>
      <c r="AB12">
        <f t="shared" si="20"/>
        <v>-2.1447551166410506E-2</v>
      </c>
      <c r="AC12">
        <f t="shared" si="21"/>
        <v>0.37777661097658688</v>
      </c>
      <c r="AD12">
        <f t="shared" si="22"/>
        <v>181.68781155907604</v>
      </c>
      <c r="AE12">
        <f t="shared" si="23"/>
        <v>57.071115227112898</v>
      </c>
      <c r="AF12">
        <f t="shared" si="24"/>
        <v>55.104521979089604</v>
      </c>
      <c r="AG12">
        <f t="shared" si="25"/>
        <v>56.087818603101255</v>
      </c>
      <c r="AH12" t="s">
        <v>75</v>
      </c>
      <c r="AI12">
        <f>($AI$7+2*$AI$8)/3</f>
        <v>4.1310001009235124</v>
      </c>
      <c r="AL12" t="s">
        <v>81</v>
      </c>
      <c r="AM12">
        <f>AE4</f>
        <v>53.870415045877806</v>
      </c>
    </row>
    <row r="13" spans="1:39" x14ac:dyDescent="0.25">
      <c r="A13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0.19126401652995695</v>
      </c>
      <c r="F13">
        <f>Align!G13</f>
        <v>0.3899965242098074</v>
      </c>
      <c r="G13">
        <v>0.69386481379640996</v>
      </c>
      <c r="H13">
        <f t="shared" si="0"/>
        <v>0.59826128121366595</v>
      </c>
      <c r="I13">
        <f t="shared" si="1"/>
        <v>1.0444637776445331</v>
      </c>
      <c r="J13">
        <f t="shared" si="2"/>
        <v>6.360784405855207</v>
      </c>
      <c r="K13">
        <f t="shared" si="3"/>
        <v>-1.4713540193479369E-2</v>
      </c>
      <c r="L13">
        <f t="shared" si="4"/>
        <v>6.6352284293627886</v>
      </c>
      <c r="M13">
        <f t="shared" si="5"/>
        <v>2.7499744357744018</v>
      </c>
      <c r="N13">
        <f t="shared" si="6"/>
        <v>6.2558686371616856</v>
      </c>
      <c r="O13">
        <f t="shared" si="7"/>
        <v>3.0680339135115875</v>
      </c>
      <c r="P13">
        <f t="shared" si="8"/>
        <v>248.93497412164317</v>
      </c>
      <c r="Q13">
        <f t="shared" si="9"/>
        <v>59.872995601356941</v>
      </c>
      <c r="R13">
        <f t="shared" si="10"/>
        <v>280.04152458371402</v>
      </c>
      <c r="S13">
        <f t="shared" si="11"/>
        <v>137.1766234375367</v>
      </c>
      <c r="T13">
        <f t="shared" si="12"/>
        <v>48.102537726535537</v>
      </c>
      <c r="U13">
        <f t="shared" si="13"/>
        <v>7.379014985158574</v>
      </c>
      <c r="V13">
        <f t="shared" si="14"/>
        <v>279.87967482085008</v>
      </c>
      <c r="W13">
        <f t="shared" si="15"/>
        <v>137.38681913038585</v>
      </c>
      <c r="X13">
        <f t="shared" si="16"/>
        <v>48.193748905652704</v>
      </c>
      <c r="Y13">
        <f t="shared" si="17"/>
        <v>0.10452782777196301</v>
      </c>
      <c r="Z13">
        <f t="shared" si="18"/>
        <v>-0.16184976286393749</v>
      </c>
      <c r="AA13">
        <f t="shared" si="19"/>
        <v>0.21019569284914041</v>
      </c>
      <c r="AB13">
        <f t="shared" si="20"/>
        <v>9.1211179117166807E-2</v>
      </c>
      <c r="AC13">
        <f t="shared" si="21"/>
        <v>8.9623121006112028E-2</v>
      </c>
      <c r="AD13">
        <f t="shared" si="22"/>
        <v>184.88443769387391</v>
      </c>
      <c r="AE13">
        <f t="shared" si="23"/>
        <v>57.414820481484469</v>
      </c>
      <c r="AF13">
        <f t="shared" si="24"/>
        <v>55.358528519920341</v>
      </c>
      <c r="AG13">
        <f t="shared" si="25"/>
        <v>56.386674500702405</v>
      </c>
      <c r="AL13" t="s">
        <v>82</v>
      </c>
      <c r="AM13">
        <f>AF4</f>
        <v>52.570976639523671</v>
      </c>
    </row>
    <row r="14" spans="1:39" x14ac:dyDescent="0.25">
      <c r="A14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0.19049120618688217</v>
      </c>
      <c r="F14">
        <f>Align!G14</f>
        <v>0.38871581605483574</v>
      </c>
      <c r="G14">
        <v>0.69319394972072779</v>
      </c>
      <c r="H14">
        <f t="shared" si="0"/>
        <v>0.59768285153477529</v>
      </c>
      <c r="I14">
        <f t="shared" si="1"/>
        <v>1.0474991686816004</v>
      </c>
      <c r="J14">
        <f t="shared" si="2"/>
        <v>6.379269937270946</v>
      </c>
      <c r="K14">
        <f t="shared" si="3"/>
        <v>-1.5710288400268113E-2</v>
      </c>
      <c r="L14">
        <f t="shared" si="4"/>
        <v>6.6606601330585606</v>
      </c>
      <c r="M14">
        <f t="shared" si="5"/>
        <v>2.7516778777795947</v>
      </c>
      <c r="N14">
        <f t="shared" si="6"/>
        <v>6.2751752534803744</v>
      </c>
      <c r="O14">
        <f t="shared" si="7"/>
        <v>3.0751661077277124</v>
      </c>
      <c r="P14">
        <f t="shared" si="8"/>
        <v>251.20177178488316</v>
      </c>
      <c r="Q14">
        <f t="shared" si="9"/>
        <v>60.326501299730502</v>
      </c>
      <c r="R14">
        <f t="shared" si="10"/>
        <v>283.0124411536537</v>
      </c>
      <c r="S14">
        <f t="shared" si="11"/>
        <v>138.69220339243566</v>
      </c>
      <c r="T14">
        <f t="shared" si="12"/>
        <v>48.302116854031134</v>
      </c>
      <c r="U14">
        <f t="shared" si="13"/>
        <v>7.9186415495851525</v>
      </c>
      <c r="V14">
        <f t="shared" si="14"/>
        <v>282.638477605113</v>
      </c>
      <c r="W14">
        <f t="shared" si="15"/>
        <v>139.21687385011421</v>
      </c>
      <c r="X14">
        <f t="shared" si="16"/>
        <v>48.259998545297087</v>
      </c>
      <c r="Y14">
        <f t="shared" si="17"/>
        <v>8.4578457014913511E-2</v>
      </c>
      <c r="Z14">
        <f t="shared" si="18"/>
        <v>-0.37396354854070069</v>
      </c>
      <c r="AA14">
        <f t="shared" si="19"/>
        <v>0.52467045767855325</v>
      </c>
      <c r="AB14">
        <f t="shared" si="20"/>
        <v>-4.211830873404665E-2</v>
      </c>
      <c r="AC14">
        <f t="shared" si="21"/>
        <v>0.42405529211941562</v>
      </c>
      <c r="AD14">
        <f t="shared" si="22"/>
        <v>187.02407510178045</v>
      </c>
      <c r="AE14">
        <f t="shared" si="23"/>
        <v>57.640319878178005</v>
      </c>
      <c r="AF14">
        <f t="shared" si="24"/>
        <v>55.522806242651477</v>
      </c>
      <c r="AG14">
        <f t="shared" si="25"/>
        <v>56.581563060414737</v>
      </c>
      <c r="AH14" t="s">
        <v>76</v>
      </c>
      <c r="AI14">
        <f>3*$AI$11*($AI$7-3)-7*$AI$4</f>
        <v>-550.29680907434999</v>
      </c>
      <c r="AL14" t="s">
        <v>83</v>
      </c>
      <c r="AM14">
        <f>AG4</f>
        <v>53.220695842700735</v>
      </c>
    </row>
    <row r="15" spans="1:39" x14ac:dyDescent="0.25">
      <c r="A15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0.18956204408307292</v>
      </c>
      <c r="F15">
        <f>Align!G15</f>
        <v>0.38725209804704125</v>
      </c>
      <c r="G15">
        <v>0.69245737544822772</v>
      </c>
      <c r="H15">
        <f t="shared" si="0"/>
        <v>0.59704776547879856</v>
      </c>
      <c r="I15">
        <f t="shared" si="1"/>
        <v>1.0508454336247297</v>
      </c>
      <c r="J15">
        <f t="shared" si="2"/>
        <v>6.3996486907746037</v>
      </c>
      <c r="K15">
        <f t="shared" si="3"/>
        <v>-1.6808004949953936E-2</v>
      </c>
      <c r="L15">
        <f t="shared" si="4"/>
        <v>6.6792541004691826</v>
      </c>
      <c r="M15">
        <f t="shared" si="5"/>
        <v>2.7476632963440317</v>
      </c>
      <c r="N15">
        <f t="shared" si="6"/>
        <v>6.299233249638843</v>
      </c>
      <c r="O15">
        <f t="shared" si="7"/>
        <v>3.083509519973072</v>
      </c>
      <c r="P15">
        <f t="shared" si="8"/>
        <v>253.94023294413051</v>
      </c>
      <c r="Q15">
        <f t="shared" si="9"/>
        <v>60.848057883501696</v>
      </c>
      <c r="R15">
        <f t="shared" si="10"/>
        <v>285.50391340715822</v>
      </c>
      <c r="S15">
        <f t="shared" si="11"/>
        <v>141.52813128555147</v>
      </c>
      <c r="T15">
        <f t="shared" si="12"/>
        <v>48.315130713532618</v>
      </c>
      <c r="U15">
        <f t="shared" si="13"/>
        <v>8.5189224408829229</v>
      </c>
      <c r="V15">
        <f t="shared" si="14"/>
        <v>285.69493613672478</v>
      </c>
      <c r="W15">
        <f t="shared" si="15"/>
        <v>141.24964160840869</v>
      </c>
      <c r="X15">
        <f t="shared" si="16"/>
        <v>48.32872192508416</v>
      </c>
      <c r="Y15">
        <f t="shared" si="17"/>
        <v>-3.8494949901632936E-3</v>
      </c>
      <c r="Z15">
        <f t="shared" si="18"/>
        <v>0.19102272956655497</v>
      </c>
      <c r="AA15">
        <f t="shared" si="19"/>
        <v>-0.27848967714277251</v>
      </c>
      <c r="AB15">
        <f t="shared" si="20"/>
        <v>1.3591211551542415E-2</v>
      </c>
      <c r="AC15">
        <f t="shared" si="21"/>
        <v>0.11424572312926093</v>
      </c>
      <c r="AD15">
        <f t="shared" si="22"/>
        <v>189.39807311784739</v>
      </c>
      <c r="AE15">
        <f t="shared" si="23"/>
        <v>57.886292060713707</v>
      </c>
      <c r="AF15">
        <f t="shared" si="24"/>
        <v>55.699735742189077</v>
      </c>
      <c r="AG15">
        <f t="shared" si="25"/>
        <v>56.793013901451388</v>
      </c>
      <c r="AH15" t="s">
        <v>77</v>
      </c>
      <c r="AI15">
        <f>3*$AI$11*($AI$8-1)-7*$AI$5</f>
        <v>366.53895720834794</v>
      </c>
      <c r="AL15" t="s">
        <v>84</v>
      </c>
      <c r="AM15">
        <f>$AI$18</f>
        <v>2.4080153756449287</v>
      </c>
    </row>
    <row r="16" spans="1:39" x14ac:dyDescent="0.25">
      <c r="A16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0.18876987732243708</v>
      </c>
      <c r="F16">
        <f>Align!G16</f>
        <v>0.38605195687015897</v>
      </c>
      <c r="G16">
        <v>0.69171401424916967</v>
      </c>
      <c r="H16">
        <f t="shared" si="0"/>
        <v>0.59640682762676989</v>
      </c>
      <c r="I16">
        <f t="shared" si="1"/>
        <v>1.0542369978670749</v>
      </c>
      <c r="J16">
        <f t="shared" si="2"/>
        <v>6.420303317010486</v>
      </c>
      <c r="K16">
        <f t="shared" si="3"/>
        <v>-1.791939329874126E-2</v>
      </c>
      <c r="L16">
        <f t="shared" si="4"/>
        <v>6.704418333102419</v>
      </c>
      <c r="M16">
        <f t="shared" si="5"/>
        <v>2.7425371757252712</v>
      </c>
      <c r="N16">
        <f t="shared" si="6"/>
        <v>6.3188771014355192</v>
      </c>
      <c r="O16">
        <f t="shared" si="7"/>
        <v>3.0897749228472873</v>
      </c>
      <c r="P16">
        <f t="shared" si="8"/>
        <v>256.35120512858725</v>
      </c>
      <c r="Q16">
        <f t="shared" si="9"/>
        <v>61.292767933411518</v>
      </c>
      <c r="R16">
        <f t="shared" si="10"/>
        <v>288.58765955384649</v>
      </c>
      <c r="S16">
        <f t="shared" si="11"/>
        <v>143.65222465458606</v>
      </c>
      <c r="T16">
        <f t="shared" si="12"/>
        <v>48.290376630685785</v>
      </c>
      <c r="U16">
        <f t="shared" si="13"/>
        <v>9.1331097031678237</v>
      </c>
      <c r="V16">
        <f t="shared" si="14"/>
        <v>288.80894125813268</v>
      </c>
      <c r="W16">
        <f t="shared" si="15"/>
        <v>143.3263375157542</v>
      </c>
      <c r="X16">
        <f t="shared" si="16"/>
        <v>48.39371578929714</v>
      </c>
      <c r="Y16">
        <f t="shared" si="17"/>
        <v>7.7175294046938347E-3</v>
      </c>
      <c r="Z16">
        <f t="shared" si="18"/>
        <v>0.22128170428618432</v>
      </c>
      <c r="AA16">
        <f t="shared" si="19"/>
        <v>-0.3258871388318596</v>
      </c>
      <c r="AB16">
        <f t="shared" si="20"/>
        <v>0.10333915861135523</v>
      </c>
      <c r="AC16">
        <f t="shared" si="21"/>
        <v>0.16590656187042921</v>
      </c>
      <c r="AD16">
        <f t="shared" si="22"/>
        <v>191.8205387632137</v>
      </c>
      <c r="AE16">
        <f t="shared" si="23"/>
        <v>58.132750222053986</v>
      </c>
      <c r="AF16">
        <f t="shared" si="24"/>
        <v>55.874526934095833</v>
      </c>
      <c r="AG16">
        <f t="shared" si="25"/>
        <v>57.003638578074913</v>
      </c>
      <c r="AH16" t="s">
        <v>78</v>
      </c>
      <c r="AI16">
        <f>3*$AI$11*($AI$9-1)-7*$AI$6</f>
        <v>-675.84104062381084</v>
      </c>
    </row>
    <row r="17" spans="1:35" x14ac:dyDescent="0.25">
      <c r="A17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0.18821761319213962</v>
      </c>
      <c r="F17">
        <f>Align!G17</f>
        <v>0.38522940940047751</v>
      </c>
      <c r="G17">
        <v>0.69120069527043237</v>
      </c>
      <c r="H17">
        <f t="shared" si="0"/>
        <v>0.59596423583686431</v>
      </c>
      <c r="I17">
        <f t="shared" si="1"/>
        <v>1.0565875243655372</v>
      </c>
      <c r="J17">
        <f t="shared" si="2"/>
        <v>6.434618023386121</v>
      </c>
      <c r="K17">
        <f t="shared" si="3"/>
        <v>-1.8688942795116681E-2</v>
      </c>
      <c r="L17">
        <f t="shared" si="4"/>
        <v>6.7255177590979249</v>
      </c>
      <c r="M17">
        <f t="shared" si="5"/>
        <v>2.7437655262971945</v>
      </c>
      <c r="N17">
        <f t="shared" si="6"/>
        <v>6.3327148371441906</v>
      </c>
      <c r="O17">
        <f t="shared" si="7"/>
        <v>3.0940744465192722</v>
      </c>
      <c r="P17">
        <f t="shared" si="8"/>
        <v>258.04927032321842</v>
      </c>
      <c r="Q17">
        <f t="shared" si="9"/>
        <v>61.600507364234069</v>
      </c>
      <c r="R17">
        <f t="shared" si="10"/>
        <v>291.05443324707193</v>
      </c>
      <c r="S17">
        <f t="shared" si="11"/>
        <v>144.66387207298433</v>
      </c>
      <c r="T17">
        <f t="shared" si="12"/>
        <v>48.441408394153655</v>
      </c>
      <c r="U17">
        <f t="shared" si="13"/>
        <v>9.5621947856432765</v>
      </c>
      <c r="V17">
        <f t="shared" si="14"/>
        <v>290.9766571041049</v>
      </c>
      <c r="W17">
        <f t="shared" si="15"/>
        <v>144.77531476868475</v>
      </c>
      <c r="X17">
        <f t="shared" si="16"/>
        <v>48.435982150488066</v>
      </c>
      <c r="Y17">
        <f t="shared" si="17"/>
        <v>6.3595848158204404E-3</v>
      </c>
      <c r="Z17">
        <f t="shared" si="18"/>
        <v>-7.7776142967024953E-2</v>
      </c>
      <c r="AA17">
        <f t="shared" si="19"/>
        <v>0.11144269570041843</v>
      </c>
      <c r="AB17">
        <f t="shared" si="20"/>
        <v>-5.4262436655889701E-3</v>
      </c>
      <c r="AC17">
        <f t="shared" si="21"/>
        <v>1.8538491279151123E-2</v>
      </c>
      <c r="AD17">
        <f t="shared" si="22"/>
        <v>193.50909554715813</v>
      </c>
      <c r="AE17">
        <f t="shared" si="23"/>
        <v>58.301857757376865</v>
      </c>
      <c r="AF17">
        <f t="shared" si="24"/>
        <v>55.992950913589027</v>
      </c>
      <c r="AG17">
        <f t="shared" si="25"/>
        <v>57.147404335482946</v>
      </c>
    </row>
    <row r="18" spans="1:35" x14ac:dyDescent="0.25">
      <c r="A18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0.18751881685054153</v>
      </c>
      <c r="F18">
        <f>Align!G18</f>
        <v>0.38419063426876759</v>
      </c>
      <c r="G18">
        <v>0.69060923051786283</v>
      </c>
      <c r="H18">
        <f t="shared" si="0"/>
        <v>0.59545426551753233</v>
      </c>
      <c r="I18">
        <f t="shared" si="1"/>
        <v>1.0593045586389456</v>
      </c>
      <c r="J18">
        <f t="shared" si="2"/>
        <v>6.4511647621111781</v>
      </c>
      <c r="K18">
        <f t="shared" si="3"/>
        <v>-1.9577774237007461E-2</v>
      </c>
      <c r="L18">
        <f t="shared" si="4"/>
        <v>6.7460187234208826</v>
      </c>
      <c r="M18">
        <f t="shared" si="5"/>
        <v>2.7446862314483029</v>
      </c>
      <c r="N18">
        <f t="shared" si="6"/>
        <v>6.3508748137220632</v>
      </c>
      <c r="O18">
        <f t="shared" si="7"/>
        <v>3.0997854315260138</v>
      </c>
      <c r="P18">
        <f t="shared" si="8"/>
        <v>260.19876936400448</v>
      </c>
      <c r="Q18">
        <f t="shared" si="9"/>
        <v>61.987111518111327</v>
      </c>
      <c r="R18">
        <f t="shared" si="10"/>
        <v>293.58456446741712</v>
      </c>
      <c r="S18">
        <f t="shared" si="11"/>
        <v>146.30872043421454</v>
      </c>
      <c r="T18">
        <f t="shared" si="12"/>
        <v>48.598575689041816</v>
      </c>
      <c r="U18">
        <f t="shared" si="13"/>
        <v>10.0616839940049</v>
      </c>
      <c r="V18">
        <f t="shared" si="14"/>
        <v>293.49212117062257</v>
      </c>
      <c r="W18">
        <f t="shared" si="15"/>
        <v>146.46016979265872</v>
      </c>
      <c r="X18">
        <f t="shared" si="16"/>
        <v>48.481981107697059</v>
      </c>
      <c r="Y18">
        <f t="shared" si="17"/>
        <v>-5.3727142006128048E-2</v>
      </c>
      <c r="Z18">
        <f t="shared" si="18"/>
        <v>-9.2443296794556318E-2</v>
      </c>
      <c r="AA18">
        <f t="shared" si="19"/>
        <v>0.15144935844418228</v>
      </c>
      <c r="AB18">
        <f t="shared" si="20"/>
        <v>-0.11659458134475642</v>
      </c>
      <c r="AC18">
        <f t="shared" si="21"/>
        <v>4.7963573482506502E-2</v>
      </c>
      <c r="AD18">
        <f t="shared" si="22"/>
        <v>195.47082025197997</v>
      </c>
      <c r="AE18">
        <f t="shared" si="23"/>
        <v>58.495578940210997</v>
      </c>
      <c r="AF18">
        <f t="shared" si="24"/>
        <v>56.127034369061974</v>
      </c>
      <c r="AG18">
        <f t="shared" si="25"/>
        <v>57.311306654636482</v>
      </c>
      <c r="AH18" t="s">
        <v>79</v>
      </c>
      <c r="AI18">
        <f>SUM(AC4:AC25)</f>
        <v>2.4080153756449287</v>
      </c>
    </row>
    <row r="19" spans="1:35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0.18689416907287151</v>
      </c>
      <c r="F19">
        <f>Align!G19</f>
        <v>0.3832512269076177</v>
      </c>
      <c r="G19">
        <v>0.69328571428571428</v>
      </c>
      <c r="H19">
        <f t="shared" si="0"/>
        <v>0.59776197240259743</v>
      </c>
      <c r="I19">
        <f t="shared" si="1"/>
        <v>1.0470832770179086</v>
      </c>
      <c r="J19">
        <f t="shared" si="2"/>
        <v>6.376737157039063</v>
      </c>
      <c r="K19">
        <f t="shared" si="3"/>
        <v>-1.5573776721581889E-2</v>
      </c>
      <c r="L19">
        <f t="shared" si="4"/>
        <v>6.7987277604700846</v>
      </c>
      <c r="M19">
        <f t="shared" si="5"/>
        <v>2.7487687189505321</v>
      </c>
      <c r="N19">
        <f t="shared" si="6"/>
        <v>6.3967963834069677</v>
      </c>
      <c r="O19">
        <f t="shared" si="7"/>
        <v>3.1194262689036991</v>
      </c>
      <c r="P19">
        <f t="shared" si="8"/>
        <v>260.92973304942819</v>
      </c>
      <c r="Q19">
        <f t="shared" si="9"/>
        <v>62.050883038319299</v>
      </c>
      <c r="R19">
        <f t="shared" si="10"/>
        <v>294.75000323850139</v>
      </c>
      <c r="S19">
        <f t="shared" si="11"/>
        <v>147.65779623154035</v>
      </c>
      <c r="T19">
        <f t="shared" si="12"/>
        <v>48.18090086167561</v>
      </c>
      <c r="U19">
        <f t="shared" si="13"/>
        <v>7.8444304633671544</v>
      </c>
      <c r="V19">
        <f t="shared" si="14"/>
        <v>282.25971170189524</v>
      </c>
      <c r="W19">
        <f t="shared" si="15"/>
        <v>138.96535155175886</v>
      </c>
      <c r="X19">
        <f t="shared" si="16"/>
        <v>48.251140500305041</v>
      </c>
      <c r="Y19">
        <f t="shared" si="17"/>
        <v>-2.7875123051210027</v>
      </c>
      <c r="Z19">
        <f t="shared" si="18"/>
        <v>-12.490291536606151</v>
      </c>
      <c r="AA19">
        <f t="shared" si="19"/>
        <v>-8.692444679781488</v>
      </c>
      <c r="AB19">
        <f t="shared" si="20"/>
        <v>7.0239638629431056E-2</v>
      </c>
      <c r="AC19">
        <f t="shared" si="21"/>
        <v>0</v>
      </c>
      <c r="AD19">
        <f t="shared" si="22"/>
        <v>186.73013826847099</v>
      </c>
      <c r="AE19">
        <f t="shared" si="23"/>
        <v>57.60955633021031</v>
      </c>
      <c r="AF19">
        <f t="shared" si="24"/>
        <v>55.500509508361795</v>
      </c>
      <c r="AG19">
        <f t="shared" si="25"/>
        <v>56.555032919286049</v>
      </c>
    </row>
    <row r="20" spans="1:35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0.18653850947206904</v>
      </c>
      <c r="F20">
        <f>Align!G20</f>
        <v>0.38270781210782145</v>
      </c>
      <c r="G20">
        <v>0.6925714285714285</v>
      </c>
      <c r="H20">
        <f t="shared" si="0"/>
        <v>0.59714610389610379</v>
      </c>
      <c r="I20">
        <f t="shared" si="1"/>
        <v>1.0503263573424626</v>
      </c>
      <c r="J20">
        <f t="shared" si="2"/>
        <v>6.396487516215597</v>
      </c>
      <c r="K20">
        <f t="shared" si="3"/>
        <v>-1.6637802394100842E-2</v>
      </c>
      <c r="L20">
        <f t="shared" si="4"/>
        <v>6.811763024880789</v>
      </c>
      <c r="M20">
        <f t="shared" si="5"/>
        <v>2.741588701491056</v>
      </c>
      <c r="N20">
        <f t="shared" si="6"/>
        <v>6.4023895718488761</v>
      </c>
      <c r="O20">
        <f t="shared" si="7"/>
        <v>3.1206371283995007</v>
      </c>
      <c r="P20">
        <f t="shared" si="8"/>
        <v>262.19581147968313</v>
      </c>
      <c r="Q20">
        <f t="shared" si="9"/>
        <v>62.291401069638574</v>
      </c>
      <c r="R20">
        <f t="shared" si="10"/>
        <v>296.79775959233848</v>
      </c>
      <c r="S20">
        <f t="shared" si="11"/>
        <v>148.73888906332908</v>
      </c>
      <c r="T20">
        <f t="shared" si="12"/>
        <v>48.077974180013186</v>
      </c>
      <c r="U20">
        <f t="shared" si="13"/>
        <v>8.4254353906442478</v>
      </c>
      <c r="V20">
        <f t="shared" si="14"/>
        <v>285.21977654089602</v>
      </c>
      <c r="W20">
        <f t="shared" si="15"/>
        <v>140.9332639704204</v>
      </c>
      <c r="X20">
        <f t="shared" si="16"/>
        <v>48.3183595411666</v>
      </c>
      <c r="Y20">
        <f t="shared" si="17"/>
        <v>-2.5078174967889311</v>
      </c>
      <c r="Z20">
        <f t="shared" si="18"/>
        <v>-11.577983051442459</v>
      </c>
      <c r="AA20">
        <f t="shared" si="19"/>
        <v>-7.8056250929086843</v>
      </c>
      <c r="AB20">
        <f t="shared" si="20"/>
        <v>0.24038536115341458</v>
      </c>
      <c r="AC20">
        <f t="shared" si="21"/>
        <v>0</v>
      </c>
      <c r="AD20">
        <f t="shared" si="22"/>
        <v>189.02876816057892</v>
      </c>
      <c r="AE20">
        <f t="shared" si="23"/>
        <v>57.848318238795081</v>
      </c>
      <c r="AF20">
        <f t="shared" si="24"/>
        <v>55.672579627086577</v>
      </c>
      <c r="AG20">
        <f t="shared" si="25"/>
        <v>56.760448932940832</v>
      </c>
    </row>
    <row r="21" spans="1:35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0.18628790984322882</v>
      </c>
      <c r="F21">
        <f>Align!G21</f>
        <v>0.38232053933053556</v>
      </c>
      <c r="G21">
        <v>0.69185714285714284</v>
      </c>
      <c r="H21">
        <f t="shared" si="0"/>
        <v>0.59653023538961036</v>
      </c>
      <c r="I21">
        <f t="shared" si="1"/>
        <v>1.0535828443534312</v>
      </c>
      <c r="J21">
        <f t="shared" si="2"/>
        <v>6.4163195221123956</v>
      </c>
      <c r="K21">
        <f t="shared" si="3"/>
        <v>-1.7705125325047422E-2</v>
      </c>
      <c r="L21">
        <f t="shared" si="4"/>
        <v>6.8383669559885432</v>
      </c>
      <c r="M21">
        <f t="shared" si="5"/>
        <v>2.7365945581500672</v>
      </c>
      <c r="N21">
        <f t="shared" si="6"/>
        <v>6.4043902354331239</v>
      </c>
      <c r="O21">
        <f t="shared" si="7"/>
        <v>3.1205764484124647</v>
      </c>
      <c r="P21">
        <f t="shared" si="8"/>
        <v>263.17313645738636</v>
      </c>
      <c r="Q21">
        <f t="shared" si="9"/>
        <v>62.482102633890406</v>
      </c>
      <c r="R21">
        <f t="shared" si="10"/>
        <v>300.04803489689095</v>
      </c>
      <c r="S21">
        <f t="shared" si="11"/>
        <v>148.63269794579188</v>
      </c>
      <c r="T21">
        <f t="shared" si="12"/>
        <v>48.051494645921096</v>
      </c>
      <c r="U21">
        <f t="shared" si="13"/>
        <v>9.0141936647274878</v>
      </c>
      <c r="V21">
        <f t="shared" si="14"/>
        <v>288.20705517585083</v>
      </c>
      <c r="W21">
        <f t="shared" si="15"/>
        <v>142.92450289566267</v>
      </c>
      <c r="X21">
        <f t="shared" si="16"/>
        <v>48.381547400526514</v>
      </c>
      <c r="Y21">
        <f t="shared" si="17"/>
        <v>-2.1342807362378267</v>
      </c>
      <c r="Z21">
        <f t="shared" si="18"/>
        <v>-11.840979721040128</v>
      </c>
      <c r="AA21">
        <f t="shared" si="19"/>
        <v>-5.7081950501292056</v>
      </c>
      <c r="AB21">
        <f t="shared" si="20"/>
        <v>0.33005275460541839</v>
      </c>
      <c r="AC21">
        <f t="shared" si="21"/>
        <v>0</v>
      </c>
      <c r="AD21">
        <f t="shared" si="22"/>
        <v>191.35202032239204</v>
      </c>
      <c r="AE21">
        <f t="shared" si="23"/>
        <v>58.085438896353537</v>
      </c>
      <c r="AF21">
        <f t="shared" si="24"/>
        <v>55.84117237586598</v>
      </c>
      <c r="AG21">
        <f t="shared" si="25"/>
        <v>56.963305636109759</v>
      </c>
    </row>
    <row r="22" spans="1:35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0.18584227706986439</v>
      </c>
      <c r="F22">
        <f>Align!G22</f>
        <v>0.38162352074308936</v>
      </c>
      <c r="G22">
        <v>0.69114285714285706</v>
      </c>
      <c r="H22">
        <f t="shared" si="0"/>
        <v>0.59591436688311683</v>
      </c>
      <c r="I22">
        <f t="shared" si="1"/>
        <v>1.0568528074004548</v>
      </c>
      <c r="J22">
        <f t="shared" si="2"/>
        <v>6.4362335970687701</v>
      </c>
      <c r="K22">
        <f t="shared" si="3"/>
        <v>-1.87757591521307E-2</v>
      </c>
      <c r="L22">
        <f t="shared" si="4"/>
        <v>6.8516234887382037</v>
      </c>
      <c r="M22">
        <f t="shared" si="5"/>
        <v>2.7359336092850102</v>
      </c>
      <c r="N22">
        <f t="shared" si="6"/>
        <v>6.4131195148786571</v>
      </c>
      <c r="O22">
        <f t="shared" si="7"/>
        <v>3.1230484207197962</v>
      </c>
      <c r="P22">
        <f t="shared" si="8"/>
        <v>264.71007131043876</v>
      </c>
      <c r="Q22">
        <f t="shared" si="9"/>
        <v>62.775363108994824</v>
      </c>
      <c r="R22">
        <f t="shared" si="10"/>
        <v>302.14734131537085</v>
      </c>
      <c r="S22">
        <f t="shared" si="11"/>
        <v>149.63673650445725</v>
      </c>
      <c r="T22">
        <f t="shared" si="12"/>
        <v>48.177349901757744</v>
      </c>
      <c r="U22">
        <f t="shared" si="13"/>
        <v>9.6107980229033174</v>
      </c>
      <c r="V22">
        <f t="shared" si="14"/>
        <v>291.22179906569028</v>
      </c>
      <c r="W22">
        <f t="shared" si="15"/>
        <v>144.9393487567601</v>
      </c>
      <c r="X22">
        <f t="shared" si="16"/>
        <v>48.440608701410035</v>
      </c>
      <c r="Y22">
        <f t="shared" si="17"/>
        <v>-1.9250751024198784</v>
      </c>
      <c r="Z22">
        <f t="shared" si="18"/>
        <v>-10.925542249680575</v>
      </c>
      <c r="AA22">
        <f t="shared" si="19"/>
        <v>-4.6973877476971495</v>
      </c>
      <c r="AB22">
        <f t="shared" si="20"/>
        <v>0.26325879965229149</v>
      </c>
      <c r="AC22">
        <f t="shared" si="21"/>
        <v>0</v>
      </c>
      <c r="AD22">
        <f t="shared" si="22"/>
        <v>193.70016552640348</v>
      </c>
      <c r="AE22">
        <f t="shared" si="23"/>
        <v>58.320855282632053</v>
      </c>
      <c r="AF22">
        <f t="shared" si="24"/>
        <v>56.006175490110508</v>
      </c>
      <c r="AG22">
        <f t="shared" si="25"/>
        <v>57.16351538637128</v>
      </c>
    </row>
    <row r="23" spans="1:35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0.18525167989688088</v>
      </c>
      <c r="F23">
        <f>Align!G23</f>
        <v>0.38069110863859346</v>
      </c>
      <c r="G23">
        <v>0.69042857142857139</v>
      </c>
      <c r="H23">
        <f t="shared" si="0"/>
        <v>0.5952984983766233</v>
      </c>
      <c r="I23">
        <f t="shared" si="1"/>
        <v>1.0601363162640909</v>
      </c>
      <c r="J23">
        <f t="shared" si="2"/>
        <v>6.4562301660483135</v>
      </c>
      <c r="K23">
        <f t="shared" si="3"/>
        <v>-1.9849717583639515E-2</v>
      </c>
      <c r="L23">
        <f t="shared" si="4"/>
        <v>6.8717917578672836</v>
      </c>
      <c r="M23">
        <f t="shared" si="5"/>
        <v>2.7298641601395173</v>
      </c>
      <c r="N23">
        <f t="shared" si="6"/>
        <v>6.4269160604426609</v>
      </c>
      <c r="O23">
        <f t="shared" si="7"/>
        <v>3.1274620545013354</v>
      </c>
      <c r="P23">
        <f t="shared" si="8"/>
        <v>266.67620137590995</v>
      </c>
      <c r="Q23">
        <f t="shared" si="9"/>
        <v>63.148509292013159</v>
      </c>
      <c r="R23">
        <f t="shared" si="10"/>
        <v>304.87301458741479</v>
      </c>
      <c r="S23">
        <f t="shared" si="11"/>
        <v>151.35209590919044</v>
      </c>
      <c r="T23">
        <f t="shared" si="12"/>
        <v>48.11284943048355</v>
      </c>
      <c r="U23">
        <f t="shared" si="13"/>
        <v>10.215342334999809</v>
      </c>
      <c r="V23">
        <f t="shared" si="14"/>
        <v>294.26426206169754</v>
      </c>
      <c r="W23">
        <f t="shared" si="15"/>
        <v>146.97808554799673</v>
      </c>
      <c r="X23">
        <f t="shared" si="16"/>
        <v>48.49544635355398</v>
      </c>
      <c r="Y23">
        <f t="shared" si="17"/>
        <v>-1.8370624228005425</v>
      </c>
      <c r="Z23">
        <f t="shared" si="18"/>
        <v>-10.60875252571725</v>
      </c>
      <c r="AA23">
        <f t="shared" si="19"/>
        <v>-4.3740103611937116</v>
      </c>
      <c r="AB23">
        <f t="shared" si="20"/>
        <v>0.38259692307043025</v>
      </c>
      <c r="AC23">
        <f t="shared" si="21"/>
        <v>0</v>
      </c>
      <c r="AD23">
        <f t="shared" si="22"/>
        <v>196.07347771923034</v>
      </c>
      <c r="AE23">
        <f t="shared" si="23"/>
        <v>58.554503114872546</v>
      </c>
      <c r="AF23">
        <f t="shared" si="24"/>
        <v>56.167474000466541</v>
      </c>
      <c r="AG23">
        <f t="shared" si="25"/>
        <v>57.360988557669543</v>
      </c>
    </row>
    <row r="24" spans="1:35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0.18495311800280445</v>
      </c>
      <c r="F24">
        <f>Align!G24</f>
        <v>0.38022277732041276</v>
      </c>
      <c r="G24">
        <v>0.68971428571428572</v>
      </c>
      <c r="H24">
        <f t="shared" si="0"/>
        <v>0.59468262987012988</v>
      </c>
      <c r="I24">
        <f t="shared" si="1"/>
        <v>1.0634334411589481</v>
      </c>
      <c r="J24">
        <f t="shared" si="2"/>
        <v>6.4763096566579934</v>
      </c>
      <c r="K24">
        <f t="shared" si="3"/>
        <v>-2.0927014398884114E-2</v>
      </c>
      <c r="L24">
        <f t="shared" si="4"/>
        <v>6.88524102758665</v>
      </c>
      <c r="M24">
        <f t="shared" si="5"/>
        <v>2.7205858638129383</v>
      </c>
      <c r="N24">
        <f t="shared" si="6"/>
        <v>6.4306310300874481</v>
      </c>
      <c r="O24">
        <f t="shared" si="7"/>
        <v>3.1280747253549848</v>
      </c>
      <c r="P24">
        <f t="shared" si="8"/>
        <v>267.8149332591808</v>
      </c>
      <c r="Q24">
        <f t="shared" si="9"/>
        <v>63.369728176843154</v>
      </c>
      <c r="R24">
        <f t="shared" si="10"/>
        <v>307.01945874754944</v>
      </c>
      <c r="S24">
        <f t="shared" si="11"/>
        <v>152.34272605964384</v>
      </c>
      <c r="T24">
        <f t="shared" si="12"/>
        <v>47.934972227676305</v>
      </c>
      <c r="U24">
        <f t="shared" si="13"/>
        <v>10.827921617995971</v>
      </c>
      <c r="V24">
        <f t="shared" si="14"/>
        <v>297.33470043076721</v>
      </c>
      <c r="W24">
        <f t="shared" si="15"/>
        <v>149.04100087712715</v>
      </c>
      <c r="X24">
        <f t="shared" si="16"/>
        <v>48.545961524336846</v>
      </c>
      <c r="Y24">
        <f t="shared" si="17"/>
        <v>-1.4827489560429594</v>
      </c>
      <c r="Z24">
        <f t="shared" si="18"/>
        <v>-9.6847583167822222</v>
      </c>
      <c r="AA24">
        <f t="shared" si="19"/>
        <v>-3.3017251825166909</v>
      </c>
      <c r="AB24">
        <f t="shared" si="20"/>
        <v>0.61098929666054147</v>
      </c>
      <c r="AC24">
        <f t="shared" si="21"/>
        <v>0</v>
      </c>
      <c r="AD24">
        <f t="shared" si="22"/>
        <v>198.47223406167382</v>
      </c>
      <c r="AE24">
        <f t="shared" si="23"/>
        <v>58.786316825330118</v>
      </c>
      <c r="AF24">
        <f t="shared" si="24"/>
        <v>56.324950162582397</v>
      </c>
      <c r="AG24">
        <f t="shared" si="25"/>
        <v>57.555633493956257</v>
      </c>
    </row>
    <row r="25" spans="1:35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0.18475088415451557</v>
      </c>
      <c r="F25">
        <f>Align!G25</f>
        <v>0.37990972573080195</v>
      </c>
      <c r="G25">
        <v>0.68899999999999995</v>
      </c>
      <c r="H25">
        <f t="shared" si="0"/>
        <v>0.59406676136363634</v>
      </c>
      <c r="I25">
        <f t="shared" si="1"/>
        <v>1.0667442527368352</v>
      </c>
      <c r="J25">
        <f t="shared" si="2"/>
        <v>6.4964724991673259</v>
      </c>
      <c r="K25">
        <f t="shared" si="3"/>
        <v>-2.2007663448636028E-2</v>
      </c>
      <c r="L25">
        <f t="shared" si="4"/>
        <v>6.8987710956513242</v>
      </c>
      <c r="M25">
        <f t="shared" si="5"/>
        <v>2.718840805524612</v>
      </c>
      <c r="N25">
        <f t="shared" si="6"/>
        <v>6.4310031757876871</v>
      </c>
      <c r="O25">
        <f t="shared" si="7"/>
        <v>3.1274101247125361</v>
      </c>
      <c r="P25">
        <f t="shared" si="8"/>
        <v>268.67982232499071</v>
      </c>
      <c r="Q25">
        <f t="shared" si="9"/>
        <v>63.540010166464022</v>
      </c>
      <c r="R25">
        <f t="shared" si="10"/>
        <v>309.18689259875458</v>
      </c>
      <c r="S25">
        <f t="shared" si="11"/>
        <v>152.38119919772822</v>
      </c>
      <c r="T25">
        <f t="shared" si="12"/>
        <v>48.022543995190276</v>
      </c>
      <c r="U25">
        <f t="shared" si="13"/>
        <v>11.448632050829293</v>
      </c>
      <c r="V25">
        <f t="shared" si="14"/>
        <v>300.43337287887323</v>
      </c>
      <c r="W25">
        <f t="shared" si="15"/>
        <v>151.12838601453331</v>
      </c>
      <c r="X25">
        <f t="shared" si="16"/>
        <v>48.592053609213579</v>
      </c>
      <c r="Y25">
        <f t="shared" si="17"/>
        <v>-1.0342157340353566</v>
      </c>
      <c r="Z25">
        <f t="shared" si="18"/>
        <v>-8.7535197198813535</v>
      </c>
      <c r="AA25">
        <f t="shared" si="19"/>
        <v>-1.2528131831949167</v>
      </c>
      <c r="AB25">
        <f t="shared" si="20"/>
        <v>0.56950961402330336</v>
      </c>
      <c r="AC25">
        <f t="shared" si="21"/>
        <v>0</v>
      </c>
      <c r="AD25">
        <f t="shared" si="22"/>
        <v>200.89671496931328</v>
      </c>
      <c r="AE25">
        <f t="shared" si="23"/>
        <v>59.016229538396132</v>
      </c>
      <c r="AF25">
        <f t="shared" si="24"/>
        <v>56.478483384665083</v>
      </c>
      <c r="AG25">
        <f t="shared" si="25"/>
        <v>57.747356461530607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B6CD-11D2-46C7-9643-28431BC7B8DA}">
  <dimension ref="A3:AM25"/>
  <sheetViews>
    <sheetView workbookViewId="0">
      <selection activeCell="L4" sqref="L4"/>
    </sheetView>
  </sheetViews>
  <sheetFormatPr defaultRowHeight="15" x14ac:dyDescent="0.25"/>
  <sheetData>
    <row r="3" spans="1:39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66</v>
      </c>
      <c r="AI3" t="s">
        <v>67</v>
      </c>
      <c r="AL3" t="s">
        <v>80</v>
      </c>
    </row>
    <row r="4" spans="1:39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0.20291614843494321</v>
      </c>
      <c r="F4">
        <f>Align!G4</f>
        <v>0.41955125799861193</v>
      </c>
      <c r="G4">
        <f>Lfin_100</f>
        <v>0.70399999999999996</v>
      </c>
      <c r="H4">
        <f t="shared" ref="H4:H25" si="0">G4*Lfin_111/Lfin_100</f>
        <v>0.60699999999999998</v>
      </c>
      <c r="I4">
        <f t="shared" ref="I4:I25" si="1">($G$4/G4)^3</f>
        <v>1</v>
      </c>
      <c r="J4">
        <f t="shared" ref="J4:J25" si="2">rho_100*I4</f>
        <v>6.09</v>
      </c>
      <c r="K4">
        <f t="shared" ref="K4:K25" si="3">0.5*(1-I4^(2/3))</f>
        <v>0</v>
      </c>
      <c r="L4">
        <f t="shared" ref="L4:L25" si="4">2*G4/C4</f>
        <v>6.1431082084309132</v>
      </c>
      <c r="M4">
        <f t="shared" ref="M4:M25" si="5">2*G4/D4</f>
        <v>2.7557757329741848</v>
      </c>
      <c r="N4">
        <f t="shared" ref="N4:N25" si="6">2*H4/E4</f>
        <v>5.9827668195132313</v>
      </c>
      <c r="O4">
        <f t="shared" ref="O4:O25" si="7">2*H4/F4</f>
        <v>2.8935677747485538</v>
      </c>
      <c r="P4">
        <f t="shared" ref="P4:P25" si="8">J4*N4^2</f>
        <v>217.98240779351096</v>
      </c>
      <c r="Q4">
        <f t="shared" ref="Q4:Q25" si="9">J4*O4^2</f>
        <v>50.989952904415482</v>
      </c>
      <c r="R4">
        <f t="shared" ref="R4:R25" si="10">J4*L4^2</f>
        <v>229.82307082439178</v>
      </c>
      <c r="S4">
        <f t="shared" ref="S4:S25" si="11">R4+T4-3*Q4</f>
        <v>123.10249844398223</v>
      </c>
      <c r="T4">
        <f t="shared" ref="T4:T25" si="12">J4*M4^2</f>
        <v>46.249286332836874</v>
      </c>
      <c r="U4">
        <f t="shared" ref="U4:U25" si="13">-3*$AI$11*((1-2*K4)^2.5)*(1+1.5*(4-$AI$12)*K4)*K4</f>
        <v>0</v>
      </c>
      <c r="V4">
        <f t="shared" ref="V4:V25" si="14">((1-2*K4)^3.5)*($AI$4-$AI$14*K4)+3*U4</f>
        <v>241.05873297787619</v>
      </c>
      <c r="W4">
        <f t="shared" ref="W4:W25" si="15">((1-2*K4)^3.5)*($AI$5-$AI$15*K4)+1*U4</f>
        <v>129.03859511290136</v>
      </c>
      <c r="X4">
        <f t="shared" ref="X4:X25" si="16">((1-2*K4)^3.5)*($AI$6-$AI$16*K4)+1*U4</f>
        <v>46.772391044309501</v>
      </c>
      <c r="Y4">
        <f t="shared" ref="Y4:Y25" si="17">U4-B4</f>
        <v>0</v>
      </c>
      <c r="Z4">
        <f t="shared" ref="Z4:Z25" si="18">V4-R4</f>
        <v>11.235662153484412</v>
      </c>
      <c r="AA4">
        <f t="shared" ref="AA4:AA25" si="19">W4-S4</f>
        <v>5.9360966689191343</v>
      </c>
      <c r="AB4">
        <f t="shared" ref="AB4:AB25" si="20">X4-T4</f>
        <v>0.5231047114726266</v>
      </c>
      <c r="AC4">
        <f t="shared" ref="AC4:AC25" si="21">IF(AND(A4&gt;=CutoffLowBar,A4&lt;=CutoffOilBar),Y4^2+Z4^2+AA4^2+AB4^2,0)</f>
        <v>0</v>
      </c>
      <c r="AD4">
        <f t="shared" ref="AD4:AD25" si="22">(V4+2*W4)/3</f>
        <v>166.37864106789297</v>
      </c>
      <c r="AE4">
        <f t="shared" ref="AE4:AE25" si="23">(V4-W4+3*X4)/5</f>
        <v>50.467462199580666</v>
      </c>
      <c r="AF4">
        <f t="shared" ref="AF4:AF25" si="24">5*(V4-W4)*X4/(3*(V4-W4)+4*X4)</f>
        <v>50.075981225979341</v>
      </c>
      <c r="AG4">
        <f t="shared" ref="AG4:AG25" si="25">(AE4+AF4)/2</f>
        <v>50.271721712780007</v>
      </c>
      <c r="AH4" t="s">
        <v>68</v>
      </c>
      <c r="AI4">
        <v>241.05873297787619</v>
      </c>
      <c r="AL4" t="s">
        <v>68</v>
      </c>
      <c r="AM4">
        <f>$AI$4</f>
        <v>241.05873297787619</v>
      </c>
    </row>
    <row r="5" spans="1:39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0.20282185216281789</v>
      </c>
      <c r="F5">
        <f>Align!G5</f>
        <v>0.41875595960981177</v>
      </c>
      <c r="G5">
        <v>0.70328571428571429</v>
      </c>
      <c r="H5">
        <f t="shared" si="0"/>
        <v>0.60638413149350656</v>
      </c>
      <c r="I5">
        <f t="shared" si="1"/>
        <v>1.0030500182349524</v>
      </c>
      <c r="J5">
        <f t="shared" si="2"/>
        <v>6.1085746110508605</v>
      </c>
      <c r="K5">
        <f t="shared" si="3"/>
        <v>-1.0161566325762594E-3</v>
      </c>
      <c r="L5">
        <f t="shared" si="4"/>
        <v>6.258501511054912</v>
      </c>
      <c r="M5">
        <f t="shared" si="5"/>
        <v>2.7730246957953448</v>
      </c>
      <c r="N5">
        <f t="shared" si="6"/>
        <v>5.979475337861758</v>
      </c>
      <c r="O5">
        <f t="shared" si="7"/>
        <v>2.896121798760896</v>
      </c>
      <c r="P5">
        <f t="shared" si="8"/>
        <v>218.40674214624084</v>
      </c>
      <c r="Q5">
        <f t="shared" si="9"/>
        <v>51.235800721188021</v>
      </c>
      <c r="R5">
        <f t="shared" si="10"/>
        <v>239.26578867794052</v>
      </c>
      <c r="S5">
        <f t="shared" si="11"/>
        <v>132.53128478641869</v>
      </c>
      <c r="T5">
        <f t="shared" si="12"/>
        <v>46.972898272042251</v>
      </c>
      <c r="U5">
        <f t="shared" si="13"/>
        <v>0.5094605150881415</v>
      </c>
      <c r="V5">
        <f t="shared" si="14"/>
        <v>243.78493029528443</v>
      </c>
      <c r="W5">
        <f t="shared" si="15"/>
        <v>130.41265249271467</v>
      </c>
      <c r="X5">
        <f t="shared" si="16"/>
        <v>46.900327137265357</v>
      </c>
      <c r="Y5">
        <f t="shared" si="17"/>
        <v>0.38032760696886614</v>
      </c>
      <c r="Z5">
        <f t="shared" si="18"/>
        <v>4.5191416173439052</v>
      </c>
      <c r="AA5">
        <f t="shared" si="19"/>
        <v>-2.1186322937040245</v>
      </c>
      <c r="AB5">
        <f t="shared" si="20"/>
        <v>-7.2571134776893587E-2</v>
      </c>
      <c r="AC5">
        <f t="shared" si="21"/>
        <v>0</v>
      </c>
      <c r="AD5">
        <f t="shared" si="22"/>
        <v>168.20341176023791</v>
      </c>
      <c r="AE5">
        <f t="shared" si="23"/>
        <v>50.814651842873168</v>
      </c>
      <c r="AF5">
        <f t="shared" si="24"/>
        <v>50.379137028730582</v>
      </c>
      <c r="AG5">
        <f t="shared" si="25"/>
        <v>50.596894435801872</v>
      </c>
      <c r="AH5" t="s">
        <v>69</v>
      </c>
      <c r="AI5">
        <v>129.03859511290136</v>
      </c>
      <c r="AL5" t="s">
        <v>69</v>
      </c>
      <c r="AM5">
        <f>$AI$5</f>
        <v>129.03859511290136</v>
      </c>
    </row>
    <row r="6" spans="1:39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0.20068313946370661</v>
      </c>
      <c r="F6">
        <f>Align!G6</f>
        <v>0.41032240249009772</v>
      </c>
      <c r="G6">
        <v>0.70257142857142851</v>
      </c>
      <c r="H6">
        <f t="shared" si="0"/>
        <v>0.60576826298701292</v>
      </c>
      <c r="I6">
        <f t="shared" si="1"/>
        <v>1.0061124525725225</v>
      </c>
      <c r="J6">
        <f t="shared" si="2"/>
        <v>6.1272248361666612</v>
      </c>
      <c r="K6">
        <f t="shared" si="3"/>
        <v>-2.0354141387647351E-3</v>
      </c>
      <c r="L6">
        <f t="shared" si="4"/>
        <v>6.3596744792744664</v>
      </c>
      <c r="M6">
        <f t="shared" si="5"/>
        <v>2.7778754271810775</v>
      </c>
      <c r="N6">
        <f t="shared" si="6"/>
        <v>6.0370618538839995</v>
      </c>
      <c r="O6">
        <f t="shared" si="7"/>
        <v>2.9526453311387595</v>
      </c>
      <c r="P6">
        <f t="shared" si="8"/>
        <v>223.31354608080815</v>
      </c>
      <c r="Q6">
        <f t="shared" si="9"/>
        <v>53.417847391746804</v>
      </c>
      <c r="R6">
        <f t="shared" si="10"/>
        <v>247.81842385033514</v>
      </c>
      <c r="S6">
        <f t="shared" si="11"/>
        <v>134.84617514754837</v>
      </c>
      <c r="T6">
        <f t="shared" si="12"/>
        <v>47.281293472453648</v>
      </c>
      <c r="U6">
        <f t="shared" si="13"/>
        <v>1.0250261403436991</v>
      </c>
      <c r="V6">
        <f t="shared" si="14"/>
        <v>246.53442394258522</v>
      </c>
      <c r="W6">
        <f t="shared" si="15"/>
        <v>131.79935747657083</v>
      </c>
      <c r="X6">
        <f t="shared" si="16"/>
        <v>47.024682854197629</v>
      </c>
      <c r="Y6">
        <f t="shared" si="17"/>
        <v>-0.61065736250060287</v>
      </c>
      <c r="Z6">
        <f t="shared" si="18"/>
        <v>-1.2839999077499158</v>
      </c>
      <c r="AA6">
        <f t="shared" si="19"/>
        <v>-3.0468176709775321</v>
      </c>
      <c r="AB6">
        <f t="shared" si="20"/>
        <v>-0.25661061825601905</v>
      </c>
      <c r="AC6">
        <f t="shared" si="21"/>
        <v>0</v>
      </c>
      <c r="AD6">
        <f t="shared" si="22"/>
        <v>170.04437963190898</v>
      </c>
      <c r="AE6">
        <f t="shared" si="23"/>
        <v>51.161823005721452</v>
      </c>
      <c r="AF6">
        <f t="shared" si="24"/>
        <v>50.679506579638975</v>
      </c>
      <c r="AG6">
        <f t="shared" si="25"/>
        <v>50.920664792680213</v>
      </c>
      <c r="AH6" t="s">
        <v>70</v>
      </c>
      <c r="AI6">
        <v>46.772391044309501</v>
      </c>
      <c r="AL6" t="s">
        <v>70</v>
      </c>
      <c r="AM6">
        <f>$AI$6</f>
        <v>46.772391044309501</v>
      </c>
    </row>
    <row r="7" spans="1:39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0.19907985057124322</v>
      </c>
      <c r="F7">
        <f>Align!G7</f>
        <v>0.40614708298662372</v>
      </c>
      <c r="G7">
        <v>0.70185714285714285</v>
      </c>
      <c r="H7">
        <f t="shared" si="0"/>
        <v>0.6051523944805195</v>
      </c>
      <c r="I7">
        <f t="shared" si="1"/>
        <v>1.0091873662568498</v>
      </c>
      <c r="J7">
        <f t="shared" si="2"/>
        <v>6.1459510605042151</v>
      </c>
      <c r="K7">
        <f t="shared" si="3"/>
        <v>-3.057785148123271E-3</v>
      </c>
      <c r="L7">
        <f t="shared" si="4"/>
        <v>6.4171051454499528</v>
      </c>
      <c r="M7">
        <f t="shared" si="5"/>
        <v>2.7750512350021621</v>
      </c>
      <c r="N7">
        <f t="shared" si="6"/>
        <v>6.0794941601983785</v>
      </c>
      <c r="O7">
        <f t="shared" si="7"/>
        <v>2.9799667156563077</v>
      </c>
      <c r="P7">
        <f t="shared" si="8"/>
        <v>227.15588303696245</v>
      </c>
      <c r="Q7">
        <f t="shared" si="9"/>
        <v>54.577284603383816</v>
      </c>
      <c r="R7">
        <f t="shared" si="10"/>
        <v>253.08558420876813</v>
      </c>
      <c r="S7">
        <f t="shared" si="11"/>
        <v>136.68314242742332</v>
      </c>
      <c r="T7">
        <f t="shared" si="12"/>
        <v>47.329412028806644</v>
      </c>
      <c r="U7">
        <f t="shared" si="13"/>
        <v>1.5467589344976229</v>
      </c>
      <c r="V7">
        <f t="shared" si="14"/>
        <v>249.30739687540253</v>
      </c>
      <c r="W7">
        <f t="shared" si="15"/>
        <v>133.19882700628122</v>
      </c>
      <c r="X7">
        <f t="shared" si="16"/>
        <v>47.145364069346286</v>
      </c>
      <c r="Y7">
        <f t="shared" si="17"/>
        <v>-0.94981062247527381</v>
      </c>
      <c r="Z7">
        <f t="shared" si="18"/>
        <v>-3.7781873333655938</v>
      </c>
      <c r="AA7">
        <f t="shared" si="19"/>
        <v>-3.4843154211420995</v>
      </c>
      <c r="AB7">
        <f t="shared" si="20"/>
        <v>-0.1840479594603579</v>
      </c>
      <c r="AC7">
        <f t="shared" si="21"/>
        <v>0</v>
      </c>
      <c r="AD7">
        <f t="shared" si="22"/>
        <v>171.90168362932164</v>
      </c>
      <c r="AE7">
        <f t="shared" si="23"/>
        <v>51.508932415432035</v>
      </c>
      <c r="AF7">
        <f t="shared" si="24"/>
        <v>50.976976522845327</v>
      </c>
      <c r="AG7">
        <f t="shared" si="25"/>
        <v>51.242954469138681</v>
      </c>
      <c r="AH7" t="s">
        <v>71</v>
      </c>
      <c r="AI7">
        <v>5.3603023086196773</v>
      </c>
      <c r="AL7" t="s">
        <v>71</v>
      </c>
      <c r="AM7">
        <f>$AI$7</f>
        <v>5.3603023086196773</v>
      </c>
    </row>
    <row r="8" spans="1:39" x14ac:dyDescent="0.25">
      <c r="A8" s="2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0.19731088611066464</v>
      </c>
      <c r="F8">
        <f>Align!G8</f>
        <v>0.40204930534036237</v>
      </c>
      <c r="G8">
        <v>0.69926446651884899</v>
      </c>
      <c r="H8">
        <f t="shared" si="0"/>
        <v>0.60291694769451898</v>
      </c>
      <c r="I8">
        <f t="shared" si="1"/>
        <v>1.0204543884824788</v>
      </c>
      <c r="J8">
        <f t="shared" si="2"/>
        <v>6.2145672258582962</v>
      </c>
      <c r="K8">
        <f t="shared" si="3"/>
        <v>-6.7950948643599185E-3</v>
      </c>
      <c r="L8">
        <f t="shared" si="4"/>
        <v>6.458354072656209</v>
      </c>
      <c r="M8">
        <f t="shared" si="5"/>
        <v>2.7680835242029147</v>
      </c>
      <c r="N8">
        <f t="shared" si="6"/>
        <v>6.1113399222824878</v>
      </c>
      <c r="O8">
        <f t="shared" si="7"/>
        <v>2.999218949944999</v>
      </c>
      <c r="P8">
        <f t="shared" si="8"/>
        <v>232.10461268343286</v>
      </c>
      <c r="Q8">
        <f t="shared" si="9"/>
        <v>55.901985495412831</v>
      </c>
      <c r="R8">
        <f t="shared" si="10"/>
        <v>259.21169533680893</v>
      </c>
      <c r="S8">
        <f t="shared" si="11"/>
        <v>139.12353276828043</v>
      </c>
      <c r="T8">
        <f t="shared" si="12"/>
        <v>47.617793917710017</v>
      </c>
      <c r="U8">
        <f t="shared" si="13"/>
        <v>3.4933306682302461</v>
      </c>
      <c r="V8">
        <f t="shared" si="14"/>
        <v>259.57278704942206</v>
      </c>
      <c r="W8">
        <f t="shared" si="15"/>
        <v>138.38767331537102</v>
      </c>
      <c r="X8">
        <f t="shared" si="16"/>
        <v>47.551001727808078</v>
      </c>
      <c r="Y8">
        <f t="shared" si="17"/>
        <v>4.9786451715895463E-2</v>
      </c>
      <c r="Z8">
        <f t="shared" si="18"/>
        <v>0.36109171261313122</v>
      </c>
      <c r="AA8">
        <f t="shared" si="19"/>
        <v>-0.73585945290940913</v>
      </c>
      <c r="AB8">
        <f t="shared" si="20"/>
        <v>-6.6792189901939025E-2</v>
      </c>
      <c r="AC8">
        <f t="shared" si="21"/>
        <v>0.678816246760375</v>
      </c>
      <c r="AD8">
        <f t="shared" si="22"/>
        <v>178.78271122672137</v>
      </c>
      <c r="AE8">
        <f t="shared" si="23"/>
        <v>52.767623783495061</v>
      </c>
      <c r="AF8">
        <f t="shared" si="24"/>
        <v>52.030485554643668</v>
      </c>
      <c r="AG8">
        <f t="shared" si="25"/>
        <v>52.399054669069365</v>
      </c>
      <c r="AH8" t="s">
        <v>72</v>
      </c>
      <c r="AI8">
        <v>2.7008201526204805</v>
      </c>
      <c r="AL8" t="s">
        <v>72</v>
      </c>
      <c r="AM8">
        <f>$AI$8</f>
        <v>2.7008201526204805</v>
      </c>
    </row>
    <row r="9" spans="1:39" x14ac:dyDescent="0.25">
      <c r="A9" s="2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0.19557221353453599</v>
      </c>
      <c r="F9">
        <f>Align!G9</f>
        <v>0.3982834977610536</v>
      </c>
      <c r="G9">
        <v>0.69818026387461429</v>
      </c>
      <c r="H9">
        <f t="shared" si="0"/>
        <v>0.60198213092598141</v>
      </c>
      <c r="I9">
        <f t="shared" si="1"/>
        <v>1.0252157590931372</v>
      </c>
      <c r="J9">
        <f t="shared" si="2"/>
        <v>6.2435639728772054</v>
      </c>
      <c r="K9">
        <f t="shared" si="3"/>
        <v>-8.3703190426559493E-3</v>
      </c>
      <c r="L9">
        <f t="shared" si="4"/>
        <v>6.5023904894931128</v>
      </c>
      <c r="M9">
        <f t="shared" si="5"/>
        <v>2.7637916380566847</v>
      </c>
      <c r="N9">
        <f t="shared" si="6"/>
        <v>6.1561110348600492</v>
      </c>
      <c r="O9">
        <f t="shared" si="7"/>
        <v>3.0228826165784799</v>
      </c>
      <c r="P9">
        <f t="shared" si="8"/>
        <v>236.61673356466261</v>
      </c>
      <c r="Q9">
        <f t="shared" si="9"/>
        <v>57.052559457131629</v>
      </c>
      <c r="R9">
        <f t="shared" si="10"/>
        <v>263.98464079553139</v>
      </c>
      <c r="S9">
        <f t="shared" si="11"/>
        <v>140.51870191256731</v>
      </c>
      <c r="T9">
        <f t="shared" si="12"/>
        <v>47.691739488430805</v>
      </c>
      <c r="U9">
        <f t="shared" si="13"/>
        <v>4.3324161089550426</v>
      </c>
      <c r="V9">
        <f t="shared" si="14"/>
        <v>263.96014118627625</v>
      </c>
      <c r="W9">
        <f t="shared" si="15"/>
        <v>140.60924592925727</v>
      </c>
      <c r="X9">
        <f t="shared" si="16"/>
        <v>47.704761550645742</v>
      </c>
      <c r="Y9">
        <f t="shared" si="17"/>
        <v>-0.10114706980723387</v>
      </c>
      <c r="Z9">
        <f t="shared" si="18"/>
        <v>-2.4499609255144605E-2</v>
      </c>
      <c r="AA9">
        <f t="shared" si="19"/>
        <v>9.0544016689960927E-2</v>
      </c>
      <c r="AB9">
        <f t="shared" si="20"/>
        <v>1.3022062214936625E-2</v>
      </c>
      <c r="AC9">
        <f t="shared" si="21"/>
        <v>1.9198753646925807E-2</v>
      </c>
      <c r="AD9">
        <f t="shared" si="22"/>
        <v>181.72621101493027</v>
      </c>
      <c r="AE9">
        <f t="shared" si="23"/>
        <v>53.293035981791242</v>
      </c>
      <c r="AF9">
        <f t="shared" si="24"/>
        <v>52.457850073743124</v>
      </c>
      <c r="AG9">
        <f t="shared" si="25"/>
        <v>52.875443027767183</v>
      </c>
      <c r="AH9" t="s">
        <v>73</v>
      </c>
      <c r="AI9">
        <v>0.2560980191762135</v>
      </c>
      <c r="AL9" t="s">
        <v>73</v>
      </c>
      <c r="AM9">
        <f>$AI$9</f>
        <v>0.2560980191762135</v>
      </c>
    </row>
    <row r="10" spans="1:39" x14ac:dyDescent="0.25">
      <c r="A10" s="2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0.19444588691824252</v>
      </c>
      <c r="F10">
        <f>Align!G10</f>
        <v>0.39595434052709966</v>
      </c>
      <c r="G10">
        <v>0.697276953565791</v>
      </c>
      <c r="H10">
        <f t="shared" si="0"/>
        <v>0.60120328240686804</v>
      </c>
      <c r="I10">
        <f t="shared" si="1"/>
        <v>1.0292053712909819</v>
      </c>
      <c r="J10">
        <f t="shared" si="2"/>
        <v>6.2678607111620792</v>
      </c>
      <c r="K10">
        <f t="shared" si="3"/>
        <v>-9.6883422495203098E-3</v>
      </c>
      <c r="L10">
        <f t="shared" si="4"/>
        <v>6.5365919071064615</v>
      </c>
      <c r="M10">
        <f t="shared" si="5"/>
        <v>2.7602158258957377</v>
      </c>
      <c r="N10">
        <f t="shared" si="6"/>
        <v>6.1837593166437337</v>
      </c>
      <c r="O10">
        <f t="shared" si="7"/>
        <v>3.0367303543461008</v>
      </c>
      <c r="P10">
        <f t="shared" si="8"/>
        <v>239.67596911670563</v>
      </c>
      <c r="Q10">
        <f t="shared" si="9"/>
        <v>57.800526959475107</v>
      </c>
      <c r="R10">
        <f t="shared" si="10"/>
        <v>267.80709620911119</v>
      </c>
      <c r="S10">
        <f t="shared" si="11"/>
        <v>142.15903864791716</v>
      </c>
      <c r="T10">
        <f t="shared" si="12"/>
        <v>47.75352331723127</v>
      </c>
      <c r="U10">
        <f t="shared" si="13"/>
        <v>5.0430419049756052</v>
      </c>
      <c r="V10">
        <f t="shared" si="14"/>
        <v>267.65880317291419</v>
      </c>
      <c r="W10">
        <f t="shared" si="15"/>
        <v>142.48391211707258</v>
      </c>
      <c r="X10">
        <f t="shared" si="16"/>
        <v>47.825330745214139</v>
      </c>
      <c r="Y10">
        <f t="shared" si="17"/>
        <v>-7.9230117089518437E-2</v>
      </c>
      <c r="Z10">
        <f t="shared" si="18"/>
        <v>-0.1482930361970034</v>
      </c>
      <c r="AA10">
        <f t="shared" si="19"/>
        <v>0.32487346915542048</v>
      </c>
      <c r="AB10">
        <f t="shared" si="20"/>
        <v>7.1807427982868433E-2</v>
      </c>
      <c r="AC10">
        <f t="shared" si="21"/>
        <v>0.13896731371313734</v>
      </c>
      <c r="AD10">
        <f t="shared" si="22"/>
        <v>184.20887580235311</v>
      </c>
      <c r="AE10">
        <f t="shared" si="23"/>
        <v>53.730176658296806</v>
      </c>
      <c r="AF10">
        <f t="shared" si="24"/>
        <v>52.807480659149611</v>
      </c>
      <c r="AG10">
        <f t="shared" si="25"/>
        <v>53.268828658723208</v>
      </c>
      <c r="AL10" t="s">
        <v>74</v>
      </c>
      <c r="AM10">
        <f>$AI$11</f>
        <v>166.37864106789297</v>
      </c>
    </row>
    <row r="11" spans="1:39" x14ac:dyDescent="0.25">
      <c r="A11" s="2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0.19344570800055366</v>
      </c>
      <c r="F11">
        <f>Align!G11</f>
        <v>0.39397038293851272</v>
      </c>
      <c r="G11">
        <v>0.6961572154518163</v>
      </c>
      <c r="H11">
        <f t="shared" si="0"/>
        <v>0.60023782639098366</v>
      </c>
      <c r="I11">
        <f t="shared" si="1"/>
        <v>1.034179657698451</v>
      </c>
      <c r="J11">
        <f t="shared" si="2"/>
        <v>6.2981541153835661</v>
      </c>
      <c r="K11">
        <f t="shared" si="3"/>
        <v>-1.1329283224620901E-2</v>
      </c>
      <c r="L11">
        <f t="shared" si="4"/>
        <v>6.5754076660330671</v>
      </c>
      <c r="M11">
        <f t="shared" si="5"/>
        <v>2.7612485606238808</v>
      </c>
      <c r="N11">
        <f t="shared" si="6"/>
        <v>6.2057497433777717</v>
      </c>
      <c r="O11">
        <f t="shared" si="7"/>
        <v>3.0471215725099987</v>
      </c>
      <c r="P11">
        <f t="shared" si="8"/>
        <v>242.55029075645052</v>
      </c>
      <c r="Q11">
        <f t="shared" si="9"/>
        <v>58.478045283088058</v>
      </c>
      <c r="R11">
        <f t="shared" si="10"/>
        <v>272.30690299812977</v>
      </c>
      <c r="S11">
        <f t="shared" si="11"/>
        <v>144.89300297874519</v>
      </c>
      <c r="T11">
        <f t="shared" si="12"/>
        <v>48.020235829879617</v>
      </c>
      <c r="U11">
        <f t="shared" si="13"/>
        <v>5.9387003111699634</v>
      </c>
      <c r="V11">
        <f t="shared" si="14"/>
        <v>272.29890842558495</v>
      </c>
      <c r="W11">
        <f t="shared" si="15"/>
        <v>144.83810606518963</v>
      </c>
      <c r="X11">
        <f t="shared" si="16"/>
        <v>47.964931981741998</v>
      </c>
      <c r="Y11">
        <f t="shared" si="17"/>
        <v>0.17076374850837972</v>
      </c>
      <c r="Z11">
        <f t="shared" si="18"/>
        <v>-7.9945725448169469E-3</v>
      </c>
      <c r="AA11">
        <f t="shared" si="19"/>
        <v>-5.4896913555552374E-2</v>
      </c>
      <c r="AB11">
        <f t="shared" si="20"/>
        <v>-5.5303848137619127E-2</v>
      </c>
      <c r="AC11">
        <f t="shared" si="21"/>
        <v>3.5296357731562131E-2</v>
      </c>
      <c r="AD11">
        <f t="shared" si="22"/>
        <v>187.3250401853214</v>
      </c>
      <c r="AE11">
        <f t="shared" si="23"/>
        <v>54.271119661124274</v>
      </c>
      <c r="AF11">
        <f t="shared" si="24"/>
        <v>53.232324335341652</v>
      </c>
      <c r="AG11">
        <f t="shared" si="25"/>
        <v>53.751721998232966</v>
      </c>
      <c r="AH11" t="s">
        <v>74</v>
      </c>
      <c r="AI11">
        <f>($AI$4+2*$AI$5)/3</f>
        <v>166.37864106789297</v>
      </c>
      <c r="AL11" t="s">
        <v>75</v>
      </c>
      <c r="AM11">
        <f>$AI$12</f>
        <v>3.5873142046202129</v>
      </c>
    </row>
    <row r="12" spans="1:39" x14ac:dyDescent="0.25">
      <c r="A12" s="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0.19224001764408633</v>
      </c>
      <c r="F12">
        <f>Align!G12</f>
        <v>0.39170885995096172</v>
      </c>
      <c r="G12">
        <v>0.69553963060411317</v>
      </c>
      <c r="H12">
        <f t="shared" si="0"/>
        <v>0.59970533491008049</v>
      </c>
      <c r="I12">
        <f t="shared" si="1"/>
        <v>1.0369369166792919</v>
      </c>
      <c r="J12">
        <f t="shared" si="2"/>
        <v>6.3149458225768873</v>
      </c>
      <c r="K12">
        <f t="shared" si="3"/>
        <v>-1.2237727263411102E-2</v>
      </c>
      <c r="L12">
        <f t="shared" si="4"/>
        <v>6.6007473880887115</v>
      </c>
      <c r="M12">
        <f t="shared" si="5"/>
        <v>2.7587989626969573</v>
      </c>
      <c r="N12">
        <f t="shared" si="6"/>
        <v>6.2391310847710857</v>
      </c>
      <c r="O12">
        <f t="shared" si="7"/>
        <v>3.061995253235569</v>
      </c>
      <c r="P12">
        <f t="shared" si="8"/>
        <v>245.82035956465458</v>
      </c>
      <c r="Q12">
        <f t="shared" si="9"/>
        <v>59.207763330744108</v>
      </c>
      <c r="R12">
        <f t="shared" si="10"/>
        <v>275.1413438007184</v>
      </c>
      <c r="S12">
        <f t="shared" si="11"/>
        <v>145.58092785583997</v>
      </c>
      <c r="T12">
        <f t="shared" si="12"/>
        <v>48.062874047353873</v>
      </c>
      <c r="U12">
        <f t="shared" si="13"/>
        <v>6.4397790480952786</v>
      </c>
      <c r="V12">
        <f t="shared" si="14"/>
        <v>274.88455843846941</v>
      </c>
      <c r="W12">
        <f t="shared" si="15"/>
        <v>146.15109618180014</v>
      </c>
      <c r="X12">
        <f t="shared" si="16"/>
        <v>48.037117510530095</v>
      </c>
      <c r="Y12">
        <f t="shared" si="17"/>
        <v>-0.14599926598848434</v>
      </c>
      <c r="Z12">
        <f t="shared" si="18"/>
        <v>-0.25678536224899062</v>
      </c>
      <c r="AA12">
        <f t="shared" si="19"/>
        <v>0.57016832596016798</v>
      </c>
      <c r="AB12">
        <f t="shared" si="20"/>
        <v>-2.5756536823777765E-2</v>
      </c>
      <c r="AC12">
        <f t="shared" si="21"/>
        <v>0.41300982705189654</v>
      </c>
      <c r="AD12">
        <f t="shared" si="22"/>
        <v>189.06225026735657</v>
      </c>
      <c r="AE12">
        <f t="shared" si="23"/>
        <v>54.568962957651912</v>
      </c>
      <c r="AF12">
        <f t="shared" si="24"/>
        <v>53.462407516868574</v>
      </c>
      <c r="AG12">
        <f t="shared" si="25"/>
        <v>54.015685237260243</v>
      </c>
      <c r="AH12" t="s">
        <v>75</v>
      </c>
      <c r="AI12">
        <f>($AI$7+2*$AI$8)/3</f>
        <v>3.5873142046202129</v>
      </c>
      <c r="AL12" t="s">
        <v>81</v>
      </c>
      <c r="AM12">
        <f>AE4</f>
        <v>50.467462199580666</v>
      </c>
    </row>
    <row r="13" spans="1:39" x14ac:dyDescent="0.25">
      <c r="A13" s="2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0.19126401652995695</v>
      </c>
      <c r="F13">
        <f>Align!G13</f>
        <v>0.3899965242098074</v>
      </c>
      <c r="G13">
        <v>0.69439994892540302</v>
      </c>
      <c r="H13">
        <f t="shared" si="0"/>
        <v>0.59872268323539724</v>
      </c>
      <c r="I13">
        <f t="shared" si="1"/>
        <v>1.042050908946466</v>
      </c>
      <c r="J13">
        <f t="shared" si="2"/>
        <v>6.3460900354839778</v>
      </c>
      <c r="K13">
        <f t="shared" si="3"/>
        <v>-1.392052411228395E-2</v>
      </c>
      <c r="L13">
        <f t="shared" si="4"/>
        <v>6.6403457717482857</v>
      </c>
      <c r="M13">
        <f t="shared" si="5"/>
        <v>2.752095321421224</v>
      </c>
      <c r="N13">
        <f t="shared" si="6"/>
        <v>6.2606934027407251</v>
      </c>
      <c r="O13">
        <f t="shared" si="7"/>
        <v>3.0704000988137059</v>
      </c>
      <c r="P13">
        <f t="shared" si="8"/>
        <v>248.74313388649685</v>
      </c>
      <c r="Q13">
        <f t="shared" si="9"/>
        <v>59.826854838711569</v>
      </c>
      <c r="R13">
        <f t="shared" si="10"/>
        <v>279.82571227322433</v>
      </c>
      <c r="S13">
        <f t="shared" si="11"/>
        <v>148.41061555329028</v>
      </c>
      <c r="T13">
        <f t="shared" si="12"/>
        <v>48.065467796200693</v>
      </c>
      <c r="U13">
        <f t="shared" si="13"/>
        <v>7.3778647095575227</v>
      </c>
      <c r="V13">
        <f t="shared" si="14"/>
        <v>279.70592252270296</v>
      </c>
      <c r="W13">
        <f t="shared" si="15"/>
        <v>148.60156271956782</v>
      </c>
      <c r="X13">
        <f t="shared" si="16"/>
        <v>48.161051038569859</v>
      </c>
      <c r="Y13">
        <f t="shared" si="17"/>
        <v>0.10337755217091171</v>
      </c>
      <c r="Z13">
        <f t="shared" si="18"/>
        <v>-0.1197897505213632</v>
      </c>
      <c r="AA13">
        <f t="shared" si="19"/>
        <v>0.19094716627753883</v>
      </c>
      <c r="AB13">
        <f t="shared" si="20"/>
        <v>9.5583242369166044E-2</v>
      </c>
      <c r="AC13">
        <f t="shared" si="21"/>
        <v>7.0633479154044804E-2</v>
      </c>
      <c r="AD13">
        <f t="shared" si="22"/>
        <v>192.30301598727954</v>
      </c>
      <c r="AE13">
        <f t="shared" si="23"/>
        <v>55.117502583768939</v>
      </c>
      <c r="AF13">
        <f t="shared" si="24"/>
        <v>53.878703627135359</v>
      </c>
      <c r="AG13">
        <f t="shared" si="25"/>
        <v>54.498103105452145</v>
      </c>
      <c r="AL13" t="s">
        <v>82</v>
      </c>
      <c r="AM13">
        <f>AF4</f>
        <v>50.075981225979341</v>
      </c>
    </row>
    <row r="14" spans="1:39" x14ac:dyDescent="0.25">
      <c r="A14" s="2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0.19049120618688217</v>
      </c>
      <c r="F14">
        <f>Align!G14</f>
        <v>0.38871581605483574</v>
      </c>
      <c r="G14">
        <v>0.69367430116348949</v>
      </c>
      <c r="H14">
        <f t="shared" si="0"/>
        <v>0.59809701819067917</v>
      </c>
      <c r="I14">
        <f t="shared" si="1"/>
        <v>1.0453245772950197</v>
      </c>
      <c r="J14">
        <f t="shared" si="2"/>
        <v>6.3660266757266699</v>
      </c>
      <c r="K14">
        <f t="shared" si="3"/>
        <v>-1.4996303724533311E-2</v>
      </c>
      <c r="L14">
        <f t="shared" si="4"/>
        <v>6.6652756633959926</v>
      </c>
      <c r="M14">
        <f t="shared" si="5"/>
        <v>2.7535846636641792</v>
      </c>
      <c r="N14">
        <f t="shared" si="6"/>
        <v>6.2795236605716447</v>
      </c>
      <c r="O14">
        <f t="shared" si="7"/>
        <v>3.0772970560390385</v>
      </c>
      <c r="P14">
        <f t="shared" si="8"/>
        <v>251.0278210802098</v>
      </c>
      <c r="Q14">
        <f t="shared" si="9"/>
        <v>60.284726763918115</v>
      </c>
      <c r="R14">
        <f t="shared" si="10"/>
        <v>282.81646238638552</v>
      </c>
      <c r="S14">
        <f t="shared" si="11"/>
        <v>150.23095098687338</v>
      </c>
      <c r="T14">
        <f t="shared" si="12"/>
        <v>48.268668892242204</v>
      </c>
      <c r="U14">
        <f t="shared" si="13"/>
        <v>7.9843189471277123</v>
      </c>
      <c r="V14">
        <f t="shared" si="14"/>
        <v>282.80972940874983</v>
      </c>
      <c r="W14">
        <f t="shared" si="15"/>
        <v>150.18058406937848</v>
      </c>
      <c r="X14">
        <f t="shared" si="16"/>
        <v>48.233513915535354</v>
      </c>
      <c r="Y14">
        <f t="shared" si="17"/>
        <v>0.15025585455747326</v>
      </c>
      <c r="Z14">
        <f t="shared" si="18"/>
        <v>-6.7329776356928051E-3</v>
      </c>
      <c r="AA14">
        <f t="shared" si="19"/>
        <v>-5.0366917494898189E-2</v>
      </c>
      <c r="AB14">
        <f t="shared" si="20"/>
        <v>-3.5154976706849084E-2</v>
      </c>
      <c r="AC14">
        <f t="shared" si="21"/>
        <v>2.639485358183628E-2</v>
      </c>
      <c r="AD14">
        <f t="shared" si="22"/>
        <v>194.39029918250228</v>
      </c>
      <c r="AE14">
        <f t="shared" si="23"/>
        <v>55.465937417195484</v>
      </c>
      <c r="AF14">
        <f t="shared" si="24"/>
        <v>54.137923361073248</v>
      </c>
      <c r="AG14">
        <f t="shared" si="25"/>
        <v>54.80193038913437</v>
      </c>
      <c r="AH14" t="s">
        <v>76</v>
      </c>
      <c r="AI14">
        <f>3*$AI$11*($AI$7-3)-7*$AI$4</f>
        <v>-509.29945899247605</v>
      </c>
      <c r="AL14" t="s">
        <v>83</v>
      </c>
      <c r="AM14">
        <f>AG4</f>
        <v>50.271721712780007</v>
      </c>
    </row>
    <row r="15" spans="1:39" x14ac:dyDescent="0.25">
      <c r="A15" s="2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0.18956204408307292</v>
      </c>
      <c r="F15">
        <f>Align!G15</f>
        <v>0.38725209804704125</v>
      </c>
      <c r="G15">
        <v>0.69313716665289482</v>
      </c>
      <c r="H15">
        <f t="shared" si="0"/>
        <v>0.59763389227032271</v>
      </c>
      <c r="I15">
        <f t="shared" si="1"/>
        <v>1.0477566289307698</v>
      </c>
      <c r="J15">
        <f t="shared" si="2"/>
        <v>6.3808378701883877</v>
      </c>
      <c r="K15">
        <f t="shared" si="3"/>
        <v>-1.5794787726464699E-2</v>
      </c>
      <c r="L15">
        <f t="shared" si="4"/>
        <v>6.6858111801570068</v>
      </c>
      <c r="M15">
        <f t="shared" si="5"/>
        <v>2.7503607004131734</v>
      </c>
      <c r="N15">
        <f t="shared" si="6"/>
        <v>6.3054172596748108</v>
      </c>
      <c r="O15">
        <f t="shared" si="7"/>
        <v>3.0865366270925945</v>
      </c>
      <c r="P15">
        <f t="shared" si="8"/>
        <v>253.69118218596657</v>
      </c>
      <c r="Q15">
        <f t="shared" si="9"/>
        <v>60.788381420370996</v>
      </c>
      <c r="R15">
        <f t="shared" si="10"/>
        <v>285.22390670924955</v>
      </c>
      <c r="S15">
        <f t="shared" si="11"/>
        <v>151.12650831132274</v>
      </c>
      <c r="T15">
        <f t="shared" si="12"/>
        <v>48.267745863186171</v>
      </c>
      <c r="U15">
        <f t="shared" si="13"/>
        <v>8.4378695217714395</v>
      </c>
      <c r="V15">
        <f t="shared" si="14"/>
        <v>285.12439179574369</v>
      </c>
      <c r="W15">
        <f t="shared" si="15"/>
        <v>151.35890750948707</v>
      </c>
      <c r="X15">
        <f t="shared" si="16"/>
        <v>48.283833729558779</v>
      </c>
      <c r="Y15">
        <f t="shared" si="17"/>
        <v>-8.4902414101646784E-2</v>
      </c>
      <c r="Z15">
        <f t="shared" si="18"/>
        <v>-9.9514913505856839E-2</v>
      </c>
      <c r="AA15">
        <f t="shared" si="19"/>
        <v>0.2323991981643303</v>
      </c>
      <c r="AB15">
        <f t="shared" si="20"/>
        <v>1.6087866372608062E-2</v>
      </c>
      <c r="AC15">
        <f t="shared" si="21"/>
        <v>7.1379844682212243E-2</v>
      </c>
      <c r="AD15">
        <f t="shared" si="22"/>
        <v>195.94740227157263</v>
      </c>
      <c r="AE15">
        <f t="shared" si="23"/>
        <v>55.723397094986595</v>
      </c>
      <c r="AF15">
        <f t="shared" si="24"/>
        <v>54.326758215481256</v>
      </c>
      <c r="AG15">
        <f t="shared" si="25"/>
        <v>55.025077655233929</v>
      </c>
      <c r="AH15" t="s">
        <v>77</v>
      </c>
      <c r="AI15">
        <f>3*$AI$11*($AI$8-1)-7*$AI$5</f>
        <v>-54.329728708663993</v>
      </c>
      <c r="AL15" t="s">
        <v>84</v>
      </c>
      <c r="AM15">
        <f>$AI$18</f>
        <v>1.8087601896400081</v>
      </c>
    </row>
    <row r="16" spans="1:39" x14ac:dyDescent="0.25">
      <c r="A16" s="2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0.18876987732243708</v>
      </c>
      <c r="F16">
        <f>Align!G16</f>
        <v>0.38605195687015897</v>
      </c>
      <c r="G16">
        <v>0.69241603908341687</v>
      </c>
      <c r="H16">
        <f t="shared" si="0"/>
        <v>0.59701212460743469</v>
      </c>
      <c r="I16">
        <f t="shared" si="1"/>
        <v>1.0510336473041018</v>
      </c>
      <c r="J16">
        <f t="shared" si="2"/>
        <v>6.4007949120819791</v>
      </c>
      <c r="K16">
        <f t="shared" si="3"/>
        <v>-1.6869712364845912E-2</v>
      </c>
      <c r="L16">
        <f t="shared" si="4"/>
        <v>6.7112226887639546</v>
      </c>
      <c r="M16">
        <f t="shared" si="5"/>
        <v>2.7453205936791423</v>
      </c>
      <c r="N16">
        <f t="shared" si="6"/>
        <v>6.3252901689148278</v>
      </c>
      <c r="O16">
        <f t="shared" si="7"/>
        <v>3.0929107545398509</v>
      </c>
      <c r="P16">
        <f t="shared" si="8"/>
        <v>256.09129648677174</v>
      </c>
      <c r="Q16">
        <f t="shared" si="9"/>
        <v>61.230624593540377</v>
      </c>
      <c r="R16">
        <f t="shared" si="10"/>
        <v>288.29506710591266</v>
      </c>
      <c r="S16">
        <f t="shared" si="11"/>
        <v>152.84460944418046</v>
      </c>
      <c r="T16">
        <f t="shared" si="12"/>
        <v>48.241416118888928</v>
      </c>
      <c r="U16">
        <f t="shared" si="13"/>
        <v>9.0530536021898804</v>
      </c>
      <c r="V16">
        <f t="shared" si="14"/>
        <v>288.25508088037924</v>
      </c>
      <c r="W16">
        <f t="shared" si="15"/>
        <v>152.95369166515852</v>
      </c>
      <c r="X16">
        <f t="shared" si="16"/>
        <v>48.346852780250771</v>
      </c>
      <c r="Y16">
        <f t="shared" si="17"/>
        <v>-7.2338571573249411E-2</v>
      </c>
      <c r="Z16">
        <f t="shared" si="18"/>
        <v>-3.9986225533425568E-2</v>
      </c>
      <c r="AA16">
        <f t="shared" si="19"/>
        <v>0.10908222097805265</v>
      </c>
      <c r="AB16">
        <f t="shared" si="20"/>
        <v>0.10543666136184271</v>
      </c>
      <c r="AC16">
        <f t="shared" si="21"/>
        <v>2.9847587662304706E-2</v>
      </c>
      <c r="AD16">
        <f t="shared" si="22"/>
        <v>198.05415473689877</v>
      </c>
      <c r="AE16">
        <f t="shared" si="23"/>
        <v>56.06838951119461</v>
      </c>
      <c r="AF16">
        <f t="shared" si="24"/>
        <v>54.576074294367693</v>
      </c>
      <c r="AG16">
        <f t="shared" si="25"/>
        <v>55.322231902781155</v>
      </c>
      <c r="AH16" t="s">
        <v>78</v>
      </c>
      <c r="AI16">
        <f>3*$AI$11*($AI$9-1)-7*$AI$6</f>
        <v>-698.71493928169252</v>
      </c>
    </row>
    <row r="17" spans="1:35" x14ac:dyDescent="0.25">
      <c r="A17" s="2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0.18821761319213962</v>
      </c>
      <c r="F17">
        <f>Align!G17</f>
        <v>0.38522940940047751</v>
      </c>
      <c r="G17">
        <v>0.69180705998857706</v>
      </c>
      <c r="H17">
        <f t="shared" si="0"/>
        <v>0.5964870531435601</v>
      </c>
      <c r="I17">
        <f t="shared" si="1"/>
        <v>1.0538116810085481</v>
      </c>
      <c r="J17">
        <f t="shared" si="2"/>
        <v>6.4177131373420577</v>
      </c>
      <c r="K17">
        <f t="shared" si="3"/>
        <v>-1.7780085809761204E-2</v>
      </c>
      <c r="L17">
        <f t="shared" si="4"/>
        <v>6.7314178062308017</v>
      </c>
      <c r="M17">
        <f t="shared" si="5"/>
        <v>2.7461725299668847</v>
      </c>
      <c r="N17">
        <f t="shared" si="6"/>
        <v>6.338270292851325</v>
      </c>
      <c r="O17">
        <f t="shared" si="7"/>
        <v>3.096788763204021</v>
      </c>
      <c r="P17">
        <f t="shared" si="8"/>
        <v>257.82309169319768</v>
      </c>
      <c r="Q17">
        <f t="shared" si="9"/>
        <v>61.546514890832491</v>
      </c>
      <c r="R17">
        <f t="shared" si="10"/>
        <v>290.79932579069038</v>
      </c>
      <c r="S17">
        <f t="shared" si="11"/>
        <v>154.55873090987447</v>
      </c>
      <c r="T17">
        <f t="shared" si="12"/>
        <v>48.398949791681567</v>
      </c>
      <c r="U17">
        <f t="shared" si="13"/>
        <v>9.5782135522012499</v>
      </c>
      <c r="V17">
        <f t="shared" si="14"/>
        <v>290.91969545006731</v>
      </c>
      <c r="W17">
        <f t="shared" si="15"/>
        <v>154.31200490519052</v>
      </c>
      <c r="X17">
        <f t="shared" si="16"/>
        <v>48.395936222791839</v>
      </c>
      <c r="Y17">
        <f t="shared" si="17"/>
        <v>2.2378351373793848E-2</v>
      </c>
      <c r="Z17">
        <f t="shared" si="18"/>
        <v>0.12036965937693367</v>
      </c>
      <c r="AA17">
        <f t="shared" si="19"/>
        <v>-0.2467260046839499</v>
      </c>
      <c r="AB17">
        <f t="shared" si="20"/>
        <v>-3.0135688897274804E-3</v>
      </c>
      <c r="AC17">
        <f t="shared" si="21"/>
        <v>7.5872448493485622E-2</v>
      </c>
      <c r="AD17">
        <f t="shared" si="22"/>
        <v>199.8479017534828</v>
      </c>
      <c r="AE17">
        <f t="shared" si="23"/>
        <v>56.359099842650458</v>
      </c>
      <c r="AF17">
        <f t="shared" si="24"/>
        <v>54.782751023745568</v>
      </c>
      <c r="AG17">
        <f t="shared" si="25"/>
        <v>55.570925433198013</v>
      </c>
    </row>
    <row r="18" spans="1:35" x14ac:dyDescent="0.25">
      <c r="A18" s="2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0.18751881685054153</v>
      </c>
      <c r="F18">
        <f>Align!G18</f>
        <v>0.38419063426876759</v>
      </c>
      <c r="G18">
        <v>0.6912096535750083</v>
      </c>
      <c r="H18">
        <f t="shared" si="0"/>
        <v>0.59597195982958817</v>
      </c>
      <c r="I18">
        <f t="shared" si="1"/>
        <v>1.0565464437318972</v>
      </c>
      <c r="J18">
        <f t="shared" si="2"/>
        <v>6.4343678423272541</v>
      </c>
      <c r="K18">
        <f t="shared" si="3"/>
        <v>-1.8675498123460033E-2</v>
      </c>
      <c r="L18">
        <f t="shared" si="4"/>
        <v>6.7518837843069637</v>
      </c>
      <c r="M18">
        <f t="shared" si="5"/>
        <v>2.7470724910364575</v>
      </c>
      <c r="N18">
        <f t="shared" si="6"/>
        <v>6.3563963322635164</v>
      </c>
      <c r="O18">
        <f t="shared" si="7"/>
        <v>3.1024804181596215</v>
      </c>
      <c r="P18">
        <f t="shared" si="8"/>
        <v>259.97274627569982</v>
      </c>
      <c r="Q18">
        <f t="shared" si="9"/>
        <v>61.933266073666481</v>
      </c>
      <c r="R18">
        <f t="shared" si="10"/>
        <v>293.32954062506116</v>
      </c>
      <c r="S18">
        <f t="shared" si="11"/>
        <v>156.0861026737482</v>
      </c>
      <c r="T18">
        <f t="shared" si="12"/>
        <v>48.556360269686472</v>
      </c>
      <c r="U18">
        <f t="shared" si="13"/>
        <v>10.098464911933856</v>
      </c>
      <c r="V18">
        <f t="shared" si="14"/>
        <v>293.55231282639932</v>
      </c>
      <c r="W18">
        <f t="shared" si="15"/>
        <v>155.65486534305003</v>
      </c>
      <c r="X18">
        <f t="shared" si="16"/>
        <v>48.440329180856693</v>
      </c>
      <c r="Y18">
        <f t="shared" si="17"/>
        <v>-1.6946224077171834E-2</v>
      </c>
      <c r="Z18">
        <f t="shared" si="18"/>
        <v>0.22277220133815945</v>
      </c>
      <c r="AA18">
        <f t="shared" si="19"/>
        <v>-0.43123733069816694</v>
      </c>
      <c r="AB18">
        <f t="shared" si="20"/>
        <v>-0.11603108882977864</v>
      </c>
      <c r="AC18">
        <f t="shared" si="21"/>
        <v>0.24934347716222732</v>
      </c>
      <c r="AD18">
        <f t="shared" si="22"/>
        <v>201.62068117083314</v>
      </c>
      <c r="AE18">
        <f t="shared" si="23"/>
        <v>56.643687005183871</v>
      </c>
      <c r="AF18">
        <f t="shared" si="24"/>
        <v>54.981953342598473</v>
      </c>
      <c r="AG18">
        <f t="shared" si="25"/>
        <v>55.812820173891168</v>
      </c>
      <c r="AH18" t="s">
        <v>79</v>
      </c>
      <c r="AI18">
        <f>SUM(AC4:AC25)</f>
        <v>1.8087601896400081</v>
      </c>
    </row>
    <row r="19" spans="1:35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0.18689416907287151</v>
      </c>
      <c r="F19">
        <f>Align!G19</f>
        <v>0.3832512269076177</v>
      </c>
      <c r="G19">
        <v>0.69328571428571428</v>
      </c>
      <c r="H19">
        <f t="shared" si="0"/>
        <v>0.59776197240259743</v>
      </c>
      <c r="I19">
        <f t="shared" si="1"/>
        <v>1.0470832770179086</v>
      </c>
      <c r="J19">
        <f t="shared" si="2"/>
        <v>6.376737157039063</v>
      </c>
      <c r="K19">
        <f t="shared" si="3"/>
        <v>-1.5573776721581889E-2</v>
      </c>
      <c r="L19">
        <f t="shared" si="4"/>
        <v>6.7987277604700846</v>
      </c>
      <c r="M19">
        <f t="shared" si="5"/>
        <v>2.7487687189505321</v>
      </c>
      <c r="N19">
        <f t="shared" si="6"/>
        <v>6.3967963834069677</v>
      </c>
      <c r="O19">
        <f t="shared" si="7"/>
        <v>3.1194262689036991</v>
      </c>
      <c r="P19">
        <f t="shared" si="8"/>
        <v>260.92973304942819</v>
      </c>
      <c r="Q19">
        <f t="shared" si="9"/>
        <v>62.050883038319299</v>
      </c>
      <c r="R19">
        <f t="shared" si="10"/>
        <v>294.75000323850139</v>
      </c>
      <c r="S19">
        <f t="shared" si="11"/>
        <v>156.77825498521912</v>
      </c>
      <c r="T19">
        <f t="shared" si="12"/>
        <v>48.18090086167561</v>
      </c>
      <c r="U19">
        <f t="shared" si="13"/>
        <v>8.3120401497745373</v>
      </c>
      <c r="V19">
        <f t="shared" si="14"/>
        <v>284.48279055011017</v>
      </c>
      <c r="W19">
        <f t="shared" si="15"/>
        <v>151.03222217804162</v>
      </c>
      <c r="X19">
        <f t="shared" si="16"/>
        <v>48.270203390919313</v>
      </c>
      <c r="Y19">
        <f t="shared" si="17"/>
        <v>-2.3199026187136198</v>
      </c>
      <c r="Z19">
        <f t="shared" si="18"/>
        <v>-10.267212688391226</v>
      </c>
      <c r="AA19">
        <f t="shared" si="19"/>
        <v>-5.7460328071774995</v>
      </c>
      <c r="AB19">
        <f t="shared" si="20"/>
        <v>8.9302529243703077E-2</v>
      </c>
      <c r="AC19">
        <f t="shared" si="21"/>
        <v>0</v>
      </c>
      <c r="AD19">
        <f t="shared" si="22"/>
        <v>195.51574496873113</v>
      </c>
      <c r="AE19">
        <f t="shared" si="23"/>
        <v>55.652235708965307</v>
      </c>
      <c r="AF19">
        <f t="shared" si="24"/>
        <v>54.274798525393855</v>
      </c>
      <c r="AG19">
        <f t="shared" si="25"/>
        <v>54.963517117179578</v>
      </c>
    </row>
    <row r="20" spans="1:35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0.18653850947206904</v>
      </c>
      <c r="F20">
        <f>Align!G20</f>
        <v>0.38270781210782145</v>
      </c>
      <c r="G20">
        <v>0.6925714285714285</v>
      </c>
      <c r="H20">
        <f t="shared" si="0"/>
        <v>0.59714610389610379</v>
      </c>
      <c r="I20">
        <f t="shared" si="1"/>
        <v>1.0503263573424626</v>
      </c>
      <c r="J20">
        <f t="shared" si="2"/>
        <v>6.396487516215597</v>
      </c>
      <c r="K20">
        <f t="shared" si="3"/>
        <v>-1.6637802394100842E-2</v>
      </c>
      <c r="L20">
        <f t="shared" si="4"/>
        <v>6.811763024880789</v>
      </c>
      <c r="M20">
        <f t="shared" si="5"/>
        <v>2.741588701491056</v>
      </c>
      <c r="N20">
        <f t="shared" si="6"/>
        <v>6.4023895718488761</v>
      </c>
      <c r="O20">
        <f t="shared" si="7"/>
        <v>3.1206371283995007</v>
      </c>
      <c r="P20">
        <f t="shared" si="8"/>
        <v>262.19581147968313</v>
      </c>
      <c r="Q20">
        <f t="shared" si="9"/>
        <v>62.291401069638574</v>
      </c>
      <c r="R20">
        <f t="shared" si="10"/>
        <v>296.79775959233848</v>
      </c>
      <c r="S20">
        <f t="shared" si="11"/>
        <v>158.00153056343595</v>
      </c>
      <c r="T20">
        <f t="shared" si="12"/>
        <v>48.077974180013186</v>
      </c>
      <c r="U20">
        <f t="shared" si="13"/>
        <v>8.9198821584618191</v>
      </c>
      <c r="V20">
        <f t="shared" si="14"/>
        <v>287.5782242862818</v>
      </c>
      <c r="W20">
        <f t="shared" si="15"/>
        <v>152.60879647398627</v>
      </c>
      <c r="X20">
        <f t="shared" si="16"/>
        <v>48.333718353847587</v>
      </c>
      <c r="Y20">
        <f t="shared" si="17"/>
        <v>-2.0133707289713598</v>
      </c>
      <c r="Z20">
        <f t="shared" si="18"/>
        <v>-9.2195353060566845</v>
      </c>
      <c r="AA20">
        <f t="shared" si="19"/>
        <v>-5.3927340894496751</v>
      </c>
      <c r="AB20">
        <f t="shared" si="20"/>
        <v>0.25574417383440107</v>
      </c>
      <c r="AC20">
        <f t="shared" si="21"/>
        <v>0</v>
      </c>
      <c r="AD20">
        <f t="shared" si="22"/>
        <v>197.59860574475147</v>
      </c>
      <c r="AE20">
        <f t="shared" si="23"/>
        <v>55.994116574767659</v>
      </c>
      <c r="AF20">
        <f t="shared" si="24"/>
        <v>54.522765831405145</v>
      </c>
      <c r="AG20">
        <f t="shared" si="25"/>
        <v>55.258441203086406</v>
      </c>
    </row>
    <row r="21" spans="1:35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0.18628790984322882</v>
      </c>
      <c r="F21">
        <f>Align!G21</f>
        <v>0.38232053933053556</v>
      </c>
      <c r="G21">
        <v>0.69185714285714284</v>
      </c>
      <c r="H21">
        <f t="shared" si="0"/>
        <v>0.59653023538961036</v>
      </c>
      <c r="I21">
        <f t="shared" si="1"/>
        <v>1.0535828443534312</v>
      </c>
      <c r="J21">
        <f t="shared" si="2"/>
        <v>6.4163195221123956</v>
      </c>
      <c r="K21">
        <f t="shared" si="3"/>
        <v>-1.7705125325047422E-2</v>
      </c>
      <c r="L21">
        <f t="shared" si="4"/>
        <v>6.8383669559885432</v>
      </c>
      <c r="M21">
        <f t="shared" si="5"/>
        <v>2.7365945581500672</v>
      </c>
      <c r="N21">
        <f t="shared" si="6"/>
        <v>6.4043902354331239</v>
      </c>
      <c r="O21">
        <f t="shared" si="7"/>
        <v>3.1205764484124647</v>
      </c>
      <c r="P21">
        <f t="shared" si="8"/>
        <v>263.17313645738636</v>
      </c>
      <c r="Q21">
        <f t="shared" si="9"/>
        <v>62.482102633890406</v>
      </c>
      <c r="R21">
        <f t="shared" si="10"/>
        <v>300.04803489689095</v>
      </c>
      <c r="S21">
        <f t="shared" si="11"/>
        <v>160.65322164114082</v>
      </c>
      <c r="T21">
        <f t="shared" si="12"/>
        <v>48.051494645921096</v>
      </c>
      <c r="U21">
        <f t="shared" si="13"/>
        <v>9.534827668418151</v>
      </c>
      <c r="V21">
        <f t="shared" si="14"/>
        <v>290.69983342296922</v>
      </c>
      <c r="W21">
        <f t="shared" si="15"/>
        <v>154.19989503395198</v>
      </c>
      <c r="X21">
        <f t="shared" si="16"/>
        <v>48.392044477242862</v>
      </c>
      <c r="Y21">
        <f t="shared" si="17"/>
        <v>-1.6136467325471635</v>
      </c>
      <c r="Z21">
        <f t="shared" si="18"/>
        <v>-9.3482014739217334</v>
      </c>
      <c r="AA21">
        <f t="shared" si="19"/>
        <v>-6.453326607188842</v>
      </c>
      <c r="AB21">
        <f t="shared" si="20"/>
        <v>0.34054983132176631</v>
      </c>
      <c r="AC21">
        <f t="shared" si="21"/>
        <v>0</v>
      </c>
      <c r="AD21">
        <f t="shared" si="22"/>
        <v>199.69987449695773</v>
      </c>
      <c r="AE21">
        <f t="shared" si="23"/>
        <v>56.335214364149166</v>
      </c>
      <c r="AF21">
        <f t="shared" si="24"/>
        <v>54.765890127662082</v>
      </c>
      <c r="AG21">
        <f t="shared" si="25"/>
        <v>55.550552245905621</v>
      </c>
    </row>
    <row r="22" spans="1:35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0.18584227706986439</v>
      </c>
      <c r="F22">
        <f>Align!G22</f>
        <v>0.38162352074308936</v>
      </c>
      <c r="G22">
        <v>0.69114285714285706</v>
      </c>
      <c r="H22">
        <f t="shared" si="0"/>
        <v>0.59591436688311683</v>
      </c>
      <c r="I22">
        <f t="shared" si="1"/>
        <v>1.0568528074004548</v>
      </c>
      <c r="J22">
        <f t="shared" si="2"/>
        <v>6.4362335970687701</v>
      </c>
      <c r="K22">
        <f t="shared" si="3"/>
        <v>-1.87757591521307E-2</v>
      </c>
      <c r="L22">
        <f t="shared" si="4"/>
        <v>6.8516234887382037</v>
      </c>
      <c r="M22">
        <f t="shared" si="5"/>
        <v>2.7359336092850102</v>
      </c>
      <c r="N22">
        <f t="shared" si="6"/>
        <v>6.4131195148786571</v>
      </c>
      <c r="O22">
        <f t="shared" si="7"/>
        <v>3.1230484207197962</v>
      </c>
      <c r="P22">
        <f t="shared" si="8"/>
        <v>264.71007131043876</v>
      </c>
      <c r="Q22">
        <f t="shared" si="9"/>
        <v>62.775363108994824</v>
      </c>
      <c r="R22">
        <f t="shared" si="10"/>
        <v>302.14734131537085</v>
      </c>
      <c r="S22">
        <f t="shared" si="11"/>
        <v>161.99860189014413</v>
      </c>
      <c r="T22">
        <f t="shared" si="12"/>
        <v>48.177349901757744</v>
      </c>
      <c r="U22">
        <f t="shared" si="13"/>
        <v>10.156948642013493</v>
      </c>
      <c r="V22">
        <f t="shared" si="14"/>
        <v>293.8478203369101</v>
      </c>
      <c r="W22">
        <f t="shared" si="15"/>
        <v>155.80565277453238</v>
      </c>
      <c r="X22">
        <f t="shared" si="16"/>
        <v>48.445058225808822</v>
      </c>
      <c r="Y22">
        <f t="shared" si="17"/>
        <v>-1.378924483309703</v>
      </c>
      <c r="Z22">
        <f t="shared" si="18"/>
        <v>-8.2995209784607482</v>
      </c>
      <c r="AA22">
        <f t="shared" si="19"/>
        <v>-6.1929491156117535</v>
      </c>
      <c r="AB22">
        <f t="shared" si="20"/>
        <v>0.26770832405107825</v>
      </c>
      <c r="AC22">
        <f t="shared" si="21"/>
        <v>0</v>
      </c>
      <c r="AD22">
        <f t="shared" si="22"/>
        <v>201.81970862865828</v>
      </c>
      <c r="AE22">
        <f t="shared" si="23"/>
        <v>56.675468447960839</v>
      </c>
      <c r="AF22">
        <f t="shared" si="24"/>
        <v>55.004003522692678</v>
      </c>
      <c r="AG22">
        <f t="shared" si="25"/>
        <v>55.839735985326755</v>
      </c>
    </row>
    <row r="23" spans="1:35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0.18525167989688088</v>
      </c>
      <c r="F23">
        <f>Align!G23</f>
        <v>0.38069110863859346</v>
      </c>
      <c r="G23">
        <v>0.69042857142857139</v>
      </c>
      <c r="H23">
        <f t="shared" si="0"/>
        <v>0.5952984983766233</v>
      </c>
      <c r="I23">
        <f t="shared" si="1"/>
        <v>1.0601363162640909</v>
      </c>
      <c r="J23">
        <f t="shared" si="2"/>
        <v>6.4562301660483135</v>
      </c>
      <c r="K23">
        <f t="shared" si="3"/>
        <v>-1.9849717583639515E-2</v>
      </c>
      <c r="L23">
        <f t="shared" si="4"/>
        <v>6.8717917578672836</v>
      </c>
      <c r="M23">
        <f t="shared" si="5"/>
        <v>2.7298641601395173</v>
      </c>
      <c r="N23">
        <f t="shared" si="6"/>
        <v>6.4269160604426609</v>
      </c>
      <c r="O23">
        <f t="shared" si="7"/>
        <v>3.1274620545013354</v>
      </c>
      <c r="P23">
        <f t="shared" si="8"/>
        <v>266.67620137590995</v>
      </c>
      <c r="Q23">
        <f t="shared" si="9"/>
        <v>63.148509292013159</v>
      </c>
      <c r="R23">
        <f t="shared" si="10"/>
        <v>304.87301458741479</v>
      </c>
      <c r="S23">
        <f t="shared" si="11"/>
        <v>163.54033614185886</v>
      </c>
      <c r="T23">
        <f t="shared" si="12"/>
        <v>48.11284943048355</v>
      </c>
      <c r="U23">
        <f t="shared" si="13"/>
        <v>10.78631775514576</v>
      </c>
      <c r="V23">
        <f t="shared" si="14"/>
        <v>297.02238873178999</v>
      </c>
      <c r="W23">
        <f t="shared" si="15"/>
        <v>157.42620590732889</v>
      </c>
      <c r="X23">
        <f t="shared" si="16"/>
        <v>48.492633825079082</v>
      </c>
      <c r="Y23">
        <f t="shared" si="17"/>
        <v>-1.2660870026545918</v>
      </c>
      <c r="Z23">
        <f t="shared" si="18"/>
        <v>-7.8506258556247985</v>
      </c>
      <c r="AA23">
        <f t="shared" si="19"/>
        <v>-6.1141302345299664</v>
      </c>
      <c r="AB23">
        <f t="shared" si="20"/>
        <v>0.37978439459553215</v>
      </c>
      <c r="AC23">
        <f t="shared" si="21"/>
        <v>0</v>
      </c>
      <c r="AD23">
        <f t="shared" si="22"/>
        <v>203.95826684881592</v>
      </c>
      <c r="AE23">
        <f t="shared" si="23"/>
        <v>57.014816859939671</v>
      </c>
      <c r="AF23">
        <f t="shared" si="24"/>
        <v>55.236933701544388</v>
      </c>
      <c r="AG23">
        <f t="shared" si="25"/>
        <v>56.125875280742029</v>
      </c>
    </row>
    <row r="24" spans="1:35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0.18495311800280445</v>
      </c>
      <c r="F24">
        <f>Align!G24</f>
        <v>0.38022277732041276</v>
      </c>
      <c r="G24">
        <v>0.68971428571428572</v>
      </c>
      <c r="H24">
        <f t="shared" si="0"/>
        <v>0.59468262987012988</v>
      </c>
      <c r="I24">
        <f t="shared" si="1"/>
        <v>1.0634334411589481</v>
      </c>
      <c r="J24">
        <f t="shared" si="2"/>
        <v>6.4763096566579934</v>
      </c>
      <c r="K24">
        <f t="shared" si="3"/>
        <v>-2.0927014398884114E-2</v>
      </c>
      <c r="L24">
        <f t="shared" si="4"/>
        <v>6.88524102758665</v>
      </c>
      <c r="M24">
        <f t="shared" si="5"/>
        <v>2.7205858638129383</v>
      </c>
      <c r="N24">
        <f t="shared" si="6"/>
        <v>6.4306310300874481</v>
      </c>
      <c r="O24">
        <f t="shared" si="7"/>
        <v>3.1280747253549848</v>
      </c>
      <c r="P24">
        <f t="shared" si="8"/>
        <v>267.8149332591808</v>
      </c>
      <c r="Q24">
        <f t="shared" si="9"/>
        <v>63.369728176843154</v>
      </c>
      <c r="R24">
        <f t="shared" si="10"/>
        <v>307.01945874754944</v>
      </c>
      <c r="S24">
        <f t="shared" si="11"/>
        <v>164.8452464446963</v>
      </c>
      <c r="T24">
        <f t="shared" si="12"/>
        <v>47.934972227676305</v>
      </c>
      <c r="U24">
        <f t="shared" si="13"/>
        <v>11.42300840426612</v>
      </c>
      <c r="V24">
        <f t="shared" si="14"/>
        <v>300.22374364161567</v>
      </c>
      <c r="W24">
        <f t="shared" si="15"/>
        <v>159.06169195172657</v>
      </c>
      <c r="X24">
        <f t="shared" si="16"/>
        <v>48.534643223164451</v>
      </c>
      <c r="Y24">
        <f t="shared" si="17"/>
        <v>-0.88766216977280976</v>
      </c>
      <c r="Z24">
        <f t="shared" si="18"/>
        <v>-6.7957151059337662</v>
      </c>
      <c r="AA24">
        <f t="shared" si="19"/>
        <v>-5.7835544929697278</v>
      </c>
      <c r="AB24">
        <f t="shared" si="20"/>
        <v>0.59967099548814673</v>
      </c>
      <c r="AC24">
        <f t="shared" si="21"/>
        <v>0</v>
      </c>
      <c r="AD24">
        <f t="shared" si="22"/>
        <v>206.1157091816896</v>
      </c>
      <c r="AE24">
        <f t="shared" si="23"/>
        <v>57.353196271876492</v>
      </c>
      <c r="AF24">
        <f t="shared" si="24"/>
        <v>55.464503809800419</v>
      </c>
      <c r="AG24">
        <f t="shared" si="25"/>
        <v>56.408850040838459</v>
      </c>
    </row>
    <row r="25" spans="1:35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0.18475088415451557</v>
      </c>
      <c r="F25">
        <f>Align!G25</f>
        <v>0.37990972573080195</v>
      </c>
      <c r="G25">
        <v>0.68899999999999995</v>
      </c>
      <c r="H25">
        <f t="shared" si="0"/>
        <v>0.59406676136363634</v>
      </c>
      <c r="I25">
        <f t="shared" si="1"/>
        <v>1.0667442527368352</v>
      </c>
      <c r="J25">
        <f t="shared" si="2"/>
        <v>6.4964724991673259</v>
      </c>
      <c r="K25">
        <f t="shared" si="3"/>
        <v>-2.2007663448636028E-2</v>
      </c>
      <c r="L25">
        <f t="shared" si="4"/>
        <v>6.8987710956513242</v>
      </c>
      <c r="M25">
        <f t="shared" si="5"/>
        <v>2.718840805524612</v>
      </c>
      <c r="N25">
        <f t="shared" si="6"/>
        <v>6.4310031757876871</v>
      </c>
      <c r="O25">
        <f t="shared" si="7"/>
        <v>3.1274101247125361</v>
      </c>
      <c r="P25">
        <f t="shared" si="8"/>
        <v>268.67982232499071</v>
      </c>
      <c r="Q25">
        <f t="shared" si="9"/>
        <v>63.540010166464022</v>
      </c>
      <c r="R25">
        <f t="shared" si="10"/>
        <v>309.18689259875458</v>
      </c>
      <c r="S25">
        <f t="shared" si="11"/>
        <v>166.5894060945528</v>
      </c>
      <c r="T25">
        <f t="shared" si="12"/>
        <v>48.022543995190276</v>
      </c>
      <c r="U25">
        <f t="shared" si="13"/>
        <v>12.067094713467782</v>
      </c>
      <c r="V25">
        <f t="shared" si="14"/>
        <v>303.45209143393902</v>
      </c>
      <c r="W25">
        <f t="shared" si="15"/>
        <v>160.71224974778809</v>
      </c>
      <c r="X25">
        <f t="shared" si="16"/>
        <v>48.570956051844952</v>
      </c>
      <c r="Y25">
        <f t="shared" si="17"/>
        <v>-0.41575307139686757</v>
      </c>
      <c r="Z25">
        <f t="shared" si="18"/>
        <v>-5.7348011648155648</v>
      </c>
      <c r="AA25">
        <f t="shared" si="19"/>
        <v>-5.877156346764707</v>
      </c>
      <c r="AB25">
        <f t="shared" si="20"/>
        <v>0.54841205665467641</v>
      </c>
      <c r="AC25">
        <f t="shared" si="21"/>
        <v>0</v>
      </c>
      <c r="AD25">
        <f t="shared" si="22"/>
        <v>208.2921969765051</v>
      </c>
      <c r="AE25">
        <f t="shared" si="23"/>
        <v>57.690541968337151</v>
      </c>
      <c r="AF25">
        <f t="shared" si="24"/>
        <v>55.686532334018693</v>
      </c>
      <c r="AG25">
        <f t="shared" si="25"/>
        <v>56.688537151177925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E414C-B75C-473D-BA70-9AA8EACEF3E7}">
  <dimension ref="A3:AM25"/>
  <sheetViews>
    <sheetView workbookViewId="0">
      <selection activeCell="G11" sqref="G11"/>
    </sheetView>
  </sheetViews>
  <sheetFormatPr defaultRowHeight="15" x14ac:dyDescent="0.25"/>
  <sheetData>
    <row r="3" spans="1:39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66</v>
      </c>
      <c r="AI3" t="s">
        <v>67</v>
      </c>
      <c r="AL3" t="s">
        <v>80</v>
      </c>
    </row>
    <row r="4" spans="1:39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0.20291614843494321</v>
      </c>
      <c r="F4">
        <f>Align!G4</f>
        <v>0.41955125799861193</v>
      </c>
      <c r="G4">
        <f>Lfin_100</f>
        <v>0.70399999999999996</v>
      </c>
      <c r="H4">
        <f t="shared" ref="H4:H25" si="0">G4*Lfin_111/Lfin_100</f>
        <v>0.60699999999999998</v>
      </c>
      <c r="I4">
        <f t="shared" ref="I4:I25" si="1">($G$4/G4)^3</f>
        <v>1</v>
      </c>
      <c r="J4">
        <f t="shared" ref="J4:J25" si="2">rho_100*I4</f>
        <v>6.09</v>
      </c>
      <c r="K4">
        <f t="shared" ref="K4:K25" si="3">0.5*(1-I4^(2/3))</f>
        <v>0</v>
      </c>
      <c r="L4">
        <f t="shared" ref="L4:L25" si="4">2*G4/C4</f>
        <v>6.1431082084309132</v>
      </c>
      <c r="M4">
        <f t="shared" ref="M4:M25" si="5">2*G4/D4</f>
        <v>2.7557757329741848</v>
      </c>
      <c r="N4">
        <f t="shared" ref="N4:N25" si="6">2*H4/E4</f>
        <v>5.9827668195132313</v>
      </c>
      <c r="O4">
        <f t="shared" ref="O4:O25" si="7">2*H4/F4</f>
        <v>2.8935677747485538</v>
      </c>
      <c r="P4">
        <f t="shared" ref="P4:P25" si="8">J4*N4^2</f>
        <v>217.98240779351096</v>
      </c>
      <c r="Q4">
        <f t="shared" ref="Q4:Q25" si="9">J4*O4^2</f>
        <v>50.989952904415482</v>
      </c>
      <c r="R4">
        <f t="shared" ref="R4:R25" si="10">J4*L4^2</f>
        <v>229.82307082439178</v>
      </c>
      <c r="S4">
        <f t="shared" ref="S4:S25" si="11">R4+T4-3*Q4</f>
        <v>121.92283350012039</v>
      </c>
      <c r="T4">
        <f t="shared" ref="T4:T25" si="12">Q4+0.5*P4-0.5*R4</f>
        <v>45.069621388975065</v>
      </c>
      <c r="U4">
        <f t="shared" ref="U4:U25" si="13">-3*$AI$11*((1-2*K4)^2.5)*(1+1.5*(4-$AI$12)*K4)*K4</f>
        <v>0</v>
      </c>
      <c r="V4">
        <f t="shared" ref="V4:V25" si="14">((1-2*K4)^3.5)*($AI$4-$AI$14*K4)+3*U4</f>
        <v>241.08911453647184</v>
      </c>
      <c r="W4">
        <f t="shared" ref="W4:W25" si="15">((1-2*K4)^3.5)*($AI$5-$AI$15*K4)+1*U4</f>
        <v>123.47736714778917</v>
      </c>
      <c r="X4">
        <f t="shared" ref="X4:X25" si="16">((1-2*K4)^3.5)*($AI$6-$AI$16*K4)+1*U4</f>
        <v>41.202696127223327</v>
      </c>
      <c r="Y4">
        <f t="shared" ref="Y4:Y25" si="17">U4-B4</f>
        <v>0</v>
      </c>
      <c r="Z4">
        <f t="shared" ref="Z4:Z25" si="18">V4-R4</f>
        <v>11.266043712080062</v>
      </c>
      <c r="AA4">
        <f t="shared" ref="AA4:AA25" si="19">W4-S4</f>
        <v>1.5545336476687766</v>
      </c>
      <c r="AB4">
        <f t="shared" ref="AB4:AB25" si="20">X4-T4</f>
        <v>-3.8669252617517387</v>
      </c>
      <c r="AC4">
        <f t="shared" ref="AC4:AC25" si="21">IF(AND(A4&gt;=CutoffLowBar,A4&lt;=CutoffOilBar),Y4^2+Z4^2+AA4^2+AB4^2,0)</f>
        <v>0</v>
      </c>
      <c r="AD4">
        <f t="shared" ref="AD4:AD25" si="22">(V4+2*W4)/3</f>
        <v>162.68128294401671</v>
      </c>
      <c r="AE4">
        <f t="shared" ref="AE4:AE25" si="23">(V4-W4+3*X4)/5</f>
        <v>48.243967154070525</v>
      </c>
      <c r="AF4">
        <f t="shared" ref="AF4:AF25" si="24">5*(V4-W4)*X4/(3*(V4-W4)+4*X4)</f>
        <v>46.80728566367096</v>
      </c>
      <c r="AG4">
        <f t="shared" ref="AG4:AG25" si="25">(AE4+AF4)/2</f>
        <v>47.525626408870743</v>
      </c>
      <c r="AH4" t="s">
        <v>68</v>
      </c>
      <c r="AI4">
        <v>241.08911453647184</v>
      </c>
      <c r="AL4" t="s">
        <v>68</v>
      </c>
      <c r="AM4">
        <f>$AI$4</f>
        <v>241.08911453647184</v>
      </c>
    </row>
    <row r="5" spans="1:39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0.20282185216281789</v>
      </c>
      <c r="F5">
        <f>Align!G5</f>
        <v>0.41875595960981177</v>
      </c>
      <c r="G5">
        <v>0.70328571428571429</v>
      </c>
      <c r="H5">
        <f t="shared" si="0"/>
        <v>0.60638413149350656</v>
      </c>
      <c r="I5">
        <f t="shared" si="1"/>
        <v>1.0030500182349524</v>
      </c>
      <c r="J5">
        <f t="shared" si="2"/>
        <v>6.1085746110508605</v>
      </c>
      <c r="K5">
        <f t="shared" si="3"/>
        <v>-1.0161566325762594E-3</v>
      </c>
      <c r="L5">
        <f t="shared" si="4"/>
        <v>6.258501511054912</v>
      </c>
      <c r="M5">
        <f t="shared" si="5"/>
        <v>2.7730246957953448</v>
      </c>
      <c r="N5">
        <f t="shared" si="6"/>
        <v>5.979475337861758</v>
      </c>
      <c r="O5">
        <f t="shared" si="7"/>
        <v>2.896121798760896</v>
      </c>
      <c r="P5">
        <f t="shared" si="8"/>
        <v>218.40674214624084</v>
      </c>
      <c r="Q5">
        <f t="shared" si="9"/>
        <v>51.235800721188021</v>
      </c>
      <c r="R5">
        <f t="shared" si="10"/>
        <v>239.26578867794052</v>
      </c>
      <c r="S5">
        <f t="shared" si="11"/>
        <v>126.3646639697146</v>
      </c>
      <c r="T5">
        <f t="shared" si="12"/>
        <v>40.806277455338176</v>
      </c>
      <c r="U5">
        <f t="shared" si="13"/>
        <v>0.49826789328535293</v>
      </c>
      <c r="V5">
        <f t="shared" si="14"/>
        <v>243.76478395887472</v>
      </c>
      <c r="W5">
        <f t="shared" si="15"/>
        <v>124.94328390834657</v>
      </c>
      <c r="X5">
        <f t="shared" si="16"/>
        <v>41.444129221149858</v>
      </c>
      <c r="Y5">
        <f t="shared" si="17"/>
        <v>0.36913498516607757</v>
      </c>
      <c r="Z5">
        <f t="shared" si="18"/>
        <v>4.4989952809341958</v>
      </c>
      <c r="AA5">
        <f t="shared" si="19"/>
        <v>-1.4213800613680263</v>
      </c>
      <c r="AB5">
        <f t="shared" si="20"/>
        <v>0.63785176581168201</v>
      </c>
      <c r="AC5">
        <f t="shared" si="21"/>
        <v>0</v>
      </c>
      <c r="AD5">
        <f t="shared" si="22"/>
        <v>164.55045059185593</v>
      </c>
      <c r="AE5">
        <f t="shared" si="23"/>
        <v>48.630777542795542</v>
      </c>
      <c r="AF5">
        <f t="shared" si="24"/>
        <v>47.147327016672826</v>
      </c>
      <c r="AG5">
        <f t="shared" si="25"/>
        <v>47.889052279734187</v>
      </c>
      <c r="AH5" t="s">
        <v>69</v>
      </c>
      <c r="AI5">
        <v>123.47736714778917</v>
      </c>
      <c r="AL5" t="s">
        <v>69</v>
      </c>
      <c r="AM5">
        <f>$AI$5</f>
        <v>123.47736714778917</v>
      </c>
    </row>
    <row r="6" spans="1:39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0.20068313946370661</v>
      </c>
      <c r="F6">
        <f>Align!G6</f>
        <v>0.41032240249009772</v>
      </c>
      <c r="G6">
        <v>0.70257142857142851</v>
      </c>
      <c r="H6">
        <f t="shared" si="0"/>
        <v>0.60576826298701292</v>
      </c>
      <c r="I6">
        <f t="shared" si="1"/>
        <v>1.0061124525725225</v>
      </c>
      <c r="J6">
        <f t="shared" si="2"/>
        <v>6.1272248361666612</v>
      </c>
      <c r="K6">
        <f t="shared" si="3"/>
        <v>-2.0354141387647351E-3</v>
      </c>
      <c r="L6">
        <f t="shared" si="4"/>
        <v>6.3596744792744664</v>
      </c>
      <c r="M6">
        <f t="shared" si="5"/>
        <v>2.7778754271810775</v>
      </c>
      <c r="N6">
        <f t="shared" si="6"/>
        <v>6.0370618538839995</v>
      </c>
      <c r="O6">
        <f t="shared" si="7"/>
        <v>2.9526453311387595</v>
      </c>
      <c r="P6">
        <f t="shared" si="8"/>
        <v>223.31354608080815</v>
      </c>
      <c r="Q6">
        <f t="shared" si="9"/>
        <v>53.417847391746804</v>
      </c>
      <c r="R6">
        <f t="shared" si="10"/>
        <v>247.81842385033514</v>
      </c>
      <c r="S6">
        <f t="shared" si="11"/>
        <v>128.73029018207802</v>
      </c>
      <c r="T6">
        <f t="shared" si="12"/>
        <v>41.165408506983312</v>
      </c>
      <c r="U6">
        <f t="shared" si="13"/>
        <v>1.002767216965573</v>
      </c>
      <c r="V6">
        <f t="shared" si="14"/>
        <v>246.46383259278011</v>
      </c>
      <c r="W6">
        <f t="shared" si="15"/>
        <v>126.42412711212896</v>
      </c>
      <c r="X6">
        <f t="shared" si="16"/>
        <v>41.684636751756976</v>
      </c>
      <c r="Y6">
        <f t="shared" si="17"/>
        <v>-0.63291628587872895</v>
      </c>
      <c r="Z6">
        <f t="shared" si="18"/>
        <v>-1.354591257555029</v>
      </c>
      <c r="AA6">
        <f t="shared" si="19"/>
        <v>-2.3061630699490649</v>
      </c>
      <c r="AB6">
        <f t="shared" si="20"/>
        <v>0.51922824477366447</v>
      </c>
      <c r="AC6">
        <f t="shared" si="21"/>
        <v>0</v>
      </c>
      <c r="AD6">
        <f t="shared" si="22"/>
        <v>166.43736227234601</v>
      </c>
      <c r="AE6">
        <f t="shared" si="23"/>
        <v>49.018723147184417</v>
      </c>
      <c r="AF6">
        <f t="shared" si="24"/>
        <v>47.487318358361335</v>
      </c>
      <c r="AG6">
        <f t="shared" si="25"/>
        <v>48.253020752772876</v>
      </c>
      <c r="AH6" t="s">
        <v>70</v>
      </c>
      <c r="AI6">
        <v>41.202696127223327</v>
      </c>
      <c r="AL6" t="s">
        <v>70</v>
      </c>
      <c r="AM6">
        <f>$AI$6</f>
        <v>41.202696127223327</v>
      </c>
    </row>
    <row r="7" spans="1:39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0.19907985057124322</v>
      </c>
      <c r="F7">
        <f>Align!G7</f>
        <v>0.40614708298662372</v>
      </c>
      <c r="G7">
        <v>0.70222279336230264</v>
      </c>
      <c r="H7">
        <f t="shared" si="0"/>
        <v>0.60546766416323539</v>
      </c>
      <c r="I7">
        <f t="shared" si="1"/>
        <v>1.0076117220508687</v>
      </c>
      <c r="J7">
        <f t="shared" si="2"/>
        <v>6.1363553872897905</v>
      </c>
      <c r="K7">
        <f t="shared" si="3"/>
        <v>-2.5340327295179099E-3</v>
      </c>
      <c r="L7">
        <f t="shared" si="4"/>
        <v>6.4204483011932219</v>
      </c>
      <c r="M7">
        <f t="shared" si="5"/>
        <v>2.7764969692178063</v>
      </c>
      <c r="N7">
        <f t="shared" si="6"/>
        <v>6.0826614288276373</v>
      </c>
      <c r="O7">
        <f t="shared" si="7"/>
        <v>2.9815192058546742</v>
      </c>
      <c r="P7">
        <f t="shared" si="8"/>
        <v>227.0376019669549</v>
      </c>
      <c r="Q7">
        <f t="shared" si="9"/>
        <v>54.548865970616376</v>
      </c>
      <c r="R7">
        <f t="shared" si="10"/>
        <v>252.95380142901584</v>
      </c>
      <c r="S7">
        <f t="shared" si="11"/>
        <v>130.89796975675262</v>
      </c>
      <c r="T7">
        <f t="shared" si="12"/>
        <v>41.590766239585903</v>
      </c>
      <c r="U7">
        <f t="shared" si="13"/>
        <v>1.2512911190659826</v>
      </c>
      <c r="V7">
        <f t="shared" si="14"/>
        <v>247.78975800993803</v>
      </c>
      <c r="W7">
        <f t="shared" si="15"/>
        <v>127.15237817903801</v>
      </c>
      <c r="X7">
        <f t="shared" si="16"/>
        <v>41.801674628145676</v>
      </c>
      <c r="Y7">
        <f t="shared" si="17"/>
        <v>-1.2452784379069142</v>
      </c>
      <c r="Z7">
        <f t="shared" si="18"/>
        <v>-5.1640434190778137</v>
      </c>
      <c r="AA7">
        <f t="shared" si="19"/>
        <v>-3.745591577714606</v>
      </c>
      <c r="AB7">
        <f t="shared" si="20"/>
        <v>0.21090838855977267</v>
      </c>
      <c r="AC7">
        <f t="shared" si="21"/>
        <v>0</v>
      </c>
      <c r="AD7">
        <f t="shared" si="22"/>
        <v>167.36483812267136</v>
      </c>
      <c r="AE7">
        <f t="shared" si="23"/>
        <v>49.208480743067412</v>
      </c>
      <c r="AF7">
        <f t="shared" si="24"/>
        <v>47.653231537684917</v>
      </c>
      <c r="AG7">
        <f t="shared" si="25"/>
        <v>48.430856140376164</v>
      </c>
      <c r="AH7" t="s">
        <v>71</v>
      </c>
      <c r="AI7">
        <v>5.380012010691102</v>
      </c>
      <c r="AL7" t="s">
        <v>71</v>
      </c>
      <c r="AM7">
        <f>$AI$7</f>
        <v>5.380012010691102</v>
      </c>
    </row>
    <row r="8" spans="1:39" x14ac:dyDescent="0.25">
      <c r="A8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0.19731088611066464</v>
      </c>
      <c r="F8">
        <f>Align!G8</f>
        <v>0.40204930534036237</v>
      </c>
      <c r="G8">
        <v>0.69923933637237989</v>
      </c>
      <c r="H8">
        <f t="shared" si="0"/>
        <v>0.60289528008243554</v>
      </c>
      <c r="I8">
        <f t="shared" si="1"/>
        <v>1.020564415572877</v>
      </c>
      <c r="J8">
        <f t="shared" si="2"/>
        <v>6.2152372908388207</v>
      </c>
      <c r="K8">
        <f t="shared" si="3"/>
        <v>-6.8315232034406037E-3</v>
      </c>
      <c r="L8">
        <f t="shared" si="4"/>
        <v>6.4581219725116057</v>
      </c>
      <c r="M8">
        <f t="shared" si="5"/>
        <v>2.7679840448961111</v>
      </c>
      <c r="N8">
        <f t="shared" si="6"/>
        <v>6.1111202931225304</v>
      </c>
      <c r="O8">
        <f t="shared" si="7"/>
        <v>2.999111164099852</v>
      </c>
      <c r="P8">
        <f t="shared" si="8"/>
        <v>232.11295435217104</v>
      </c>
      <c r="Q8">
        <f t="shared" si="9"/>
        <v>55.903994571576476</v>
      </c>
      <c r="R8">
        <f t="shared" si="10"/>
        <v>259.22101121412214</v>
      </c>
      <c r="S8">
        <f t="shared" si="11"/>
        <v>133.8589936399936</v>
      </c>
      <c r="T8">
        <f t="shared" si="12"/>
        <v>42.349966140600912</v>
      </c>
      <c r="U8">
        <f t="shared" si="13"/>
        <v>3.4405468511579276</v>
      </c>
      <c r="V8">
        <f t="shared" si="14"/>
        <v>259.36934491069195</v>
      </c>
      <c r="W8">
        <f t="shared" si="15"/>
        <v>133.53398323353693</v>
      </c>
      <c r="X8">
        <f t="shared" si="16"/>
        <v>42.792848586251871</v>
      </c>
      <c r="Y8">
        <f t="shared" si="17"/>
        <v>-2.9973653564230318E-3</v>
      </c>
      <c r="Z8">
        <f t="shared" si="18"/>
        <v>0.14833369656980722</v>
      </c>
      <c r="AA8">
        <f t="shared" si="19"/>
        <v>-0.3250104064566699</v>
      </c>
      <c r="AB8">
        <f t="shared" si="20"/>
        <v>0.4428824456509588</v>
      </c>
      <c r="AC8">
        <f t="shared" si="21"/>
        <v>0.32378849470804777</v>
      </c>
      <c r="AD8">
        <f t="shared" si="22"/>
        <v>175.4791037925886</v>
      </c>
      <c r="AE8">
        <f t="shared" si="23"/>
        <v>50.84278148718213</v>
      </c>
      <c r="AF8">
        <f t="shared" si="24"/>
        <v>49.071210150325335</v>
      </c>
      <c r="AG8">
        <f t="shared" si="25"/>
        <v>49.956995818753732</v>
      </c>
      <c r="AH8" t="s">
        <v>72</v>
      </c>
      <c r="AI8">
        <v>2.9454369020587525</v>
      </c>
      <c r="AL8" t="s">
        <v>72</v>
      </c>
      <c r="AM8">
        <f>$AI$8</f>
        <v>2.9454369020587525</v>
      </c>
    </row>
    <row r="9" spans="1:39" x14ac:dyDescent="0.25">
      <c r="A9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0.19557221353453599</v>
      </c>
      <c r="F9">
        <f>Align!G9</f>
        <v>0.3982834977610536</v>
      </c>
      <c r="G9">
        <v>0.69804997054551254</v>
      </c>
      <c r="H9">
        <f t="shared" si="0"/>
        <v>0.60186978994478135</v>
      </c>
      <c r="I9">
        <f t="shared" si="1"/>
        <v>1.0257899459611579</v>
      </c>
      <c r="J9">
        <f t="shared" si="2"/>
        <v>6.2470607709034516</v>
      </c>
      <c r="K9">
        <f t="shared" si="3"/>
        <v>-8.5601147472083028E-3</v>
      </c>
      <c r="L9">
        <f t="shared" si="4"/>
        <v>6.5011770233614667</v>
      </c>
      <c r="M9">
        <f t="shared" si="5"/>
        <v>2.7632758635037526</v>
      </c>
      <c r="N9">
        <f t="shared" si="6"/>
        <v>6.1549621908686687</v>
      </c>
      <c r="O9">
        <f t="shared" si="7"/>
        <v>3.0223184908648535</v>
      </c>
      <c r="P9">
        <f t="shared" si="8"/>
        <v>236.66089885832079</v>
      </c>
      <c r="Q9">
        <f t="shared" si="9"/>
        <v>57.063208505507951</v>
      </c>
      <c r="R9">
        <f t="shared" si="10"/>
        <v>264.03391439933097</v>
      </c>
      <c r="S9">
        <f t="shared" si="11"/>
        <v>136.22098961781001</v>
      </c>
      <c r="T9">
        <f t="shared" si="12"/>
        <v>43.376700735002856</v>
      </c>
      <c r="U9">
        <f t="shared" si="13"/>
        <v>4.3452198975766194</v>
      </c>
      <c r="V9">
        <f t="shared" si="14"/>
        <v>264.10392090261547</v>
      </c>
      <c r="W9">
        <f t="shared" si="15"/>
        <v>136.15435821702889</v>
      </c>
      <c r="X9">
        <f t="shared" si="16"/>
        <v>43.182245670571803</v>
      </c>
      <c r="Y9">
        <f t="shared" si="17"/>
        <v>-8.8343281185657041E-2</v>
      </c>
      <c r="Z9">
        <f t="shared" si="18"/>
        <v>7.0006503284503196E-2</v>
      </c>
      <c r="AA9">
        <f t="shared" si="19"/>
        <v>-6.663140078111951E-2</v>
      </c>
      <c r="AB9">
        <f t="shared" si="20"/>
        <v>-0.19445506443105387</v>
      </c>
      <c r="AC9">
        <f t="shared" si="21"/>
        <v>5.4957961485710707E-2</v>
      </c>
      <c r="AD9">
        <f t="shared" si="22"/>
        <v>178.80421244555774</v>
      </c>
      <c r="AE9">
        <f t="shared" si="23"/>
        <v>51.499259939460401</v>
      </c>
      <c r="AF9">
        <f t="shared" si="24"/>
        <v>49.635026159014821</v>
      </c>
      <c r="AG9">
        <f t="shared" si="25"/>
        <v>50.567143049237615</v>
      </c>
      <c r="AH9" t="s">
        <v>73</v>
      </c>
      <c r="AI9">
        <v>0.4884730499486164</v>
      </c>
      <c r="AL9" t="s">
        <v>73</v>
      </c>
      <c r="AM9">
        <f>$AI$9</f>
        <v>0.4884730499486164</v>
      </c>
    </row>
    <row r="10" spans="1:39" x14ac:dyDescent="0.25">
      <c r="A10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0.19444588691824252</v>
      </c>
      <c r="F10">
        <f>Align!G10</f>
        <v>0.39595434052709966</v>
      </c>
      <c r="G10">
        <v>0.69711819292922284</v>
      </c>
      <c r="H10">
        <f t="shared" si="0"/>
        <v>0.60106639646028159</v>
      </c>
      <c r="I10">
        <f t="shared" si="1"/>
        <v>1.0299087004376335</v>
      </c>
      <c r="J10">
        <f t="shared" si="2"/>
        <v>6.2721439856651875</v>
      </c>
      <c r="K10">
        <f t="shared" si="3"/>
        <v>-9.9205199795223686E-3</v>
      </c>
      <c r="L10">
        <f t="shared" si="4"/>
        <v>6.535103612553125</v>
      </c>
      <c r="M10">
        <f t="shared" si="5"/>
        <v>2.7595873616687991</v>
      </c>
      <c r="N10">
        <f t="shared" si="6"/>
        <v>6.1823513573522728</v>
      </c>
      <c r="O10">
        <f t="shared" si="7"/>
        <v>3.0360389314592893</v>
      </c>
      <c r="P10">
        <f t="shared" si="8"/>
        <v>239.7305525572369</v>
      </c>
      <c r="Q10">
        <f t="shared" si="9"/>
        <v>57.813690363539337</v>
      </c>
      <c r="R10">
        <f t="shared" si="10"/>
        <v>267.8680861897239</v>
      </c>
      <c r="S10">
        <f t="shared" si="11"/>
        <v>138.17193864640174</v>
      </c>
      <c r="T10">
        <f t="shared" si="12"/>
        <v>43.744923547295826</v>
      </c>
      <c r="U10">
        <f t="shared" si="13"/>
        <v>5.0670008413165046</v>
      </c>
      <c r="V10">
        <f t="shared" si="14"/>
        <v>267.86115573674414</v>
      </c>
      <c r="W10">
        <f t="shared" si="15"/>
        <v>138.23837653513291</v>
      </c>
      <c r="X10">
        <f t="shared" si="16"/>
        <v>43.484763988720324</v>
      </c>
      <c r="Y10">
        <f t="shared" si="17"/>
        <v>-5.5271180748619031E-2</v>
      </c>
      <c r="Z10">
        <f t="shared" si="18"/>
        <v>-6.9304529797591385E-3</v>
      </c>
      <c r="AA10">
        <f t="shared" si="19"/>
        <v>6.6437888731172734E-2</v>
      </c>
      <c r="AB10">
        <f t="shared" si="20"/>
        <v>-0.2601595585755021</v>
      </c>
      <c r="AC10">
        <f t="shared" si="21"/>
        <v>7.5199923577106961E-2</v>
      </c>
      <c r="AD10">
        <f t="shared" si="22"/>
        <v>181.44596960233665</v>
      </c>
      <c r="AE10">
        <f t="shared" si="23"/>
        <v>52.015414233554438</v>
      </c>
      <c r="AF10">
        <f t="shared" si="24"/>
        <v>50.075887645086652</v>
      </c>
      <c r="AG10">
        <f t="shared" si="25"/>
        <v>51.045650939320545</v>
      </c>
      <c r="AL10" t="s">
        <v>74</v>
      </c>
      <c r="AM10">
        <f>$AI$11</f>
        <v>162.68128294401671</v>
      </c>
    </row>
    <row r="11" spans="1:39" x14ac:dyDescent="0.25">
      <c r="A11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0.19344570800055366</v>
      </c>
      <c r="F11">
        <f>Align!G11</f>
        <v>0.39397038293851272</v>
      </c>
      <c r="G11">
        <v>0.6960523044446868</v>
      </c>
      <c r="H11">
        <f t="shared" si="0"/>
        <v>0.60014737045159783</v>
      </c>
      <c r="I11">
        <f t="shared" si="1"/>
        <v>1.0346473517892187</v>
      </c>
      <c r="J11">
        <f t="shared" si="2"/>
        <v>6.3010023723963418</v>
      </c>
      <c r="K11">
        <f t="shared" si="3"/>
        <v>-1.1483432883862443E-2</v>
      </c>
      <c r="L11">
        <f t="shared" si="4"/>
        <v>6.574416751013846</v>
      </c>
      <c r="M11">
        <f t="shared" si="5"/>
        <v>2.7608324400106055</v>
      </c>
      <c r="N11">
        <f t="shared" si="6"/>
        <v>6.2048145358684321</v>
      </c>
      <c r="O11">
        <f t="shared" si="7"/>
        <v>3.0466623707867062</v>
      </c>
      <c r="P11">
        <f t="shared" si="8"/>
        <v>242.5868486345299</v>
      </c>
      <c r="Q11">
        <f t="shared" si="9"/>
        <v>58.48685926242041</v>
      </c>
      <c r="R11">
        <f t="shared" si="10"/>
        <v>272.34794587846994</v>
      </c>
      <c r="S11">
        <f t="shared" si="11"/>
        <v>140.49367873165914</v>
      </c>
      <c r="T11">
        <f t="shared" si="12"/>
        <v>43.606310640450403</v>
      </c>
      <c r="U11">
        <f t="shared" si="13"/>
        <v>5.9069400749808567</v>
      </c>
      <c r="V11">
        <f t="shared" si="14"/>
        <v>272.21157801190759</v>
      </c>
      <c r="W11">
        <f t="shared" si="15"/>
        <v>140.6564338150427</v>
      </c>
      <c r="X11">
        <f t="shared" si="16"/>
        <v>43.827899829421014</v>
      </c>
      <c r="Y11">
        <f t="shared" si="17"/>
        <v>0.13900351231927299</v>
      </c>
      <c r="Z11">
        <f t="shared" si="18"/>
        <v>-0.13636786656235245</v>
      </c>
      <c r="AA11">
        <f t="shared" si="19"/>
        <v>0.16275508338355849</v>
      </c>
      <c r="AB11">
        <f t="shared" si="20"/>
        <v>0.22158918897061142</v>
      </c>
      <c r="AC11">
        <f t="shared" si="21"/>
        <v>0.11350915730370426</v>
      </c>
      <c r="AD11">
        <f t="shared" si="22"/>
        <v>184.50814854733099</v>
      </c>
      <c r="AE11">
        <f t="shared" si="23"/>
        <v>52.60776873702558</v>
      </c>
      <c r="AF11">
        <f t="shared" si="24"/>
        <v>50.579105465016937</v>
      </c>
      <c r="AG11">
        <f t="shared" si="25"/>
        <v>51.593437101021259</v>
      </c>
      <c r="AH11" t="s">
        <v>74</v>
      </c>
      <c r="AI11">
        <f>($AI$4+2*$AI$5)/3</f>
        <v>162.68128294401671</v>
      </c>
      <c r="AL11" t="s">
        <v>75</v>
      </c>
      <c r="AM11">
        <f>$AI$12</f>
        <v>3.7569619382695358</v>
      </c>
    </row>
    <row r="12" spans="1:39" x14ac:dyDescent="0.25">
      <c r="A1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0.19224001764408633</v>
      </c>
      <c r="F12">
        <f>Align!G12</f>
        <v>0.39170885995096172</v>
      </c>
      <c r="G12">
        <v>0.69533556425080123</v>
      </c>
      <c r="H12">
        <f t="shared" si="0"/>
        <v>0.59952938565374481</v>
      </c>
      <c r="I12">
        <f t="shared" si="1"/>
        <v>1.0378501421209063</v>
      </c>
      <c r="J12">
        <f t="shared" si="2"/>
        <v>6.3205073655163195</v>
      </c>
      <c r="K12">
        <f t="shared" si="3"/>
        <v>-1.253843336606153E-2</v>
      </c>
      <c r="L12">
        <f t="shared" si="4"/>
        <v>6.598810776011768</v>
      </c>
      <c r="M12">
        <f t="shared" si="5"/>
        <v>2.7579895508114705</v>
      </c>
      <c r="N12">
        <f t="shared" si="6"/>
        <v>6.2373005683313565</v>
      </c>
      <c r="O12">
        <f t="shared" si="7"/>
        <v>3.0610968857268137</v>
      </c>
      <c r="P12">
        <f t="shared" si="8"/>
        <v>245.89250266638166</v>
      </c>
      <c r="Q12">
        <f t="shared" si="9"/>
        <v>59.225139563130085</v>
      </c>
      <c r="R12">
        <f t="shared" si="10"/>
        <v>275.22209199419711</v>
      </c>
      <c r="S12">
        <f t="shared" si="11"/>
        <v>142.1070182040292</v>
      </c>
      <c r="T12">
        <f t="shared" si="12"/>
        <v>44.560344899222372</v>
      </c>
      <c r="U12">
        <f t="shared" si="13"/>
        <v>6.4804251908274511</v>
      </c>
      <c r="V12">
        <f t="shared" si="14"/>
        <v>275.16872850909266</v>
      </c>
      <c r="W12">
        <f t="shared" si="15"/>
        <v>142.3031434054281</v>
      </c>
      <c r="X12">
        <f t="shared" si="16"/>
        <v>44.056785761427328</v>
      </c>
      <c r="Y12">
        <f t="shared" si="17"/>
        <v>-0.10535312325631185</v>
      </c>
      <c r="Z12">
        <f t="shared" si="18"/>
        <v>-5.3363485104455322E-2</v>
      </c>
      <c r="AA12">
        <f t="shared" si="19"/>
        <v>0.19612520139889966</v>
      </c>
      <c r="AB12">
        <f t="shared" si="20"/>
        <v>-0.50355913779504391</v>
      </c>
      <c r="AC12">
        <f t="shared" si="21"/>
        <v>0.305983842003</v>
      </c>
      <c r="AD12">
        <f t="shared" si="22"/>
        <v>186.59167177331628</v>
      </c>
      <c r="AE12">
        <f t="shared" si="23"/>
        <v>53.00718847758931</v>
      </c>
      <c r="AF12">
        <f t="shared" si="24"/>
        <v>50.916729755957441</v>
      </c>
      <c r="AG12">
        <f t="shared" si="25"/>
        <v>51.961959116773372</v>
      </c>
      <c r="AH12" t="s">
        <v>75</v>
      </c>
      <c r="AI12">
        <f>($AI$7+2*$AI$8)/3</f>
        <v>3.7569619382695358</v>
      </c>
      <c r="AL12" t="s">
        <v>81</v>
      </c>
      <c r="AM12">
        <f>AE4</f>
        <v>48.243967154070525</v>
      </c>
    </row>
    <row r="13" spans="1:39" x14ac:dyDescent="0.25">
      <c r="A13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0.19126401652995695</v>
      </c>
      <c r="F13">
        <f>Align!G13</f>
        <v>0.3899965242098074</v>
      </c>
      <c r="G13">
        <v>0.69423669145537847</v>
      </c>
      <c r="H13">
        <f t="shared" si="0"/>
        <v>0.59858192004746413</v>
      </c>
      <c r="I13">
        <f t="shared" si="1"/>
        <v>1.0427862313796348</v>
      </c>
      <c r="J13">
        <f t="shared" si="2"/>
        <v>6.3505681491019752</v>
      </c>
      <c r="K13">
        <f t="shared" si="3"/>
        <v>-1.416226077288385E-2</v>
      </c>
      <c r="L13">
        <f t="shared" si="4"/>
        <v>6.6387845878045635</v>
      </c>
      <c r="M13">
        <f t="shared" si="5"/>
        <v>2.7514482877914883</v>
      </c>
      <c r="N13">
        <f t="shared" si="6"/>
        <v>6.2592214772788752</v>
      </c>
      <c r="O13">
        <f t="shared" si="7"/>
        <v>3.0696782298779848</v>
      </c>
      <c r="P13">
        <f t="shared" si="8"/>
        <v>248.80162859762933</v>
      </c>
      <c r="Q13">
        <f t="shared" si="9"/>
        <v>59.840923788222135</v>
      </c>
      <c r="R13">
        <f t="shared" si="10"/>
        <v>279.89151639794977</v>
      </c>
      <c r="S13">
        <f t="shared" si="11"/>
        <v>144.66472492134525</v>
      </c>
      <c r="T13">
        <f t="shared" si="12"/>
        <v>44.295979888061908</v>
      </c>
      <c r="U13">
        <f t="shared" si="13"/>
        <v>7.3734180981331914</v>
      </c>
      <c r="V13">
        <f t="shared" si="14"/>
        <v>279.7526648300925</v>
      </c>
      <c r="W13">
        <f t="shared" si="15"/>
        <v>144.86061993170443</v>
      </c>
      <c r="X13">
        <f t="shared" si="16"/>
        <v>44.40465016699914</v>
      </c>
      <c r="Y13">
        <f t="shared" si="17"/>
        <v>9.8930940746580376E-2</v>
      </c>
      <c r="Z13">
        <f t="shared" si="18"/>
        <v>-0.13885156785727304</v>
      </c>
      <c r="AA13">
        <f t="shared" si="19"/>
        <v>0.19589501035918033</v>
      </c>
      <c r="AB13">
        <f t="shared" si="20"/>
        <v>0.10867027893723247</v>
      </c>
      <c r="AC13">
        <f t="shared" si="21"/>
        <v>7.9251173541345588E-2</v>
      </c>
      <c r="AD13">
        <f t="shared" si="22"/>
        <v>189.82463489783379</v>
      </c>
      <c r="AE13">
        <f t="shared" si="23"/>
        <v>53.621199079877101</v>
      </c>
      <c r="AF13">
        <f t="shared" si="24"/>
        <v>51.433008923637047</v>
      </c>
      <c r="AG13">
        <f t="shared" si="25"/>
        <v>52.527104001757074</v>
      </c>
      <c r="AL13" t="s">
        <v>82</v>
      </c>
      <c r="AM13">
        <f>AF4</f>
        <v>46.80728566367096</v>
      </c>
    </row>
    <row r="14" spans="1:39" x14ac:dyDescent="0.25">
      <c r="A14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0.19049120618688217</v>
      </c>
      <c r="F14">
        <f>Align!G14</f>
        <v>0.38871581605483574</v>
      </c>
      <c r="G14">
        <v>0.69352616462087757</v>
      </c>
      <c r="H14">
        <f t="shared" si="0"/>
        <v>0.59796929250692143</v>
      </c>
      <c r="I14">
        <f t="shared" si="1"/>
        <v>1.045994561450011</v>
      </c>
      <c r="J14">
        <f t="shared" si="2"/>
        <v>6.3701068792305673</v>
      </c>
      <c r="K14">
        <f t="shared" si="3"/>
        <v>-1.521633268233169E-2</v>
      </c>
      <c r="L14">
        <f t="shared" si="4"/>
        <v>6.6638522707596</v>
      </c>
      <c r="M14">
        <f t="shared" si="5"/>
        <v>2.752996626149772</v>
      </c>
      <c r="N14">
        <f t="shared" si="6"/>
        <v>6.2781826466076467</v>
      </c>
      <c r="O14">
        <f t="shared" si="7"/>
        <v>3.076639888625301</v>
      </c>
      <c r="P14">
        <f t="shared" si="8"/>
        <v>251.08144038891245</v>
      </c>
      <c r="Q14">
        <f t="shared" si="9"/>
        <v>60.297603525388212</v>
      </c>
      <c r="R14">
        <f t="shared" si="10"/>
        <v>282.87687171925404</v>
      </c>
      <c r="S14">
        <f t="shared" si="11"/>
        <v>146.38394900330681</v>
      </c>
      <c r="T14">
        <f t="shared" si="12"/>
        <v>44.399887860217405</v>
      </c>
      <c r="U14">
        <f t="shared" si="13"/>
        <v>7.9597980212440511</v>
      </c>
      <c r="V14">
        <f t="shared" si="14"/>
        <v>282.74926323212895</v>
      </c>
      <c r="W14">
        <f t="shared" si="15"/>
        <v>146.53568276122988</v>
      </c>
      <c r="X14">
        <f t="shared" si="16"/>
        <v>44.627516027503916</v>
      </c>
      <c r="Y14">
        <f t="shared" si="17"/>
        <v>0.12573492867381209</v>
      </c>
      <c r="Z14">
        <f t="shared" si="18"/>
        <v>-0.12760848712508732</v>
      </c>
      <c r="AA14">
        <f t="shared" si="19"/>
        <v>0.15173375792306842</v>
      </c>
      <c r="AB14">
        <f t="shared" si="20"/>
        <v>0.22762816728651103</v>
      </c>
      <c r="AC14">
        <f t="shared" si="21"/>
        <v>0.10693091411063438</v>
      </c>
      <c r="AD14">
        <f t="shared" si="22"/>
        <v>191.94020958486291</v>
      </c>
      <c r="AE14">
        <f t="shared" si="23"/>
        <v>54.019225710682164</v>
      </c>
      <c r="AF14">
        <f t="shared" si="24"/>
        <v>51.765863969283025</v>
      </c>
      <c r="AG14">
        <f t="shared" si="25"/>
        <v>52.892544839982591</v>
      </c>
      <c r="AH14" t="s">
        <v>76</v>
      </c>
      <c r="AI14">
        <f>3*$AI$11*($AI$7-3)-7*$AI$4</f>
        <v>-526.07357979111089</v>
      </c>
      <c r="AL14" t="s">
        <v>83</v>
      </c>
      <c r="AM14">
        <f>AG4</f>
        <v>47.525626408870743</v>
      </c>
    </row>
    <row r="15" spans="1:39" x14ac:dyDescent="0.25">
      <c r="A15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0.18956204408307292</v>
      </c>
      <c r="F15">
        <f>Align!G15</f>
        <v>0.38725209804704125</v>
      </c>
      <c r="G15">
        <v>0.69292289111935534</v>
      </c>
      <c r="H15">
        <f t="shared" si="0"/>
        <v>0.59744914049637599</v>
      </c>
      <c r="I15">
        <f t="shared" si="1"/>
        <v>1.0487289364406698</v>
      </c>
      <c r="J15">
        <f t="shared" si="2"/>
        <v>6.3867592229236791</v>
      </c>
      <c r="K15">
        <f t="shared" si="3"/>
        <v>-1.6113839942468511E-2</v>
      </c>
      <c r="L15">
        <f t="shared" si="4"/>
        <v>6.6837443370750087</v>
      </c>
      <c r="M15">
        <f t="shared" si="5"/>
        <v>2.7495104574383911</v>
      </c>
      <c r="N15">
        <f t="shared" si="6"/>
        <v>6.3034680110808701</v>
      </c>
      <c r="O15">
        <f t="shared" si="7"/>
        <v>3.0855824591235717</v>
      </c>
      <c r="P15">
        <f t="shared" si="8"/>
        <v>253.76963220416309</v>
      </c>
      <c r="Q15">
        <f t="shared" si="9"/>
        <v>60.807179273680191</v>
      </c>
      <c r="R15">
        <f t="shared" si="10"/>
        <v>285.31210772782117</v>
      </c>
      <c r="S15">
        <f t="shared" si="11"/>
        <v>147.92651141863175</v>
      </c>
      <c r="T15">
        <f t="shared" si="12"/>
        <v>45.035941511851149</v>
      </c>
      <c r="U15">
        <f t="shared" si="13"/>
        <v>8.4632640736771005</v>
      </c>
      <c r="V15">
        <f t="shared" si="14"/>
        <v>285.31383888710735</v>
      </c>
      <c r="W15">
        <f t="shared" si="15"/>
        <v>147.97125045505365</v>
      </c>
      <c r="X15">
        <f t="shared" si="16"/>
        <v>44.815412364268077</v>
      </c>
      <c r="Y15">
        <f t="shared" si="17"/>
        <v>-5.9507862195985695E-2</v>
      </c>
      <c r="Z15">
        <f t="shared" si="18"/>
        <v>1.7311592861801728E-3</v>
      </c>
      <c r="AA15">
        <f t="shared" si="19"/>
        <v>4.4739036421901801E-2</v>
      </c>
      <c r="AB15">
        <f t="shared" si="20"/>
        <v>-0.22052914758307196</v>
      </c>
      <c r="AC15">
        <f t="shared" si="21"/>
        <v>5.4178868889287142E-2</v>
      </c>
      <c r="AD15">
        <f t="shared" si="22"/>
        <v>193.75211326573822</v>
      </c>
      <c r="AE15">
        <f t="shared" si="23"/>
        <v>54.357765104971591</v>
      </c>
      <c r="AF15">
        <f t="shared" si="24"/>
        <v>52.047817719916182</v>
      </c>
      <c r="AG15">
        <f t="shared" si="25"/>
        <v>53.202791412443887</v>
      </c>
      <c r="AH15" t="s">
        <v>77</v>
      </c>
      <c r="AI15">
        <f>3*$AI$11*($AI$8-1)-7*$AI$5</f>
        <v>85.116943306129542</v>
      </c>
      <c r="AL15" t="s">
        <v>84</v>
      </c>
      <c r="AM15">
        <f>$AI$18</f>
        <v>1.2677211012607184</v>
      </c>
    </row>
    <row r="16" spans="1:39" x14ac:dyDescent="0.25">
      <c r="A16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0.18876987732243708</v>
      </c>
      <c r="F16">
        <f>Align!G16</f>
        <v>0.38605195687015897</v>
      </c>
      <c r="G16">
        <v>0.69219413040516342</v>
      </c>
      <c r="H16">
        <f t="shared" si="0"/>
        <v>0.59682079141467925</v>
      </c>
      <c r="I16">
        <f t="shared" si="1"/>
        <v>1.05204481566101</v>
      </c>
      <c r="J16">
        <f t="shared" si="2"/>
        <v>6.406952927375551</v>
      </c>
      <c r="K16">
        <f t="shared" si="3"/>
        <v>-1.7201169264015159E-2</v>
      </c>
      <c r="L16">
        <f t="shared" si="4"/>
        <v>6.7090718452359805</v>
      </c>
      <c r="M16">
        <f t="shared" si="5"/>
        <v>2.7444407607031014</v>
      </c>
      <c r="N16">
        <f t="shared" si="6"/>
        <v>6.3232630108166257</v>
      </c>
      <c r="O16">
        <f t="shared" si="7"/>
        <v>3.0919195242696738</v>
      </c>
      <c r="P16">
        <f t="shared" si="8"/>
        <v>256.17339611550204</v>
      </c>
      <c r="Q16">
        <f t="shared" si="9"/>
        <v>61.25025435689048</v>
      </c>
      <c r="R16">
        <f t="shared" si="10"/>
        <v>288.38749085595373</v>
      </c>
      <c r="S16">
        <f t="shared" si="11"/>
        <v>149.7799347719469</v>
      </c>
      <c r="T16">
        <f t="shared" si="12"/>
        <v>45.143206986664637</v>
      </c>
      <c r="U16">
        <f t="shared" si="13"/>
        <v>9.078384966723414</v>
      </c>
      <c r="V16">
        <f t="shared" si="14"/>
        <v>288.43694448229655</v>
      </c>
      <c r="W16">
        <f t="shared" si="15"/>
        <v>149.72195035124835</v>
      </c>
      <c r="X16">
        <f t="shared" si="16"/>
        <v>45.040706015826487</v>
      </c>
      <c r="Y16">
        <f t="shared" si="17"/>
        <v>-4.7007207039715837E-2</v>
      </c>
      <c r="Z16">
        <f t="shared" si="18"/>
        <v>4.9453626342824464E-2</v>
      </c>
      <c r="AA16">
        <f t="shared" si="19"/>
        <v>-5.7984420698545591E-2</v>
      </c>
      <c r="AB16">
        <f t="shared" si="20"/>
        <v>-0.10250097083815035</v>
      </c>
      <c r="AC16">
        <f t="shared" si="21"/>
        <v>1.8523980738639687E-2</v>
      </c>
      <c r="AD16">
        <f t="shared" si="22"/>
        <v>195.96028172826445</v>
      </c>
      <c r="AE16">
        <f t="shared" si="23"/>
        <v>54.767422435705534</v>
      </c>
      <c r="AF16">
        <f t="shared" si="24"/>
        <v>52.387552225512657</v>
      </c>
      <c r="AG16">
        <f t="shared" si="25"/>
        <v>53.577487330609095</v>
      </c>
      <c r="AH16" t="s">
        <v>78</v>
      </c>
      <c r="AI16">
        <f>3*$AI$11*($AI$9-1)-7*$AI$6</f>
        <v>-538.06645437496036</v>
      </c>
    </row>
    <row r="17" spans="1:35" x14ac:dyDescent="0.25">
      <c r="A17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0.18821761319213962</v>
      </c>
      <c r="F17">
        <f>Align!G17</f>
        <v>0.38522940940047751</v>
      </c>
      <c r="G17">
        <v>0.69161413187025644</v>
      </c>
      <c r="H17">
        <f t="shared" si="0"/>
        <v>0.59632070745063304</v>
      </c>
      <c r="I17">
        <f t="shared" si="1"/>
        <v>1.0546938201143321</v>
      </c>
      <c r="J17">
        <f t="shared" si="2"/>
        <v>6.4230853644962824</v>
      </c>
      <c r="K17">
        <f t="shared" si="3"/>
        <v>-1.8068999138706188E-2</v>
      </c>
      <c r="L17">
        <f t="shared" si="4"/>
        <v>6.7295405779599484</v>
      </c>
      <c r="M17">
        <f t="shared" si="5"/>
        <v>2.7454066894176439</v>
      </c>
      <c r="N17">
        <f t="shared" si="6"/>
        <v>6.3365027038344861</v>
      </c>
      <c r="O17">
        <f t="shared" si="7"/>
        <v>3.0959251443376115</v>
      </c>
      <c r="P17">
        <f t="shared" si="8"/>
        <v>257.89501232299358</v>
      </c>
      <c r="Q17">
        <f t="shared" si="9"/>
        <v>61.563683500841869</v>
      </c>
      <c r="R17">
        <f t="shared" si="10"/>
        <v>290.88044525333328</v>
      </c>
      <c r="S17">
        <f t="shared" si="11"/>
        <v>151.26036178647971</v>
      </c>
      <c r="T17">
        <f t="shared" si="12"/>
        <v>45.070967035672027</v>
      </c>
      <c r="U17">
        <f t="shared" si="13"/>
        <v>9.5734109577752413</v>
      </c>
      <c r="V17">
        <f t="shared" si="14"/>
        <v>290.94227807666198</v>
      </c>
      <c r="W17">
        <f t="shared" si="15"/>
        <v>151.12831744524715</v>
      </c>
      <c r="X17">
        <f t="shared" si="16"/>
        <v>45.218646099282168</v>
      </c>
      <c r="Y17">
        <f t="shared" si="17"/>
        <v>1.7575756947785237E-2</v>
      </c>
      <c r="Z17">
        <f t="shared" si="18"/>
        <v>6.1832823328700215E-2</v>
      </c>
      <c r="AA17">
        <f t="shared" si="19"/>
        <v>-0.13204434123255737</v>
      </c>
      <c r="AB17">
        <f t="shared" si="20"/>
        <v>0.14767906361014127</v>
      </c>
      <c r="AC17">
        <f t="shared" si="21"/>
        <v>4.3377019153394078E-2</v>
      </c>
      <c r="AD17">
        <f t="shared" si="22"/>
        <v>197.73297098905209</v>
      </c>
      <c r="AE17">
        <f t="shared" si="23"/>
        <v>55.093979785852262</v>
      </c>
      <c r="AF17">
        <f t="shared" si="24"/>
        <v>52.657209659665881</v>
      </c>
      <c r="AG17">
        <f t="shared" si="25"/>
        <v>53.875594722759075</v>
      </c>
    </row>
    <row r="18" spans="1:35" x14ac:dyDescent="0.25">
      <c r="A18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0.18751881685054153</v>
      </c>
      <c r="F18">
        <f>Align!G18</f>
        <v>0.38419063426876759</v>
      </c>
      <c r="G18">
        <v>0.69101614930356037</v>
      </c>
      <c r="H18">
        <f t="shared" si="0"/>
        <v>0.59580511736826869</v>
      </c>
      <c r="I18">
        <f t="shared" si="1"/>
        <v>1.0574342819084224</v>
      </c>
      <c r="J18">
        <f t="shared" si="2"/>
        <v>6.4397747768222917</v>
      </c>
      <c r="K18">
        <f t="shared" si="3"/>
        <v>-1.8966026722964102E-2</v>
      </c>
      <c r="L18">
        <f t="shared" si="4"/>
        <v>6.7499935931821353</v>
      </c>
      <c r="M18">
        <f t="shared" si="5"/>
        <v>2.7463034475801873</v>
      </c>
      <c r="N18">
        <f t="shared" si="6"/>
        <v>6.3546168579246567</v>
      </c>
      <c r="O18">
        <f t="shared" si="7"/>
        <v>3.1016118781878599</v>
      </c>
      <c r="P18">
        <f t="shared" si="8"/>
        <v>260.04554607482913</v>
      </c>
      <c r="Q18">
        <f t="shared" si="9"/>
        <v>61.950609158255823</v>
      </c>
      <c r="R18">
        <f t="shared" si="10"/>
        <v>293.41168127996485</v>
      </c>
      <c r="S18">
        <f t="shared" si="11"/>
        <v>152.82739536088533</v>
      </c>
      <c r="T18">
        <f t="shared" si="12"/>
        <v>45.267541555687956</v>
      </c>
      <c r="U18">
        <f t="shared" si="13"/>
        <v>10.088910837503143</v>
      </c>
      <c r="V18">
        <f t="shared" si="14"/>
        <v>293.54375498534682</v>
      </c>
      <c r="W18">
        <f t="shared" si="15"/>
        <v>152.59050397291162</v>
      </c>
      <c r="X18">
        <f t="shared" si="16"/>
        <v>45.400795098152706</v>
      </c>
      <c r="Y18">
        <f t="shared" si="17"/>
        <v>-2.6500298507885489E-2</v>
      </c>
      <c r="Z18">
        <f t="shared" si="18"/>
        <v>0.13207370538196983</v>
      </c>
      <c r="AA18">
        <f t="shared" si="19"/>
        <v>-0.23689138797371356</v>
      </c>
      <c r="AB18">
        <f t="shared" si="20"/>
        <v>0.1332535424647503</v>
      </c>
      <c r="AC18">
        <f t="shared" si="21"/>
        <v>9.2019765749847895E-2</v>
      </c>
      <c r="AD18">
        <f t="shared" si="22"/>
        <v>199.57492097705668</v>
      </c>
      <c r="AE18">
        <f t="shared" si="23"/>
        <v>55.431127261378663</v>
      </c>
      <c r="AF18">
        <f t="shared" si="24"/>
        <v>52.934508583693194</v>
      </c>
      <c r="AG18">
        <f t="shared" si="25"/>
        <v>54.182817922535932</v>
      </c>
      <c r="AH18" t="s">
        <v>79</v>
      </c>
      <c r="AI18">
        <f>SUM(AC4:AC25)</f>
        <v>1.2677211012607184</v>
      </c>
    </row>
    <row r="19" spans="1:35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0.18689416907287151</v>
      </c>
      <c r="F19">
        <f>Align!G19</f>
        <v>0.3832512269076177</v>
      </c>
      <c r="G19">
        <v>0.69328571428571428</v>
      </c>
      <c r="H19">
        <f t="shared" si="0"/>
        <v>0.59776197240259743</v>
      </c>
      <c r="I19">
        <f t="shared" si="1"/>
        <v>1.0470832770179086</v>
      </c>
      <c r="J19">
        <f t="shared" si="2"/>
        <v>6.376737157039063</v>
      </c>
      <c r="K19">
        <f t="shared" si="3"/>
        <v>-1.5573776721581889E-2</v>
      </c>
      <c r="L19">
        <f t="shared" si="4"/>
        <v>6.7987277604700846</v>
      </c>
      <c r="M19">
        <f t="shared" si="5"/>
        <v>2.7487687189505321</v>
      </c>
      <c r="N19">
        <f t="shared" si="6"/>
        <v>6.3967963834069677</v>
      </c>
      <c r="O19">
        <f t="shared" si="7"/>
        <v>3.1194262689036991</v>
      </c>
      <c r="P19">
        <f t="shared" si="8"/>
        <v>260.92973304942819</v>
      </c>
      <c r="Q19">
        <f t="shared" si="9"/>
        <v>62.050883038319299</v>
      </c>
      <c r="R19">
        <f t="shared" si="10"/>
        <v>294.75000323850139</v>
      </c>
      <c r="S19">
        <f t="shared" si="11"/>
        <v>153.73810206732622</v>
      </c>
      <c r="T19">
        <f t="shared" si="12"/>
        <v>45.140747943782713</v>
      </c>
      <c r="U19">
        <f t="shared" si="13"/>
        <v>8.1598482115129496</v>
      </c>
      <c r="V19">
        <f t="shared" si="14"/>
        <v>283.76919772685329</v>
      </c>
      <c r="W19">
        <f t="shared" si="15"/>
        <v>147.10638887317199</v>
      </c>
      <c r="X19">
        <f t="shared" si="16"/>
        <v>44.702555696149012</v>
      </c>
      <c r="Y19">
        <f t="shared" si="17"/>
        <v>-2.4720945569752075</v>
      </c>
      <c r="Z19">
        <f t="shared" si="18"/>
        <v>-10.9808055116481</v>
      </c>
      <c r="AA19">
        <f t="shared" si="19"/>
        <v>-6.63171319415423</v>
      </c>
      <c r="AB19">
        <f t="shared" si="20"/>
        <v>-0.43819224763370102</v>
      </c>
      <c r="AC19">
        <f t="shared" si="21"/>
        <v>0</v>
      </c>
      <c r="AD19">
        <f t="shared" si="22"/>
        <v>192.66065849106576</v>
      </c>
      <c r="AE19">
        <f t="shared" si="23"/>
        <v>54.154095188425664</v>
      </c>
      <c r="AF19">
        <f t="shared" si="24"/>
        <v>51.878318939447936</v>
      </c>
      <c r="AG19">
        <f t="shared" si="25"/>
        <v>53.016207063936804</v>
      </c>
    </row>
    <row r="20" spans="1:35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0.18653850947206904</v>
      </c>
      <c r="F20">
        <f>Align!G20</f>
        <v>0.38270781210782145</v>
      </c>
      <c r="G20">
        <v>0.6925714285714285</v>
      </c>
      <c r="H20">
        <f t="shared" si="0"/>
        <v>0.59714610389610379</v>
      </c>
      <c r="I20">
        <f t="shared" si="1"/>
        <v>1.0503263573424626</v>
      </c>
      <c r="J20">
        <f t="shared" si="2"/>
        <v>6.396487516215597</v>
      </c>
      <c r="K20">
        <f t="shared" si="3"/>
        <v>-1.6637802394100842E-2</v>
      </c>
      <c r="L20">
        <f t="shared" si="4"/>
        <v>6.811763024880789</v>
      </c>
      <c r="M20">
        <f t="shared" si="5"/>
        <v>2.741588701491056</v>
      </c>
      <c r="N20">
        <f t="shared" si="6"/>
        <v>6.4023895718488761</v>
      </c>
      <c r="O20">
        <f t="shared" si="7"/>
        <v>3.1206371283995007</v>
      </c>
      <c r="P20">
        <f t="shared" si="8"/>
        <v>262.19581147968313</v>
      </c>
      <c r="Q20">
        <f t="shared" si="9"/>
        <v>62.291401069638574</v>
      </c>
      <c r="R20">
        <f t="shared" si="10"/>
        <v>296.79775959233848</v>
      </c>
      <c r="S20">
        <f t="shared" si="11"/>
        <v>154.91398339673361</v>
      </c>
      <c r="T20">
        <f t="shared" si="12"/>
        <v>44.990427013310892</v>
      </c>
      <c r="U20">
        <f t="shared" si="13"/>
        <v>8.7589700604292915</v>
      </c>
      <c r="V20">
        <f t="shared" si="14"/>
        <v>286.81659503310607</v>
      </c>
      <c r="W20">
        <f t="shared" si="15"/>
        <v>148.81330090924587</v>
      </c>
      <c r="X20">
        <f t="shared" si="16"/>
        <v>44.924300064629129</v>
      </c>
      <c r="Y20">
        <f t="shared" si="17"/>
        <v>-2.1742828270038874</v>
      </c>
      <c r="Z20">
        <f t="shared" si="18"/>
        <v>-9.9811645592324112</v>
      </c>
      <c r="AA20">
        <f t="shared" si="19"/>
        <v>-6.1006824874877452</v>
      </c>
      <c r="AB20">
        <f t="shared" si="20"/>
        <v>-6.6126948681763054E-2</v>
      </c>
      <c r="AC20">
        <f t="shared" si="21"/>
        <v>0</v>
      </c>
      <c r="AD20">
        <f t="shared" si="22"/>
        <v>194.81439895053259</v>
      </c>
      <c r="AE20">
        <f t="shared" si="23"/>
        <v>54.555238863549519</v>
      </c>
      <c r="AF20">
        <f t="shared" si="24"/>
        <v>52.2117857147935</v>
      </c>
      <c r="AG20">
        <f t="shared" si="25"/>
        <v>53.383512289171506</v>
      </c>
    </row>
    <row r="21" spans="1:35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0.18628790984322882</v>
      </c>
      <c r="F21">
        <f>Align!G21</f>
        <v>0.38232053933053556</v>
      </c>
      <c r="G21">
        <v>0.69185714285714284</v>
      </c>
      <c r="H21">
        <f t="shared" si="0"/>
        <v>0.59653023538961036</v>
      </c>
      <c r="I21">
        <f t="shared" si="1"/>
        <v>1.0535828443534312</v>
      </c>
      <c r="J21">
        <f t="shared" si="2"/>
        <v>6.4163195221123956</v>
      </c>
      <c r="K21">
        <f t="shared" si="3"/>
        <v>-1.7705125325047422E-2</v>
      </c>
      <c r="L21">
        <f t="shared" si="4"/>
        <v>6.8383669559885432</v>
      </c>
      <c r="M21">
        <f t="shared" si="5"/>
        <v>2.7365945581500672</v>
      </c>
      <c r="N21">
        <f t="shared" si="6"/>
        <v>6.4043902354331239</v>
      </c>
      <c r="O21">
        <f t="shared" si="7"/>
        <v>3.1205764484124647</v>
      </c>
      <c r="P21">
        <f t="shared" si="8"/>
        <v>263.17313645738636</v>
      </c>
      <c r="Q21">
        <f t="shared" si="9"/>
        <v>62.482102633890406</v>
      </c>
      <c r="R21">
        <f t="shared" si="10"/>
        <v>300.04803489689095</v>
      </c>
      <c r="S21">
        <f t="shared" si="11"/>
        <v>156.64638040935785</v>
      </c>
      <c r="T21">
        <f t="shared" si="12"/>
        <v>44.044653414138111</v>
      </c>
      <c r="U21">
        <f t="shared" si="13"/>
        <v>9.3654089751867051</v>
      </c>
      <c r="V21">
        <f t="shared" si="14"/>
        <v>289.89044035419312</v>
      </c>
      <c r="W21">
        <f t="shared" si="15"/>
        <v>150.53765608527874</v>
      </c>
      <c r="X21">
        <f t="shared" si="16"/>
        <v>45.144241706580068</v>
      </c>
      <c r="Y21">
        <f t="shared" si="17"/>
        <v>-1.7830654257786094</v>
      </c>
      <c r="Z21">
        <f t="shared" si="18"/>
        <v>-10.157594542697836</v>
      </c>
      <c r="AA21">
        <f t="shared" si="19"/>
        <v>-6.1087243240791054</v>
      </c>
      <c r="AB21">
        <f t="shared" si="20"/>
        <v>1.0995882924419575</v>
      </c>
      <c r="AC21">
        <f t="shared" si="21"/>
        <v>0</v>
      </c>
      <c r="AD21">
        <f t="shared" si="22"/>
        <v>196.98858417491684</v>
      </c>
      <c r="AE21">
        <f t="shared" si="23"/>
        <v>54.957101877730921</v>
      </c>
      <c r="AF21">
        <f t="shared" si="24"/>
        <v>52.544308439542661</v>
      </c>
      <c r="AG21">
        <f t="shared" si="25"/>
        <v>53.750705158636791</v>
      </c>
    </row>
    <row r="22" spans="1:35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0.18584227706986439</v>
      </c>
      <c r="F22">
        <f>Align!G22</f>
        <v>0.38162352074308936</v>
      </c>
      <c r="G22">
        <v>0.69114285714285706</v>
      </c>
      <c r="H22">
        <f t="shared" si="0"/>
        <v>0.59591436688311683</v>
      </c>
      <c r="I22">
        <f t="shared" si="1"/>
        <v>1.0568528074004548</v>
      </c>
      <c r="J22">
        <f t="shared" si="2"/>
        <v>6.4362335970687701</v>
      </c>
      <c r="K22">
        <f t="shared" si="3"/>
        <v>-1.87757591521307E-2</v>
      </c>
      <c r="L22">
        <f t="shared" si="4"/>
        <v>6.8516234887382037</v>
      </c>
      <c r="M22">
        <f t="shared" si="5"/>
        <v>2.7359336092850102</v>
      </c>
      <c r="N22">
        <f t="shared" si="6"/>
        <v>6.4131195148786571</v>
      </c>
      <c r="O22">
        <f t="shared" si="7"/>
        <v>3.1230484207197962</v>
      </c>
      <c r="P22">
        <f t="shared" si="8"/>
        <v>264.71007131043876</v>
      </c>
      <c r="Q22">
        <f t="shared" si="9"/>
        <v>62.775363108994824</v>
      </c>
      <c r="R22">
        <f t="shared" si="10"/>
        <v>302.14734131537085</v>
      </c>
      <c r="S22">
        <f t="shared" si="11"/>
        <v>157.87798009491513</v>
      </c>
      <c r="T22">
        <f t="shared" si="12"/>
        <v>44.056728106528766</v>
      </c>
      <c r="U22">
        <f t="shared" si="13"/>
        <v>9.9792437284660256</v>
      </c>
      <c r="V22">
        <f t="shared" si="14"/>
        <v>292.99095112356912</v>
      </c>
      <c r="W22">
        <f t="shared" si="15"/>
        <v>152.27963749654614</v>
      </c>
      <c r="X22">
        <f t="shared" si="16"/>
        <v>45.362312076835302</v>
      </c>
      <c r="Y22">
        <f t="shared" si="17"/>
        <v>-1.5566293968571703</v>
      </c>
      <c r="Z22">
        <f t="shared" si="18"/>
        <v>-9.1563901918017336</v>
      </c>
      <c r="AA22">
        <f t="shared" si="19"/>
        <v>-5.598342598368987</v>
      </c>
      <c r="AB22">
        <f t="shared" si="20"/>
        <v>1.3055839703065359</v>
      </c>
      <c r="AC22">
        <f t="shared" si="21"/>
        <v>0</v>
      </c>
      <c r="AD22">
        <f t="shared" si="22"/>
        <v>199.1834087055538</v>
      </c>
      <c r="AE22">
        <f t="shared" si="23"/>
        <v>55.359649971505767</v>
      </c>
      <c r="AF22">
        <f t="shared" si="24"/>
        <v>52.875814269058409</v>
      </c>
      <c r="AG22">
        <f t="shared" si="25"/>
        <v>54.117732120282085</v>
      </c>
    </row>
    <row r="23" spans="1:35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0.18525167989688088</v>
      </c>
      <c r="F23">
        <f>Align!G23</f>
        <v>0.38069110863859346</v>
      </c>
      <c r="G23">
        <v>0.69042857142857139</v>
      </c>
      <c r="H23">
        <f t="shared" si="0"/>
        <v>0.5952984983766233</v>
      </c>
      <c r="I23">
        <f t="shared" si="1"/>
        <v>1.0601363162640909</v>
      </c>
      <c r="J23">
        <f t="shared" si="2"/>
        <v>6.4562301660483135</v>
      </c>
      <c r="K23">
        <f t="shared" si="3"/>
        <v>-1.9849717583639515E-2</v>
      </c>
      <c r="L23">
        <f t="shared" si="4"/>
        <v>6.8717917578672836</v>
      </c>
      <c r="M23">
        <f t="shared" si="5"/>
        <v>2.7298641601395173</v>
      </c>
      <c r="N23">
        <f t="shared" si="6"/>
        <v>6.4269160604426609</v>
      </c>
      <c r="O23">
        <f t="shared" si="7"/>
        <v>3.1274620545013354</v>
      </c>
      <c r="P23">
        <f t="shared" si="8"/>
        <v>266.67620137590995</v>
      </c>
      <c r="Q23">
        <f t="shared" si="9"/>
        <v>63.148509292013159</v>
      </c>
      <c r="R23">
        <f t="shared" si="10"/>
        <v>304.87301458741479</v>
      </c>
      <c r="S23">
        <f t="shared" si="11"/>
        <v>159.47758939763605</v>
      </c>
      <c r="T23">
        <f t="shared" si="12"/>
        <v>44.050102686260743</v>
      </c>
      <c r="U23">
        <f t="shared" si="13"/>
        <v>10.600553943753127</v>
      </c>
      <c r="V23">
        <f t="shared" si="14"/>
        <v>296.11834643551629</v>
      </c>
      <c r="W23">
        <f t="shared" si="15"/>
        <v>154.03943028430143</v>
      </c>
      <c r="X23">
        <f t="shared" si="16"/>
        <v>45.578441240749804</v>
      </c>
      <c r="Y23">
        <f t="shared" si="17"/>
        <v>-1.4518508140472246</v>
      </c>
      <c r="Z23">
        <f t="shared" si="18"/>
        <v>-8.7546681518984997</v>
      </c>
      <c r="AA23">
        <f t="shared" si="19"/>
        <v>-5.4381591133346205</v>
      </c>
      <c r="AB23">
        <f t="shared" si="20"/>
        <v>1.5283385544890606</v>
      </c>
      <c r="AC23">
        <f t="shared" si="21"/>
        <v>0</v>
      </c>
      <c r="AD23">
        <f t="shared" si="22"/>
        <v>201.39906900137305</v>
      </c>
      <c r="AE23">
        <f t="shared" si="23"/>
        <v>55.762847974692853</v>
      </c>
      <c r="AF23">
        <f t="shared" si="24"/>
        <v>53.206228477158113</v>
      </c>
      <c r="AG23">
        <f t="shared" si="25"/>
        <v>54.484538225925483</v>
      </c>
    </row>
    <row r="24" spans="1:35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0.18495311800280445</v>
      </c>
      <c r="F24">
        <f>Align!G24</f>
        <v>0.38022277732041276</v>
      </c>
      <c r="G24">
        <v>0.68971428571428572</v>
      </c>
      <c r="H24">
        <f t="shared" si="0"/>
        <v>0.59468262987012988</v>
      </c>
      <c r="I24">
        <f t="shared" si="1"/>
        <v>1.0634334411589481</v>
      </c>
      <c r="J24">
        <f t="shared" si="2"/>
        <v>6.4763096566579934</v>
      </c>
      <c r="K24">
        <f t="shared" si="3"/>
        <v>-2.0927014398884114E-2</v>
      </c>
      <c r="L24">
        <f t="shared" si="4"/>
        <v>6.88524102758665</v>
      </c>
      <c r="M24">
        <f t="shared" si="5"/>
        <v>2.7205858638129383</v>
      </c>
      <c r="N24">
        <f t="shared" si="6"/>
        <v>6.4306310300874481</v>
      </c>
      <c r="O24">
        <f t="shared" si="7"/>
        <v>3.1280747253549848</v>
      </c>
      <c r="P24">
        <f t="shared" si="8"/>
        <v>267.8149332591808</v>
      </c>
      <c r="Q24">
        <f t="shared" si="9"/>
        <v>63.369728176843154</v>
      </c>
      <c r="R24">
        <f t="shared" si="10"/>
        <v>307.01945874754944</v>
      </c>
      <c r="S24">
        <f t="shared" si="11"/>
        <v>160.67773964967884</v>
      </c>
      <c r="T24">
        <f t="shared" si="12"/>
        <v>43.767465432658838</v>
      </c>
      <c r="U24">
        <f t="shared" si="13"/>
        <v>11.229420104848247</v>
      </c>
      <c r="V24">
        <f t="shared" si="14"/>
        <v>299.27284705480224</v>
      </c>
      <c r="W24">
        <f t="shared" si="15"/>
        <v>155.81722166035115</v>
      </c>
      <c r="X24">
        <f t="shared" si="16"/>
        <v>45.792557849224885</v>
      </c>
      <c r="Y24">
        <f t="shared" si="17"/>
        <v>-1.0812504691906835</v>
      </c>
      <c r="Z24">
        <f t="shared" si="18"/>
        <v>-7.7466116927471944</v>
      </c>
      <c r="AA24">
        <f t="shared" si="19"/>
        <v>-4.8605179893276897</v>
      </c>
      <c r="AB24">
        <f t="shared" si="20"/>
        <v>2.0250924165660464</v>
      </c>
      <c r="AC24">
        <f t="shared" si="21"/>
        <v>0</v>
      </c>
      <c r="AD24">
        <f t="shared" si="22"/>
        <v>203.63576345850151</v>
      </c>
      <c r="AE24">
        <f t="shared" si="23"/>
        <v>56.16665978842515</v>
      </c>
      <c r="AF24">
        <f t="shared" si="24"/>
        <v>53.535474411487506</v>
      </c>
      <c r="AG24">
        <f t="shared" si="25"/>
        <v>54.851067099956325</v>
      </c>
    </row>
    <row r="25" spans="1:35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0.18475088415451557</v>
      </c>
      <c r="F25">
        <f>Align!G25</f>
        <v>0.37990972573080195</v>
      </c>
      <c r="G25">
        <v>1.1736625271145049</v>
      </c>
      <c r="H25">
        <f t="shared" si="0"/>
        <v>1.0119505027819666</v>
      </c>
      <c r="I25">
        <f t="shared" si="1"/>
        <v>0.2158182972203159</v>
      </c>
      <c r="J25">
        <f t="shared" si="2"/>
        <v>1.3143334300717238</v>
      </c>
      <c r="K25">
        <f t="shared" si="3"/>
        <v>0.3201009601469138</v>
      </c>
      <c r="L25">
        <f t="shared" si="4"/>
        <v>11.751566209153317</v>
      </c>
      <c r="M25">
        <f t="shared" si="5"/>
        <v>4.6313520618781601</v>
      </c>
      <c r="N25">
        <f t="shared" si="6"/>
        <v>10.95475680577124</v>
      </c>
      <c r="O25">
        <f t="shared" si="7"/>
        <v>5.3273208567396289</v>
      </c>
      <c r="P25">
        <f t="shared" si="8"/>
        <v>157.72881327057817</v>
      </c>
      <c r="Q25">
        <f t="shared" si="9"/>
        <v>37.301239490304134</v>
      </c>
      <c r="R25">
        <f t="shared" si="10"/>
        <v>181.50853765799607</v>
      </c>
      <c r="S25">
        <f t="shared" si="11"/>
        <v>95.016196483678868</v>
      </c>
      <c r="T25">
        <f t="shared" si="12"/>
        <v>25.411377296595177</v>
      </c>
      <c r="U25">
        <f t="shared" si="13"/>
        <v>-13.546513182130813</v>
      </c>
      <c r="V25">
        <f t="shared" si="14"/>
        <v>-29.199045989503468</v>
      </c>
      <c r="W25">
        <f t="shared" si="15"/>
        <v>-10.857935861774127</v>
      </c>
      <c r="X25">
        <f t="shared" si="16"/>
        <v>-7.5833284129105225</v>
      </c>
      <c r="Y25">
        <f t="shared" si="17"/>
        <v>-26.029360966995462</v>
      </c>
      <c r="Z25">
        <f t="shared" si="18"/>
        <v>-210.70758364749955</v>
      </c>
      <c r="AA25">
        <f t="shared" si="19"/>
        <v>-105.87413234545299</v>
      </c>
      <c r="AB25">
        <f t="shared" si="20"/>
        <v>-32.994705709505702</v>
      </c>
      <c r="AC25">
        <f t="shared" si="21"/>
        <v>0</v>
      </c>
      <c r="AD25">
        <f t="shared" si="22"/>
        <v>-16.971639237683906</v>
      </c>
      <c r="AE25">
        <f t="shared" si="23"/>
        <v>-8.2182190732921807</v>
      </c>
      <c r="AF25">
        <f t="shared" si="24"/>
        <v>-8.1473834362077309</v>
      </c>
      <c r="AG25">
        <f t="shared" si="25"/>
        <v>-8.1828012547499558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9260C-3751-4860-911E-07FF206B1835}">
  <dimension ref="A3:AM25"/>
  <sheetViews>
    <sheetView workbookViewId="0"/>
  </sheetViews>
  <sheetFormatPr defaultRowHeight="15" x14ac:dyDescent="0.25"/>
  <sheetData>
    <row r="3" spans="1:39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66</v>
      </c>
      <c r="AI3" t="s">
        <v>67</v>
      </c>
      <c r="AL3" t="s">
        <v>80</v>
      </c>
    </row>
    <row r="4" spans="1:39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0.20291614843494321</v>
      </c>
      <c r="F4">
        <f>Align!G4</f>
        <v>0.41955125799861193</v>
      </c>
      <c r="G4">
        <f>Lfin_100</f>
        <v>0.70399999999999996</v>
      </c>
      <c r="H4">
        <f t="shared" ref="H4:H25" si="0">G4*Lfin_111/Lfin_100</f>
        <v>0.60699999999999998</v>
      </c>
      <c r="I4">
        <f t="shared" ref="I4:I25" si="1">($G$4/G4)^3</f>
        <v>1</v>
      </c>
      <c r="J4">
        <f t="shared" ref="J4:J25" si="2">rho_100*I4</f>
        <v>6.09</v>
      </c>
      <c r="K4">
        <f t="shared" ref="K4:K25" si="3">0.5*(1-I4^(2/3))</f>
        <v>0</v>
      </c>
      <c r="L4">
        <f t="shared" ref="L4:L25" si="4">2*G4/C4</f>
        <v>6.1431082084309132</v>
      </c>
      <c r="M4">
        <f t="shared" ref="M4:M25" si="5">2*G4/D4</f>
        <v>2.7557757329741848</v>
      </c>
      <c r="N4">
        <f t="shared" ref="N4:N25" si="6">2*H4/E4</f>
        <v>5.9827668195132313</v>
      </c>
      <c r="O4">
        <f t="shared" ref="O4:O25" si="7">2*H4/F4</f>
        <v>2.8935677747485538</v>
      </c>
      <c r="P4">
        <f t="shared" ref="P4:P25" si="8">J4*N4^2</f>
        <v>217.98240779351096</v>
      </c>
      <c r="Q4">
        <f t="shared" ref="Q4:Q25" si="9">J4*O4^2</f>
        <v>50.989952904415482</v>
      </c>
      <c r="R4">
        <f t="shared" ref="R4:R25" si="10">3*Q4+S4-T4</f>
        <v>227.46374093666819</v>
      </c>
      <c r="S4">
        <f t="shared" ref="S4:S25" si="11">P4-Q4-T4</f>
        <v>120.74316855625861</v>
      </c>
      <c r="T4">
        <f t="shared" ref="T4:T25" si="12">J4*M4^2</f>
        <v>46.249286332836874</v>
      </c>
      <c r="U4">
        <f t="shared" ref="U4:U25" si="13">-3*$AI$11*((1-2*K4)^2.5)*(1+1.5*(4-$AI$12)*K4)*K4</f>
        <v>0</v>
      </c>
      <c r="V4">
        <f t="shared" ref="V4:V25" si="14">((1-2*K4)^3.5)*($AI$4-$AI$14*K4)+3*U4</f>
        <v>229.36899385943329</v>
      </c>
      <c r="W4">
        <f t="shared" ref="W4:W25" si="15">((1-2*K4)^3.5)*($AI$5-$AI$15*K4)+1*U4</f>
        <v>117.4340474416213</v>
      </c>
      <c r="X4">
        <f t="shared" ref="X4:X25" si="16">((1-2*K4)^3.5)*($AI$6-$AI$16*K4)+1*U4</f>
        <v>46.816573070370382</v>
      </c>
      <c r="Y4">
        <f t="shared" ref="Y4:Y25" si="17">U4-B4</f>
        <v>0</v>
      </c>
      <c r="Z4">
        <f t="shared" ref="Z4:Z25" si="18">V4-R4</f>
        <v>1.9052529227651007</v>
      </c>
      <c r="AA4">
        <f t="shared" ref="AA4:AA25" si="19">W4-S4</f>
        <v>-3.309121114637307</v>
      </c>
      <c r="AB4">
        <f t="shared" ref="AB4:AB25" si="20">X4-T4</f>
        <v>0.56728673753350733</v>
      </c>
      <c r="AC4">
        <f t="shared" ref="AC4:AC25" si="21">IF(AND(A4&gt;=CutoffLowBar,A4&lt;=CutoffOilBar),Y4^2+Z4^2+AA4^2+AB4^2,0)</f>
        <v>0</v>
      </c>
      <c r="AD4">
        <f t="shared" ref="AD4:AD25" si="22">(V4+2*W4)/3</f>
        <v>154.74569624755864</v>
      </c>
      <c r="AE4">
        <f t="shared" ref="AE4:AE25" si="23">(V4-W4+3*X4)/5</f>
        <v>50.476933125784626</v>
      </c>
      <c r="AF4">
        <f t="shared" ref="AF4:AF25" si="24">5*(V4-W4)*X4/(3*(V4-W4)+4*X4)</f>
        <v>50.092714758696893</v>
      </c>
      <c r="AG4">
        <f t="shared" ref="AG4:AG25" si="25">(AE4+AF4)/2</f>
        <v>50.284823942240763</v>
      </c>
      <c r="AH4" t="s">
        <v>68</v>
      </c>
      <c r="AI4">
        <v>229.36899385943329</v>
      </c>
      <c r="AL4" t="s">
        <v>68</v>
      </c>
      <c r="AM4">
        <f>$AI$4</f>
        <v>229.36899385943329</v>
      </c>
    </row>
    <row r="5" spans="1:39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0.20282185216281789</v>
      </c>
      <c r="F5">
        <f>Align!G5</f>
        <v>0.41875595960981177</v>
      </c>
      <c r="G5">
        <v>0.70328571428571429</v>
      </c>
      <c r="H5">
        <f t="shared" si="0"/>
        <v>0.60638413149350656</v>
      </c>
      <c r="I5">
        <f t="shared" si="1"/>
        <v>1.0030500182349524</v>
      </c>
      <c r="J5">
        <f t="shared" si="2"/>
        <v>6.1085746110508605</v>
      </c>
      <c r="K5">
        <f t="shared" si="3"/>
        <v>-1.0161566325762594E-3</v>
      </c>
      <c r="L5">
        <f t="shared" si="4"/>
        <v>6.258501511054912</v>
      </c>
      <c r="M5">
        <f t="shared" si="5"/>
        <v>2.7730246957953448</v>
      </c>
      <c r="N5">
        <f t="shared" si="6"/>
        <v>5.979475337861758</v>
      </c>
      <c r="O5">
        <f t="shared" si="7"/>
        <v>2.896121798760896</v>
      </c>
      <c r="P5">
        <f t="shared" si="8"/>
        <v>218.40674214624084</v>
      </c>
      <c r="Q5">
        <f t="shared" si="9"/>
        <v>51.235800721188021</v>
      </c>
      <c r="R5">
        <f t="shared" si="10"/>
        <v>226.93254704453238</v>
      </c>
      <c r="S5">
        <f t="shared" si="11"/>
        <v>120.19804315301059</v>
      </c>
      <c r="T5">
        <f t="shared" si="12"/>
        <v>46.972898272042251</v>
      </c>
      <c r="U5">
        <f t="shared" si="13"/>
        <v>0.47425754505102941</v>
      </c>
      <c r="V5">
        <f t="shared" si="14"/>
        <v>232.19226866384335</v>
      </c>
      <c r="W5">
        <f t="shared" si="15"/>
        <v>118.98117044609486</v>
      </c>
      <c r="X5">
        <f t="shared" si="16"/>
        <v>46.93357666262397</v>
      </c>
      <c r="Y5">
        <f t="shared" si="17"/>
        <v>0.3451246369317541</v>
      </c>
      <c r="Z5">
        <f t="shared" si="18"/>
        <v>5.2597216193109659</v>
      </c>
      <c r="AA5">
        <f t="shared" si="19"/>
        <v>-1.2168727069157228</v>
      </c>
      <c r="AB5">
        <f t="shared" si="20"/>
        <v>-3.9321609418280445E-2</v>
      </c>
      <c r="AC5">
        <f t="shared" si="21"/>
        <v>0</v>
      </c>
      <c r="AD5">
        <f t="shared" si="22"/>
        <v>156.71820318534435</v>
      </c>
      <c r="AE5">
        <f t="shared" si="23"/>
        <v>50.802365641124076</v>
      </c>
      <c r="AF5">
        <f t="shared" si="24"/>
        <v>50.376641873021093</v>
      </c>
      <c r="AG5">
        <f t="shared" si="25"/>
        <v>50.589503757072585</v>
      </c>
      <c r="AH5" t="s">
        <v>69</v>
      </c>
      <c r="AI5">
        <v>117.4340474416213</v>
      </c>
      <c r="AL5" t="s">
        <v>69</v>
      </c>
      <c r="AM5">
        <f>$AI$5</f>
        <v>117.4340474416213</v>
      </c>
    </row>
    <row r="6" spans="1:39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0.20068313946370661</v>
      </c>
      <c r="F6">
        <f>Align!G6</f>
        <v>0.41032240249009772</v>
      </c>
      <c r="G6">
        <v>0.70257142857142851</v>
      </c>
      <c r="H6">
        <f t="shared" si="0"/>
        <v>0.60576826298701292</v>
      </c>
      <c r="I6">
        <f t="shared" si="1"/>
        <v>1.0061124525725225</v>
      </c>
      <c r="J6">
        <f t="shared" si="2"/>
        <v>6.1272248361666612</v>
      </c>
      <c r="K6">
        <f t="shared" si="3"/>
        <v>-2.0354141387647351E-3</v>
      </c>
      <c r="L6">
        <f t="shared" si="4"/>
        <v>6.3596744792744664</v>
      </c>
      <c r="M6">
        <f t="shared" si="5"/>
        <v>2.7778754271810775</v>
      </c>
      <c r="N6">
        <f t="shared" si="6"/>
        <v>6.0370618538839995</v>
      </c>
      <c r="O6">
        <f t="shared" si="7"/>
        <v>2.9526453311387595</v>
      </c>
      <c r="P6">
        <f t="shared" si="8"/>
        <v>223.31354608080815</v>
      </c>
      <c r="Q6">
        <f t="shared" si="9"/>
        <v>53.417847391746804</v>
      </c>
      <c r="R6">
        <f t="shared" si="10"/>
        <v>235.58665391939448</v>
      </c>
      <c r="S6">
        <f t="shared" si="11"/>
        <v>122.61440521660771</v>
      </c>
      <c r="T6">
        <f t="shared" si="12"/>
        <v>47.281293472453648</v>
      </c>
      <c r="U6">
        <f t="shared" si="13"/>
        <v>0.95504246938116677</v>
      </c>
      <c r="V6">
        <f t="shared" si="14"/>
        <v>235.0443895324488</v>
      </c>
      <c r="W6">
        <f t="shared" si="15"/>
        <v>120.54573751900699</v>
      </c>
      <c r="X6">
        <f t="shared" si="16"/>
        <v>47.047840350979477</v>
      </c>
      <c r="Y6">
        <f t="shared" si="17"/>
        <v>-0.6806410334631352</v>
      </c>
      <c r="Z6">
        <f t="shared" si="18"/>
        <v>-0.54226438694567491</v>
      </c>
      <c r="AA6">
        <f t="shared" si="19"/>
        <v>-2.0686676976007163</v>
      </c>
      <c r="AB6">
        <f t="shared" si="20"/>
        <v>-0.23345312147417019</v>
      </c>
      <c r="AC6">
        <f t="shared" si="21"/>
        <v>0</v>
      </c>
      <c r="AD6">
        <f t="shared" si="22"/>
        <v>158.71195485682094</v>
      </c>
      <c r="AE6">
        <f t="shared" si="23"/>
        <v>51.128434613276049</v>
      </c>
      <c r="AF6">
        <f t="shared" si="24"/>
        <v>50.65866839014528</v>
      </c>
      <c r="AG6">
        <f t="shared" si="25"/>
        <v>50.893551501710661</v>
      </c>
      <c r="AH6" t="s">
        <v>70</v>
      </c>
      <c r="AI6">
        <v>46.816573070370382</v>
      </c>
      <c r="AL6" t="s">
        <v>70</v>
      </c>
      <c r="AM6">
        <f>$AI$6</f>
        <v>46.816573070370382</v>
      </c>
    </row>
    <row r="7" spans="1:39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0.19907985057124322</v>
      </c>
      <c r="F7">
        <f>Align!G7</f>
        <v>0.40614708298662372</v>
      </c>
      <c r="G7">
        <v>0.70185714285714285</v>
      </c>
      <c r="H7">
        <f t="shared" si="0"/>
        <v>0.6051523944805195</v>
      </c>
      <c r="I7">
        <f t="shared" si="1"/>
        <v>1.0091873662568498</v>
      </c>
      <c r="J7">
        <f t="shared" si="2"/>
        <v>6.1459510605042151</v>
      </c>
      <c r="K7">
        <f t="shared" si="3"/>
        <v>-3.057785148123271E-3</v>
      </c>
      <c r="L7">
        <f t="shared" si="4"/>
        <v>6.4171051454499528</v>
      </c>
      <c r="M7">
        <f t="shared" si="5"/>
        <v>2.7750512350021621</v>
      </c>
      <c r="N7">
        <f t="shared" si="6"/>
        <v>6.0794941601983785</v>
      </c>
      <c r="O7">
        <f t="shared" si="7"/>
        <v>2.9799667156563077</v>
      </c>
      <c r="P7">
        <f t="shared" si="8"/>
        <v>227.15588303696245</v>
      </c>
      <c r="Q7">
        <f t="shared" si="9"/>
        <v>54.577284603383816</v>
      </c>
      <c r="R7">
        <f t="shared" si="10"/>
        <v>241.6516281861168</v>
      </c>
      <c r="S7">
        <f t="shared" si="11"/>
        <v>125.24918640477199</v>
      </c>
      <c r="T7">
        <f t="shared" si="12"/>
        <v>47.329412028806644</v>
      </c>
      <c r="U7">
        <f t="shared" si="13"/>
        <v>1.442433237488308</v>
      </c>
      <c r="V7">
        <f t="shared" si="14"/>
        <v>237.92565486915069</v>
      </c>
      <c r="W7">
        <f t="shared" si="15"/>
        <v>122.12794954493747</v>
      </c>
      <c r="X7">
        <f t="shared" si="16"/>
        <v>47.15929250890332</v>
      </c>
      <c r="Y7">
        <f t="shared" si="17"/>
        <v>-1.0541363194845887</v>
      </c>
      <c r="Z7">
        <f t="shared" si="18"/>
        <v>-3.7259733169661047</v>
      </c>
      <c r="AA7">
        <f t="shared" si="19"/>
        <v>-3.121236859834525</v>
      </c>
      <c r="AB7">
        <f t="shared" si="20"/>
        <v>-0.17011951990332363</v>
      </c>
      <c r="AC7">
        <f t="shared" si="21"/>
        <v>0</v>
      </c>
      <c r="AD7">
        <f t="shared" si="22"/>
        <v>160.72718465300855</v>
      </c>
      <c r="AE7">
        <f t="shared" si="23"/>
        <v>51.455116570184636</v>
      </c>
      <c r="AF7">
        <f t="shared" si="24"/>
        <v>50.938706261461917</v>
      </c>
      <c r="AG7">
        <f t="shared" si="25"/>
        <v>51.19691141582328</v>
      </c>
      <c r="AH7" t="s">
        <v>71</v>
      </c>
      <c r="AI7">
        <v>5.9635509794934727</v>
      </c>
      <c r="AL7" t="s">
        <v>71</v>
      </c>
      <c r="AM7">
        <f>$AI$7</f>
        <v>5.9635509794934727</v>
      </c>
    </row>
    <row r="8" spans="1:39" x14ac:dyDescent="0.25">
      <c r="A8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0.19731088611066464</v>
      </c>
      <c r="F8">
        <f>Align!G8</f>
        <v>0.40204930534036237</v>
      </c>
      <c r="G8">
        <v>0.69918997293722984</v>
      </c>
      <c r="H8">
        <f t="shared" si="0"/>
        <v>0.60285271814332175</v>
      </c>
      <c r="I8">
        <f t="shared" si="1"/>
        <v>1.0207805891057509</v>
      </c>
      <c r="J8">
        <f t="shared" si="2"/>
        <v>6.2165537876540222</v>
      </c>
      <c r="K8">
        <f t="shared" si="3"/>
        <v>-6.9030912441048198E-3</v>
      </c>
      <c r="L8">
        <f t="shared" si="4"/>
        <v>6.4576660555335437</v>
      </c>
      <c r="M8">
        <f t="shared" si="5"/>
        <v>2.7677886365519444</v>
      </c>
      <c r="N8">
        <f t="shared" si="6"/>
        <v>6.1106888730427489</v>
      </c>
      <c r="O8">
        <f t="shared" si="7"/>
        <v>2.9988994391270767</v>
      </c>
      <c r="P8">
        <f t="shared" si="8"/>
        <v>232.12934173358832</v>
      </c>
      <c r="Q8">
        <f t="shared" si="9"/>
        <v>55.90794144341028</v>
      </c>
      <c r="R8">
        <f t="shared" si="10"/>
        <v>248.69949012912991</v>
      </c>
      <c r="S8">
        <f t="shared" si="11"/>
        <v>128.59853304453856</v>
      </c>
      <c r="T8">
        <f t="shared" si="12"/>
        <v>47.622867245639505</v>
      </c>
      <c r="U8">
        <f t="shared" si="13"/>
        <v>3.3221077790918221</v>
      </c>
      <c r="V8">
        <f t="shared" si="14"/>
        <v>248.94713785640536</v>
      </c>
      <c r="W8">
        <f t="shared" si="15"/>
        <v>128.19540881198384</v>
      </c>
      <c r="X8">
        <f t="shared" si="16"/>
        <v>47.549361696126304</v>
      </c>
      <c r="Y8">
        <f t="shared" si="17"/>
        <v>-0.12143643742252852</v>
      </c>
      <c r="Z8">
        <f t="shared" si="18"/>
        <v>0.24764772727544937</v>
      </c>
      <c r="AA8">
        <f t="shared" si="19"/>
        <v>-0.40312423255471685</v>
      </c>
      <c r="AB8">
        <f t="shared" si="20"/>
        <v>-7.3505549513200208E-2</v>
      </c>
      <c r="AC8">
        <f t="shared" si="21"/>
        <v>0.24398841784063799</v>
      </c>
      <c r="AD8">
        <f t="shared" si="22"/>
        <v>168.44598516012434</v>
      </c>
      <c r="AE8">
        <f t="shared" si="23"/>
        <v>52.679962826560086</v>
      </c>
      <c r="AF8">
        <f t="shared" si="24"/>
        <v>51.965248124968312</v>
      </c>
      <c r="AG8">
        <f t="shared" si="25"/>
        <v>52.322605475764199</v>
      </c>
      <c r="AH8" t="s">
        <v>72</v>
      </c>
      <c r="AI8">
        <v>3.2662478532088626</v>
      </c>
      <c r="AL8" t="s">
        <v>72</v>
      </c>
      <c r="AM8">
        <f>$AI$8</f>
        <v>3.2662478532088626</v>
      </c>
    </row>
    <row r="9" spans="1:39" x14ac:dyDescent="0.25">
      <c r="A9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0.19557221353453599</v>
      </c>
      <c r="F9">
        <f>Align!G9</f>
        <v>0.3982834977610536</v>
      </c>
      <c r="G9">
        <v>0.69762895327620722</v>
      </c>
      <c r="H9">
        <f t="shared" si="0"/>
        <v>0.60150678215718434</v>
      </c>
      <c r="I9">
        <f t="shared" si="1"/>
        <v>1.0276482517322139</v>
      </c>
      <c r="J9">
        <f t="shared" si="2"/>
        <v>6.2583778530491818</v>
      </c>
      <c r="K9">
        <f t="shared" si="3"/>
        <v>-9.1741293977760652E-3</v>
      </c>
      <c r="L9">
        <f t="shared" si="4"/>
        <v>6.4972559461991723</v>
      </c>
      <c r="M9">
        <f t="shared" si="5"/>
        <v>2.7616092394689709</v>
      </c>
      <c r="N9">
        <f t="shared" si="6"/>
        <v>6.1512499274439572</v>
      </c>
      <c r="O9">
        <f t="shared" si="7"/>
        <v>3.0204956295631038</v>
      </c>
      <c r="P9">
        <f t="shared" si="8"/>
        <v>236.80372309880102</v>
      </c>
      <c r="Q9">
        <f t="shared" si="9"/>
        <v>57.097646004281422</v>
      </c>
      <c r="R9">
        <f t="shared" si="10"/>
        <v>255.54015806222407</v>
      </c>
      <c r="S9">
        <f t="shared" si="11"/>
        <v>131.97664857194971</v>
      </c>
      <c r="T9">
        <f t="shared" si="12"/>
        <v>47.729428522569883</v>
      </c>
      <c r="U9">
        <f t="shared" si="13"/>
        <v>4.4671710150277946</v>
      </c>
      <c r="V9">
        <f t="shared" si="14"/>
        <v>255.59460814526034</v>
      </c>
      <c r="W9">
        <f t="shared" si="15"/>
        <v>131.86632389972596</v>
      </c>
      <c r="X9">
        <f t="shared" si="16"/>
        <v>47.757417511816342</v>
      </c>
      <c r="Y9">
        <f t="shared" si="17"/>
        <v>3.360783626551811E-2</v>
      </c>
      <c r="Z9">
        <f t="shared" si="18"/>
        <v>5.445008303627219E-2</v>
      </c>
      <c r="AA9">
        <f t="shared" si="19"/>
        <v>-0.11032467222375431</v>
      </c>
      <c r="AB9">
        <f t="shared" si="20"/>
        <v>2.7988989246459539E-2</v>
      </c>
      <c r="AC9">
        <f t="shared" si="21"/>
        <v>1.7049215021424063E-2</v>
      </c>
      <c r="AD9">
        <f t="shared" si="22"/>
        <v>173.10908531490409</v>
      </c>
      <c r="AE9">
        <f t="shared" si="23"/>
        <v>53.400107356196678</v>
      </c>
      <c r="AF9">
        <f t="shared" si="24"/>
        <v>52.550610925842648</v>
      </c>
      <c r="AG9">
        <f t="shared" si="25"/>
        <v>52.975359141019666</v>
      </c>
      <c r="AH9" t="s">
        <v>73</v>
      </c>
      <c r="AI9">
        <v>0.25126331846518196</v>
      </c>
      <c r="AL9" t="s">
        <v>73</v>
      </c>
      <c r="AM9">
        <f>$AI$9</f>
        <v>0.25126331846518196</v>
      </c>
    </row>
    <row r="10" spans="1:39" x14ac:dyDescent="0.25">
      <c r="A10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0.19444588691824252</v>
      </c>
      <c r="F10">
        <f>Align!G10</f>
        <v>0.39595434052709966</v>
      </c>
      <c r="G10">
        <v>0.69661969516297095</v>
      </c>
      <c r="H10">
        <f t="shared" si="0"/>
        <v>0.60063658375557294</v>
      </c>
      <c r="I10">
        <f t="shared" si="1"/>
        <v>1.0321212764080232</v>
      </c>
      <c r="J10">
        <f t="shared" si="2"/>
        <v>6.2856185733248608</v>
      </c>
      <c r="K10">
        <f t="shared" si="3"/>
        <v>-1.0650574533077939E-2</v>
      </c>
      <c r="L10">
        <f t="shared" si="4"/>
        <v>6.5304304673302278</v>
      </c>
      <c r="M10">
        <f t="shared" si="5"/>
        <v>2.7576140260859354</v>
      </c>
      <c r="N10">
        <f t="shared" si="6"/>
        <v>6.1779304594714208</v>
      </c>
      <c r="O10">
        <f t="shared" si="7"/>
        <v>3.0338679099009123</v>
      </c>
      <c r="P10">
        <f t="shared" si="8"/>
        <v>239.90210260926949</v>
      </c>
      <c r="Q10">
        <f t="shared" si="9"/>
        <v>57.855061567519243</v>
      </c>
      <c r="R10">
        <f t="shared" si="10"/>
        <v>260.01506852387598</v>
      </c>
      <c r="S10">
        <f t="shared" si="11"/>
        <v>134.24846243153425</v>
      </c>
      <c r="T10">
        <f t="shared" si="12"/>
        <v>47.798578610215998</v>
      </c>
      <c r="U10">
        <f t="shared" si="13"/>
        <v>5.225683916098899</v>
      </c>
      <c r="V10">
        <f t="shared" si="14"/>
        <v>259.971811461085</v>
      </c>
      <c r="W10">
        <f t="shared" si="15"/>
        <v>134.28813277967018</v>
      </c>
      <c r="X10">
        <f t="shared" si="16"/>
        <v>47.883484575635876</v>
      </c>
      <c r="Y10">
        <f t="shared" si="17"/>
        <v>0.10341189403377538</v>
      </c>
      <c r="Z10">
        <f t="shared" si="18"/>
        <v>-4.3257062790985401E-2</v>
      </c>
      <c r="AA10">
        <f t="shared" si="19"/>
        <v>3.967034813592818E-2</v>
      </c>
      <c r="AB10">
        <f t="shared" si="20"/>
        <v>8.4905965419878271E-2</v>
      </c>
      <c r="AC10">
        <f t="shared" si="21"/>
        <v>2.1347952794063346E-2</v>
      </c>
      <c r="AD10">
        <f t="shared" si="22"/>
        <v>176.18269234014178</v>
      </c>
      <c r="AE10">
        <f t="shared" si="23"/>
        <v>53.866826481664496</v>
      </c>
      <c r="AF10">
        <f t="shared" si="24"/>
        <v>52.922366586143148</v>
      </c>
      <c r="AG10">
        <f t="shared" si="25"/>
        <v>53.394596533903822</v>
      </c>
      <c r="AL10" t="s">
        <v>74</v>
      </c>
      <c r="AM10">
        <f>$AI$11</f>
        <v>154.74569624755864</v>
      </c>
    </row>
    <row r="11" spans="1:39" x14ac:dyDescent="0.25">
      <c r="A11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0.19344570800055366</v>
      </c>
      <c r="F11">
        <f>Align!G11</f>
        <v>0.39397038293851272</v>
      </c>
      <c r="G11">
        <v>0.69581422202265852</v>
      </c>
      <c r="H11">
        <f t="shared" si="0"/>
        <v>0.59994209199965021</v>
      </c>
      <c r="I11">
        <f t="shared" si="1"/>
        <v>1.035709771763994</v>
      </c>
      <c r="J11">
        <f t="shared" si="2"/>
        <v>6.3074725100427234</v>
      </c>
      <c r="K11">
        <f t="shared" si="3"/>
        <v>-1.1833514972463544E-2</v>
      </c>
      <c r="L11">
        <f t="shared" si="4"/>
        <v>6.5721679931927603</v>
      </c>
      <c r="M11">
        <f t="shared" si="5"/>
        <v>2.7598881062731335</v>
      </c>
      <c r="N11">
        <f t="shared" si="6"/>
        <v>6.2026921992803592</v>
      </c>
      <c r="O11">
        <f t="shared" si="7"/>
        <v>3.0456202698530443</v>
      </c>
      <c r="P11">
        <f t="shared" si="8"/>
        <v>242.66985306681551</v>
      </c>
      <c r="Q11">
        <f t="shared" si="9"/>
        <v>58.506871347067907</v>
      </c>
      <c r="R11">
        <f t="shared" si="10"/>
        <v>263.59578208133973</v>
      </c>
      <c r="S11">
        <f t="shared" si="11"/>
        <v>136.11907487994182</v>
      </c>
      <c r="T11">
        <f t="shared" si="12"/>
        <v>48.043906839805771</v>
      </c>
      <c r="U11">
        <f t="shared" si="13"/>
        <v>5.8414837175301164</v>
      </c>
      <c r="V11">
        <f t="shared" si="14"/>
        <v>263.51064250320741</v>
      </c>
      <c r="W11">
        <f t="shared" si="15"/>
        <v>136.24872555691815</v>
      </c>
      <c r="X11">
        <f t="shared" si="16"/>
        <v>47.979149682115839</v>
      </c>
      <c r="Y11">
        <f t="shared" si="17"/>
        <v>7.3547154868532694E-2</v>
      </c>
      <c r="Z11">
        <f t="shared" si="18"/>
        <v>-8.5139578132327642E-2</v>
      </c>
      <c r="AA11">
        <f t="shared" si="19"/>
        <v>0.12965067697632549</v>
      </c>
      <c r="AB11">
        <f t="shared" si="20"/>
        <v>-6.4757157689932399E-2</v>
      </c>
      <c r="AC11">
        <f t="shared" si="21"/>
        <v>3.3660719266304921E-2</v>
      </c>
      <c r="AD11">
        <f t="shared" si="22"/>
        <v>178.66936453901454</v>
      </c>
      <c r="AE11">
        <f t="shared" si="23"/>
        <v>54.239873198527356</v>
      </c>
      <c r="AF11">
        <f t="shared" si="24"/>
        <v>53.215038831581438</v>
      </c>
      <c r="AG11">
        <f t="shared" si="25"/>
        <v>53.7274560150544</v>
      </c>
      <c r="AH11" t="s">
        <v>74</v>
      </c>
      <c r="AI11">
        <f>($AI$4+2*$AI$5)/3</f>
        <v>154.74569624755864</v>
      </c>
      <c r="AL11" t="s">
        <v>75</v>
      </c>
      <c r="AM11">
        <f>$AI$12</f>
        <v>4.1653488953037323</v>
      </c>
    </row>
    <row r="12" spans="1:39" x14ac:dyDescent="0.25">
      <c r="A1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0.19224001764408633</v>
      </c>
      <c r="F12">
        <f>Align!G12</f>
        <v>0.39170885995096172</v>
      </c>
      <c r="G12">
        <v>0.69474016232248548</v>
      </c>
      <c r="H12">
        <f t="shared" si="0"/>
        <v>0.59901602063884751</v>
      </c>
      <c r="I12">
        <f t="shared" si="1"/>
        <v>1.0405207853720433</v>
      </c>
      <c r="J12">
        <f t="shared" si="2"/>
        <v>6.3367715829157438</v>
      </c>
      <c r="K12">
        <f t="shared" si="3"/>
        <v>-1.3417314864554997E-2</v>
      </c>
      <c r="L12">
        <f t="shared" si="4"/>
        <v>6.5931603464024882</v>
      </c>
      <c r="M12">
        <f t="shared" si="5"/>
        <v>2.7556279395531749</v>
      </c>
      <c r="N12">
        <f t="shared" si="6"/>
        <v>6.2319596926782159</v>
      </c>
      <c r="O12">
        <f t="shared" si="7"/>
        <v>3.0584757297235439</v>
      </c>
      <c r="P12">
        <f t="shared" si="8"/>
        <v>246.10323594219597</v>
      </c>
      <c r="Q12">
        <f t="shared" si="9"/>
        <v>59.275896326900281</v>
      </c>
      <c r="R12">
        <f t="shared" si="10"/>
        <v>268.4186643446057</v>
      </c>
      <c r="S12">
        <f t="shared" si="11"/>
        <v>138.70915748960027</v>
      </c>
      <c r="T12">
        <f t="shared" si="12"/>
        <v>48.118182125695398</v>
      </c>
      <c r="U12">
        <f t="shared" si="13"/>
        <v>6.6772795891789629</v>
      </c>
      <c r="V12">
        <f t="shared" si="14"/>
        <v>268.29315985064812</v>
      </c>
      <c r="W12">
        <f t="shared" si="15"/>
        <v>138.90205563206487</v>
      </c>
      <c r="X12">
        <f t="shared" si="16"/>
        <v>48.099655948656185</v>
      </c>
      <c r="Y12">
        <f t="shared" si="17"/>
        <v>9.1501275095200008E-2</v>
      </c>
      <c r="Z12">
        <f t="shared" si="18"/>
        <v>-0.12550449395757823</v>
      </c>
      <c r="AA12">
        <f t="shared" si="19"/>
        <v>0.19289814246459969</v>
      </c>
      <c r="AB12">
        <f t="shared" si="20"/>
        <v>-1.852617703921311E-2</v>
      </c>
      <c r="AC12">
        <f t="shared" si="21"/>
        <v>6.1676773949576526E-2</v>
      </c>
      <c r="AD12">
        <f t="shared" si="22"/>
        <v>182.03242370492595</v>
      </c>
      <c r="AE12">
        <f t="shared" si="23"/>
        <v>54.738014412910367</v>
      </c>
      <c r="AF12">
        <f t="shared" si="24"/>
        <v>53.599452582759739</v>
      </c>
      <c r="AG12">
        <f t="shared" si="25"/>
        <v>54.168733497835049</v>
      </c>
      <c r="AH12" t="s">
        <v>75</v>
      </c>
      <c r="AI12">
        <f>($AI$7+2*$AI$8)/3</f>
        <v>4.1653488953037323</v>
      </c>
      <c r="AL12" t="s">
        <v>81</v>
      </c>
      <c r="AM12">
        <f>AE4</f>
        <v>50.476933125784626</v>
      </c>
    </row>
    <row r="13" spans="1:39" x14ac:dyDescent="0.25">
      <c r="A13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0.19126401652995695</v>
      </c>
      <c r="F13">
        <f>Align!G13</f>
        <v>0.3899965242098074</v>
      </c>
      <c r="G13">
        <v>0.69384095099769261</v>
      </c>
      <c r="H13">
        <f t="shared" si="0"/>
        <v>0.59824070632897641</v>
      </c>
      <c r="I13">
        <f t="shared" si="1"/>
        <v>1.0445715459423937</v>
      </c>
      <c r="J13">
        <f t="shared" si="2"/>
        <v>6.3614407147891772</v>
      </c>
      <c r="K13">
        <f t="shared" si="3"/>
        <v>-1.4748945185937723E-2</v>
      </c>
      <c r="L13">
        <f t="shared" si="4"/>
        <v>6.6350002363238776</v>
      </c>
      <c r="M13">
        <f t="shared" si="5"/>
        <v>2.7498798610314057</v>
      </c>
      <c r="N13">
        <f t="shared" si="6"/>
        <v>6.25565349073673</v>
      </c>
      <c r="O13">
        <f t="shared" si="7"/>
        <v>3.0679284003420468</v>
      </c>
      <c r="P13">
        <f t="shared" si="8"/>
        <v>248.94353557246654</v>
      </c>
      <c r="Q13">
        <f t="shared" si="9"/>
        <v>59.875054772468964</v>
      </c>
      <c r="R13">
        <f t="shared" si="10"/>
        <v>272.48526094877286</v>
      </c>
      <c r="S13">
        <f t="shared" si="11"/>
        <v>140.96428871568176</v>
      </c>
      <c r="T13">
        <f t="shared" si="12"/>
        <v>48.104192084315819</v>
      </c>
      <c r="U13">
        <f t="shared" si="13"/>
        <v>7.3900986294970226</v>
      </c>
      <c r="V13">
        <f t="shared" si="14"/>
        <v>272.35382960057228</v>
      </c>
      <c r="W13">
        <f t="shared" si="15"/>
        <v>141.15821772188724</v>
      </c>
      <c r="X13">
        <f t="shared" si="16"/>
        <v>48.194144589693281</v>
      </c>
      <c r="Y13">
        <f t="shared" si="17"/>
        <v>0.11561147211041156</v>
      </c>
      <c r="Z13">
        <f t="shared" si="18"/>
        <v>-0.13143134820057867</v>
      </c>
      <c r="AA13">
        <f t="shared" si="19"/>
        <v>0.19392900620547948</v>
      </c>
      <c r="AB13">
        <f t="shared" si="20"/>
        <v>8.9952505377461023E-2</v>
      </c>
      <c r="AC13">
        <f t="shared" si="21"/>
        <v>7.6340124444885277E-2</v>
      </c>
      <c r="AD13">
        <f t="shared" si="22"/>
        <v>184.89008834811557</v>
      </c>
      <c r="AE13">
        <f t="shared" si="23"/>
        <v>55.155609129552978</v>
      </c>
      <c r="AF13">
        <f t="shared" si="24"/>
        <v>53.915883371181771</v>
      </c>
      <c r="AG13">
        <f t="shared" si="25"/>
        <v>54.535746250367374</v>
      </c>
      <c r="AL13" t="s">
        <v>82</v>
      </c>
      <c r="AM13">
        <f>AF4</f>
        <v>50.092714758696893</v>
      </c>
    </row>
    <row r="14" spans="1:39" x14ac:dyDescent="0.25">
      <c r="A14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0.19049120618688217</v>
      </c>
      <c r="F14">
        <f>Align!G14</f>
        <v>0.38871581605483574</v>
      </c>
      <c r="G14">
        <v>0.69322847197805382</v>
      </c>
      <c r="H14">
        <f t="shared" si="0"/>
        <v>0.5977126171742595</v>
      </c>
      <c r="I14">
        <f t="shared" si="1"/>
        <v>1.0473426824588066</v>
      </c>
      <c r="J14">
        <f t="shared" si="2"/>
        <v>6.3783169361741319</v>
      </c>
      <c r="K14">
        <f t="shared" si="3"/>
        <v>-1.5658925709030158E-2</v>
      </c>
      <c r="L14">
        <f t="shared" si="4"/>
        <v>6.6609918454504067</v>
      </c>
      <c r="M14">
        <f t="shared" si="5"/>
        <v>2.7518149160959466</v>
      </c>
      <c r="N14">
        <f t="shared" si="6"/>
        <v>6.2754877680586585</v>
      </c>
      <c r="O14">
        <f t="shared" si="7"/>
        <v>3.0753192563172722</v>
      </c>
      <c r="P14">
        <f t="shared" si="8"/>
        <v>251.18926212528771</v>
      </c>
      <c r="Q14">
        <f t="shared" si="9"/>
        <v>60.323497085267853</v>
      </c>
      <c r="R14">
        <f t="shared" si="10"/>
        <v>275.23683340605504</v>
      </c>
      <c r="S14">
        <f t="shared" si="11"/>
        <v>142.56605359513566</v>
      </c>
      <c r="T14">
        <f t="shared" si="12"/>
        <v>48.299711444884188</v>
      </c>
      <c r="U14">
        <f t="shared" si="13"/>
        <v>7.8825470659430152</v>
      </c>
      <c r="V14">
        <f t="shared" si="14"/>
        <v>275.1496326827035</v>
      </c>
      <c r="W14">
        <f t="shared" si="15"/>
        <v>142.71335451875666</v>
      </c>
      <c r="X14">
        <f t="shared" si="16"/>
        <v>48.255066746840427</v>
      </c>
      <c r="Y14">
        <f t="shared" si="17"/>
        <v>4.8483973372776212E-2</v>
      </c>
      <c r="Z14">
        <f t="shared" si="18"/>
        <v>-8.7200723351543274E-2</v>
      </c>
      <c r="AA14">
        <f t="shared" si="19"/>
        <v>0.14730092362100322</v>
      </c>
      <c r="AB14">
        <f t="shared" si="20"/>
        <v>-4.4644698043761366E-2</v>
      </c>
      <c r="AC14">
        <f t="shared" si="21"/>
        <v>3.3645372990063718E-2</v>
      </c>
      <c r="AD14">
        <f t="shared" si="22"/>
        <v>186.8587805734056</v>
      </c>
      <c r="AE14">
        <f t="shared" si="23"/>
        <v>55.44029568089362</v>
      </c>
      <c r="AF14">
        <f t="shared" si="24"/>
        <v>54.128463483258663</v>
      </c>
      <c r="AG14">
        <f t="shared" si="25"/>
        <v>54.784379582076141</v>
      </c>
      <c r="AH14" t="s">
        <v>76</v>
      </c>
      <c r="AI14">
        <f>3*$AI$11*($AI$7-3)-7*$AI$4</f>
        <v>-229.79267795547753</v>
      </c>
      <c r="AL14" t="s">
        <v>83</v>
      </c>
      <c r="AM14">
        <f>AG4</f>
        <v>50.284823942240763</v>
      </c>
    </row>
    <row r="15" spans="1:39" x14ac:dyDescent="0.25">
      <c r="A15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0.18956204408307292</v>
      </c>
      <c r="F15">
        <f>Align!G15</f>
        <v>0.38725209804704125</v>
      </c>
      <c r="G15">
        <v>0.69239568703386634</v>
      </c>
      <c r="H15">
        <f t="shared" si="0"/>
        <v>0.59699457674652967</v>
      </c>
      <c r="I15">
        <f t="shared" si="1"/>
        <v>1.0511263312333636</v>
      </c>
      <c r="J15">
        <f t="shared" si="2"/>
        <v>6.4013593572111844</v>
      </c>
      <c r="K15">
        <f t="shared" si="3"/>
        <v>-1.6900098205761549E-2</v>
      </c>
      <c r="L15">
        <f t="shared" si="4"/>
        <v>6.6786590709277496</v>
      </c>
      <c r="M15">
        <f t="shared" si="5"/>
        <v>2.7474185173901779</v>
      </c>
      <c r="N15">
        <f t="shared" si="6"/>
        <v>6.2986720747208773</v>
      </c>
      <c r="O15">
        <f t="shared" si="7"/>
        <v>3.0832348217465824</v>
      </c>
      <c r="P15">
        <f t="shared" si="8"/>
        <v>253.96285753669551</v>
      </c>
      <c r="Q15">
        <f t="shared" si="9"/>
        <v>60.853479090303068</v>
      </c>
      <c r="R15">
        <f t="shared" si="10"/>
        <v>279.03094509795181</v>
      </c>
      <c r="S15">
        <f t="shared" si="11"/>
        <v>144.78994313671751</v>
      </c>
      <c r="T15">
        <f t="shared" si="12"/>
        <v>48.319435309674944</v>
      </c>
      <c r="U15">
        <f t="shared" si="13"/>
        <v>8.5612500269791312</v>
      </c>
      <c r="V15">
        <f t="shared" si="14"/>
        <v>278.99046788682625</v>
      </c>
      <c r="W15">
        <f t="shared" si="15"/>
        <v>144.85208918937971</v>
      </c>
      <c r="X15">
        <f t="shared" si="16"/>
        <v>48.333317630386794</v>
      </c>
      <c r="Y15">
        <f t="shared" si="17"/>
        <v>3.8478091106044943E-2</v>
      </c>
      <c r="Z15">
        <f t="shared" si="18"/>
        <v>-4.0477211125562462E-2</v>
      </c>
      <c r="AA15">
        <f t="shared" si="19"/>
        <v>6.2146052662200191E-2</v>
      </c>
      <c r="AB15">
        <f t="shared" si="20"/>
        <v>1.3882320711850582E-2</v>
      </c>
      <c r="AC15">
        <f t="shared" si="21"/>
        <v>7.1738188055080875E-3</v>
      </c>
      <c r="AD15">
        <f t="shared" si="22"/>
        <v>189.56488208852855</v>
      </c>
      <c r="AE15">
        <f t="shared" si="23"/>
        <v>55.827666317721381</v>
      </c>
      <c r="AF15">
        <f t="shared" si="24"/>
        <v>54.413514094471999</v>
      </c>
      <c r="AG15">
        <f t="shared" si="25"/>
        <v>55.120590206096693</v>
      </c>
      <c r="AH15" t="s">
        <v>77</v>
      </c>
      <c r="AI15">
        <f>3*$AI$11*($AI$8-1)-7*$AI$5</f>
        <v>230.03797365167236</v>
      </c>
      <c r="AL15" t="s">
        <v>84</v>
      </c>
      <c r="AM15">
        <f>$AI$18</f>
        <v>0.62657574921648274</v>
      </c>
    </row>
    <row r="16" spans="1:39" x14ac:dyDescent="0.25">
      <c r="A16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0.18876987732243708</v>
      </c>
      <c r="F16">
        <f>Align!G16</f>
        <v>0.38605195687015897</v>
      </c>
      <c r="G16">
        <v>0.69166786024286486</v>
      </c>
      <c r="H16">
        <f t="shared" si="0"/>
        <v>0.59636703290826554</v>
      </c>
      <c r="I16">
        <f t="shared" si="1"/>
        <v>1.054448055127698</v>
      </c>
      <c r="J16">
        <f t="shared" si="2"/>
        <v>6.4215886557276809</v>
      </c>
      <c r="K16">
        <f t="shared" si="3"/>
        <v>-1.7988515644478231E-2</v>
      </c>
      <c r="L16">
        <f t="shared" si="4"/>
        <v>6.7039709867141113</v>
      </c>
      <c r="M16">
        <f t="shared" si="5"/>
        <v>2.7423541823559132</v>
      </c>
      <c r="N16">
        <f t="shared" si="6"/>
        <v>6.3184554799451753</v>
      </c>
      <c r="O16">
        <f t="shared" si="7"/>
        <v>3.0895687603461206</v>
      </c>
      <c r="P16">
        <f t="shared" si="8"/>
        <v>256.3683110775807</v>
      </c>
      <c r="Q16">
        <f t="shared" si="9"/>
        <v>61.296857912085173</v>
      </c>
      <c r="R16">
        <f t="shared" si="10"/>
        <v>282.37482894495383</v>
      </c>
      <c r="S16">
        <f t="shared" si="11"/>
        <v>146.77785418709692</v>
      </c>
      <c r="T16">
        <f t="shared" si="12"/>
        <v>48.293598978398606</v>
      </c>
      <c r="U16">
        <f t="shared" si="13"/>
        <v>9.1631291023952031</v>
      </c>
      <c r="V16">
        <f t="shared" si="14"/>
        <v>282.38480294189219</v>
      </c>
      <c r="W16">
        <f t="shared" si="15"/>
        <v>146.74440206399527</v>
      </c>
      <c r="X16">
        <f t="shared" si="16"/>
        <v>48.397275327647677</v>
      </c>
      <c r="Y16">
        <f t="shared" si="17"/>
        <v>3.773692863207323E-2</v>
      </c>
      <c r="Z16">
        <f t="shared" si="18"/>
        <v>9.9739969383563221E-3</v>
      </c>
      <c r="AA16">
        <f t="shared" si="19"/>
        <v>-3.3452123101653797E-2</v>
      </c>
      <c r="AB16">
        <f t="shared" si="20"/>
        <v>0.10367634924907065</v>
      </c>
      <c r="AC16">
        <f t="shared" si="21"/>
        <v>1.3391386331132002E-2</v>
      </c>
      <c r="AD16">
        <f t="shared" si="22"/>
        <v>191.95786902329425</v>
      </c>
      <c r="AE16">
        <f t="shared" si="23"/>
        <v>56.166445372167992</v>
      </c>
      <c r="AF16">
        <f t="shared" si="24"/>
        <v>54.658727616513815</v>
      </c>
      <c r="AG16">
        <f t="shared" si="25"/>
        <v>55.4125864943409</v>
      </c>
      <c r="AH16" t="s">
        <v>78</v>
      </c>
      <c r="AI16">
        <f>3*$AI$11*($AI$9-1)-7*$AI$6</f>
        <v>-675.30734876316865</v>
      </c>
    </row>
    <row r="17" spans="1:35" x14ac:dyDescent="0.25">
      <c r="A17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0.18821761319213962</v>
      </c>
      <c r="F17">
        <f>Align!G17</f>
        <v>0.38522940940047751</v>
      </c>
      <c r="G17">
        <v>0.69123381400683503</v>
      </c>
      <c r="H17">
        <f t="shared" si="0"/>
        <v>0.59599279133827965</v>
      </c>
      <c r="I17">
        <f t="shared" si="1"/>
        <v>1.0564356604096847</v>
      </c>
      <c r="J17">
        <f t="shared" si="2"/>
        <v>6.4336931718949799</v>
      </c>
      <c r="K17">
        <f t="shared" si="3"/>
        <v>-1.8639240623448794E-2</v>
      </c>
      <c r="L17">
        <f t="shared" si="4"/>
        <v>6.7258400108713374</v>
      </c>
      <c r="M17">
        <f t="shared" si="5"/>
        <v>2.7438969932471529</v>
      </c>
      <c r="N17">
        <f t="shared" si="6"/>
        <v>6.3330182678479492</v>
      </c>
      <c r="O17">
        <f t="shared" si="7"/>
        <v>3.0942226984476999</v>
      </c>
      <c r="P17">
        <f t="shared" si="8"/>
        <v>258.03690653893955</v>
      </c>
      <c r="Q17">
        <f t="shared" si="9"/>
        <v>61.597555930255723</v>
      </c>
      <c r="R17">
        <f t="shared" si="10"/>
        <v>284.35384350858288</v>
      </c>
      <c r="S17">
        <f t="shared" si="11"/>
        <v>148.00026316324974</v>
      </c>
      <c r="T17">
        <f t="shared" si="12"/>
        <v>48.439087445434062</v>
      </c>
      <c r="U17">
        <f t="shared" si="13"/>
        <v>9.525977958684912</v>
      </c>
      <c r="V17">
        <f t="shared" si="14"/>
        <v>284.4258889942181</v>
      </c>
      <c r="W17">
        <f t="shared" si="15"/>
        <v>147.88328042806447</v>
      </c>
      <c r="X17">
        <f t="shared" si="16"/>
        <v>48.433406550826952</v>
      </c>
      <c r="Y17">
        <f t="shared" si="17"/>
        <v>-2.9857242142544038E-2</v>
      </c>
      <c r="Z17">
        <f t="shared" si="18"/>
        <v>7.2045485635214845E-2</v>
      </c>
      <c r="AA17">
        <f t="shared" si="19"/>
        <v>-0.11698273518527458</v>
      </c>
      <c r="AB17">
        <f t="shared" si="20"/>
        <v>-5.6808946071100763E-3</v>
      </c>
      <c r="AC17">
        <f t="shared" si="21"/>
        <v>1.9799239803737628E-2</v>
      </c>
      <c r="AD17">
        <f t="shared" si="22"/>
        <v>193.39748328344899</v>
      </c>
      <c r="AE17">
        <f t="shared" si="23"/>
        <v>56.368565643726903</v>
      </c>
      <c r="AF17">
        <f t="shared" si="24"/>
        <v>54.803166918853989</v>
      </c>
      <c r="AG17">
        <f t="shared" si="25"/>
        <v>55.58586628129045</v>
      </c>
    </row>
    <row r="18" spans="1:35" x14ac:dyDescent="0.25">
      <c r="A18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0.18751881685054153</v>
      </c>
      <c r="F18">
        <f>Align!G18</f>
        <v>0.38419063426876759</v>
      </c>
      <c r="G18">
        <v>0.69066939314411779</v>
      </c>
      <c r="H18">
        <f t="shared" si="0"/>
        <v>0.59550613869102209</v>
      </c>
      <c r="I18">
        <f t="shared" si="1"/>
        <v>1.0590277619821489</v>
      </c>
      <c r="J18">
        <f t="shared" si="2"/>
        <v>6.4494790704712868</v>
      </c>
      <c r="K18">
        <f t="shared" si="3"/>
        <v>-1.9487259723710237E-2</v>
      </c>
      <c r="L18">
        <f t="shared" si="4"/>
        <v>6.7466064048262728</v>
      </c>
      <c r="M18">
        <f t="shared" si="5"/>
        <v>2.7449253355966881</v>
      </c>
      <c r="N18">
        <f t="shared" si="6"/>
        <v>6.3514280720495311</v>
      </c>
      <c r="O18">
        <f t="shared" si="7"/>
        <v>3.100055470245664</v>
      </c>
      <c r="P18">
        <f t="shared" si="8"/>
        <v>260.17610404617125</v>
      </c>
      <c r="Q18">
        <f t="shared" si="9"/>
        <v>61.981711963042137</v>
      </c>
      <c r="R18">
        <f t="shared" si="10"/>
        <v>286.95084321503197</v>
      </c>
      <c r="S18">
        <f t="shared" si="11"/>
        <v>149.60004970451735</v>
      </c>
      <c r="T18">
        <f t="shared" si="12"/>
        <v>48.594342378611771</v>
      </c>
      <c r="U18">
        <f t="shared" si="13"/>
        <v>10.00223067978747</v>
      </c>
      <c r="V18">
        <f t="shared" si="14"/>
        <v>287.09903678406016</v>
      </c>
      <c r="W18">
        <f t="shared" si="15"/>
        <v>149.37595242695653</v>
      </c>
      <c r="X18">
        <f t="shared" si="16"/>
        <v>48.478101299011257</v>
      </c>
      <c r="Y18">
        <f t="shared" si="17"/>
        <v>-0.11318045622355832</v>
      </c>
      <c r="Z18">
        <f t="shared" si="18"/>
        <v>0.14819356902819436</v>
      </c>
      <c r="AA18">
        <f t="shared" si="19"/>
        <v>-0.22409727756081566</v>
      </c>
      <c r="AB18">
        <f t="shared" si="20"/>
        <v>-0.11624107960051333</v>
      </c>
      <c r="AC18">
        <f t="shared" si="21"/>
        <v>9.8502727969149148E-2</v>
      </c>
      <c r="AD18">
        <f t="shared" si="22"/>
        <v>195.28364721265771</v>
      </c>
      <c r="AE18">
        <f t="shared" si="23"/>
        <v>56.631477650827478</v>
      </c>
      <c r="AF18">
        <f t="shared" si="24"/>
        <v>54.988925655662122</v>
      </c>
      <c r="AG18">
        <f t="shared" si="25"/>
        <v>55.810201653244803</v>
      </c>
      <c r="AH18" t="s">
        <v>79</v>
      </c>
      <c r="AI18">
        <f>SUM(AC4:AC25)</f>
        <v>0.62657574921648274</v>
      </c>
    </row>
    <row r="19" spans="1:35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0.18689416907287151</v>
      </c>
      <c r="F19">
        <f>Align!G19</f>
        <v>0.3832512269076177</v>
      </c>
      <c r="G19">
        <v>0.69328571428571428</v>
      </c>
      <c r="H19">
        <f t="shared" si="0"/>
        <v>0.59776197240259743</v>
      </c>
      <c r="I19">
        <f t="shared" si="1"/>
        <v>1.0470832770179086</v>
      </c>
      <c r="J19">
        <f t="shared" si="2"/>
        <v>6.376737157039063</v>
      </c>
      <c r="K19">
        <f t="shared" si="3"/>
        <v>-1.5573776721581889E-2</v>
      </c>
      <c r="L19">
        <f t="shared" si="4"/>
        <v>6.7987277604700846</v>
      </c>
      <c r="M19">
        <f t="shared" si="5"/>
        <v>2.7487687189505321</v>
      </c>
      <c r="N19">
        <f t="shared" si="6"/>
        <v>6.3967963834069677</v>
      </c>
      <c r="O19">
        <f t="shared" si="7"/>
        <v>3.1194262689036991</v>
      </c>
      <c r="P19">
        <f t="shared" si="8"/>
        <v>260.92973304942819</v>
      </c>
      <c r="Q19">
        <f t="shared" si="9"/>
        <v>62.050883038319299</v>
      </c>
      <c r="R19">
        <f t="shared" si="10"/>
        <v>288.66969740271566</v>
      </c>
      <c r="S19">
        <f t="shared" si="11"/>
        <v>150.6979491494333</v>
      </c>
      <c r="T19">
        <f t="shared" si="12"/>
        <v>48.18090086167561</v>
      </c>
      <c r="U19">
        <f t="shared" si="13"/>
        <v>7.8362831081014326</v>
      </c>
      <c r="V19">
        <f t="shared" si="14"/>
        <v>274.88730104372837</v>
      </c>
      <c r="W19">
        <f t="shared" si="15"/>
        <v>142.56737482632838</v>
      </c>
      <c r="X19">
        <f t="shared" si="16"/>
        <v>48.249492843417315</v>
      </c>
      <c r="Y19">
        <f t="shared" si="17"/>
        <v>-2.7956596603867245</v>
      </c>
      <c r="Z19">
        <f t="shared" si="18"/>
        <v>-13.782396358987285</v>
      </c>
      <c r="AA19">
        <f t="shared" si="19"/>
        <v>-8.1305743231049235</v>
      </c>
      <c r="AB19">
        <f t="shared" si="20"/>
        <v>6.8591981741704444E-2</v>
      </c>
      <c r="AC19">
        <f t="shared" si="21"/>
        <v>0</v>
      </c>
      <c r="AD19">
        <f t="shared" si="22"/>
        <v>186.67401689879503</v>
      </c>
      <c r="AE19">
        <f t="shared" si="23"/>
        <v>55.413680949530388</v>
      </c>
      <c r="AF19">
        <f t="shared" si="24"/>
        <v>54.108699587283994</v>
      </c>
      <c r="AG19">
        <f t="shared" si="25"/>
        <v>54.761190268407191</v>
      </c>
    </row>
    <row r="20" spans="1:35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0.18653850947206904</v>
      </c>
      <c r="F20">
        <f>Align!G20</f>
        <v>0.38270781210782145</v>
      </c>
      <c r="G20">
        <v>0.6925714285714285</v>
      </c>
      <c r="H20">
        <f t="shared" si="0"/>
        <v>0.59714610389610379</v>
      </c>
      <c r="I20">
        <f t="shared" si="1"/>
        <v>1.0503263573424626</v>
      </c>
      <c r="J20">
        <f t="shared" si="2"/>
        <v>6.396487516215597</v>
      </c>
      <c r="K20">
        <f t="shared" si="3"/>
        <v>-1.6637802394100842E-2</v>
      </c>
      <c r="L20">
        <f t="shared" si="4"/>
        <v>6.811763024880789</v>
      </c>
      <c r="M20">
        <f t="shared" si="5"/>
        <v>2.741588701491056</v>
      </c>
      <c r="N20">
        <f t="shared" si="6"/>
        <v>6.4023895718488761</v>
      </c>
      <c r="O20">
        <f t="shared" si="7"/>
        <v>3.1206371283995007</v>
      </c>
      <c r="P20">
        <f t="shared" si="8"/>
        <v>262.19581147968313</v>
      </c>
      <c r="Q20">
        <f t="shared" si="9"/>
        <v>62.291401069638574</v>
      </c>
      <c r="R20">
        <f t="shared" si="10"/>
        <v>290.62266525893392</v>
      </c>
      <c r="S20">
        <f t="shared" si="11"/>
        <v>151.82643623003139</v>
      </c>
      <c r="T20">
        <f t="shared" si="12"/>
        <v>48.077974180013186</v>
      </c>
      <c r="U20">
        <f t="shared" si="13"/>
        <v>8.4171427402389511</v>
      </c>
      <c r="V20">
        <f t="shared" si="14"/>
        <v>278.17613867397313</v>
      </c>
      <c r="W20">
        <f t="shared" si="15"/>
        <v>144.39841497861588</v>
      </c>
      <c r="X20">
        <f t="shared" si="16"/>
        <v>48.317250453463551</v>
      </c>
      <c r="Y20">
        <f t="shared" si="17"/>
        <v>-2.5161101471942278</v>
      </c>
      <c r="Z20">
        <f t="shared" si="18"/>
        <v>-12.446526584960793</v>
      </c>
      <c r="AA20">
        <f t="shared" si="19"/>
        <v>-7.4280212514155153</v>
      </c>
      <c r="AB20">
        <f t="shared" si="20"/>
        <v>0.23927627345036484</v>
      </c>
      <c r="AC20">
        <f t="shared" si="21"/>
        <v>0</v>
      </c>
      <c r="AD20">
        <f t="shared" si="22"/>
        <v>188.99098954373494</v>
      </c>
      <c r="AE20">
        <f t="shared" si="23"/>
        <v>55.745895011149585</v>
      </c>
      <c r="AF20">
        <f t="shared" si="24"/>
        <v>54.353751764465066</v>
      </c>
      <c r="AG20">
        <f t="shared" si="25"/>
        <v>55.049823387807322</v>
      </c>
    </row>
    <row r="21" spans="1:35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0.18628790984322882</v>
      </c>
      <c r="F21">
        <f>Align!G21</f>
        <v>0.38232053933053556</v>
      </c>
      <c r="G21">
        <v>0.69185714285714284</v>
      </c>
      <c r="H21">
        <f t="shared" si="0"/>
        <v>0.59653023538961036</v>
      </c>
      <c r="I21">
        <f t="shared" si="1"/>
        <v>1.0535828443534312</v>
      </c>
      <c r="J21">
        <f t="shared" si="2"/>
        <v>6.4163195221123956</v>
      </c>
      <c r="K21">
        <f t="shared" si="3"/>
        <v>-1.7705125325047422E-2</v>
      </c>
      <c r="L21">
        <f t="shared" si="4"/>
        <v>6.8383669559885432</v>
      </c>
      <c r="M21">
        <f t="shared" si="5"/>
        <v>2.7365945581500672</v>
      </c>
      <c r="N21">
        <f t="shared" si="6"/>
        <v>6.4043902354331239</v>
      </c>
      <c r="O21">
        <f t="shared" si="7"/>
        <v>3.1205764484124647</v>
      </c>
      <c r="P21">
        <f t="shared" si="8"/>
        <v>263.17313645738636</v>
      </c>
      <c r="Q21">
        <f t="shared" si="9"/>
        <v>62.482102633890406</v>
      </c>
      <c r="R21">
        <f t="shared" si="10"/>
        <v>292.03435243332501</v>
      </c>
      <c r="S21">
        <f t="shared" si="11"/>
        <v>152.63953917757487</v>
      </c>
      <c r="T21">
        <f t="shared" si="12"/>
        <v>48.051494645921096</v>
      </c>
      <c r="U21">
        <f t="shared" si="13"/>
        <v>9.0058130094566575</v>
      </c>
      <c r="V21">
        <f t="shared" si="14"/>
        <v>281.49865937660917</v>
      </c>
      <c r="W21">
        <f t="shared" si="15"/>
        <v>146.25018573849559</v>
      </c>
      <c r="X21">
        <f t="shared" si="16"/>
        <v>48.381045782580877</v>
      </c>
      <c r="Y21">
        <f t="shared" si="17"/>
        <v>-2.142661391508657</v>
      </c>
      <c r="Z21">
        <f t="shared" si="18"/>
        <v>-10.535693056715843</v>
      </c>
      <c r="AA21">
        <f t="shared" si="19"/>
        <v>-6.3893534390792865</v>
      </c>
      <c r="AB21">
        <f t="shared" si="20"/>
        <v>0.32955113665978075</v>
      </c>
      <c r="AC21">
        <f t="shared" si="21"/>
        <v>0</v>
      </c>
      <c r="AD21">
        <f t="shared" si="22"/>
        <v>191.33301028453343</v>
      </c>
      <c r="AE21">
        <f t="shared" si="23"/>
        <v>56.078322197171246</v>
      </c>
      <c r="AF21">
        <f t="shared" si="24"/>
        <v>54.595315288359473</v>
      </c>
      <c r="AG21">
        <f t="shared" si="25"/>
        <v>55.33681874276536</v>
      </c>
    </row>
    <row r="22" spans="1:35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0.18584227706986439</v>
      </c>
      <c r="F22">
        <f>Align!G22</f>
        <v>0.38162352074308936</v>
      </c>
      <c r="G22">
        <v>0.69114285714285706</v>
      </c>
      <c r="H22">
        <f t="shared" si="0"/>
        <v>0.59591436688311683</v>
      </c>
      <c r="I22">
        <f t="shared" si="1"/>
        <v>1.0568528074004548</v>
      </c>
      <c r="J22">
        <f t="shared" si="2"/>
        <v>6.4362335970687701</v>
      </c>
      <c r="K22">
        <f t="shared" si="3"/>
        <v>-1.87757591521307E-2</v>
      </c>
      <c r="L22">
        <f t="shared" si="4"/>
        <v>6.8516234887382037</v>
      </c>
      <c r="M22">
        <f t="shared" si="5"/>
        <v>2.7359336092850102</v>
      </c>
      <c r="N22">
        <f t="shared" si="6"/>
        <v>6.4131195148786571</v>
      </c>
      <c r="O22">
        <f t="shared" si="7"/>
        <v>3.1230484207197962</v>
      </c>
      <c r="P22">
        <f t="shared" si="8"/>
        <v>264.71007131043876</v>
      </c>
      <c r="Q22">
        <f t="shared" si="9"/>
        <v>62.775363108994824</v>
      </c>
      <c r="R22">
        <f t="shared" si="10"/>
        <v>293.90609772491291</v>
      </c>
      <c r="S22">
        <f t="shared" si="11"/>
        <v>153.75735829968619</v>
      </c>
      <c r="T22">
        <f t="shared" si="12"/>
        <v>48.177349901757744</v>
      </c>
      <c r="U22">
        <f t="shared" si="13"/>
        <v>9.6023881022976294</v>
      </c>
      <c r="V22">
        <f t="shared" si="14"/>
        <v>284.85521478131125</v>
      </c>
      <c r="W22">
        <f t="shared" si="15"/>
        <v>148.12292844311156</v>
      </c>
      <c r="X22">
        <f t="shared" si="16"/>
        <v>48.440785073100123</v>
      </c>
      <c r="Y22">
        <f t="shared" si="17"/>
        <v>-1.9334850230255665</v>
      </c>
      <c r="Z22">
        <f t="shared" si="18"/>
        <v>-9.050882943601664</v>
      </c>
      <c r="AA22">
        <f t="shared" si="19"/>
        <v>-5.6344298565746271</v>
      </c>
      <c r="AB22">
        <f t="shared" si="20"/>
        <v>0.2634351713423797</v>
      </c>
      <c r="AC22">
        <f t="shared" si="21"/>
        <v>0</v>
      </c>
      <c r="AD22">
        <f t="shared" si="22"/>
        <v>193.70035722251146</v>
      </c>
      <c r="AE22">
        <f t="shared" si="23"/>
        <v>56.410928311500015</v>
      </c>
      <c r="AF22">
        <f t="shared" si="24"/>
        <v>54.833261330735567</v>
      </c>
      <c r="AG22">
        <f t="shared" si="25"/>
        <v>55.622094821117791</v>
      </c>
    </row>
    <row r="23" spans="1:35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0.18525167989688088</v>
      </c>
      <c r="F23">
        <f>Align!G23</f>
        <v>0.38069110863859346</v>
      </c>
      <c r="G23">
        <v>0.69042857142857139</v>
      </c>
      <c r="H23">
        <f t="shared" si="0"/>
        <v>0.5952984983766233</v>
      </c>
      <c r="I23">
        <f t="shared" si="1"/>
        <v>1.0601363162640909</v>
      </c>
      <c r="J23">
        <f t="shared" si="2"/>
        <v>6.4562301660483135</v>
      </c>
      <c r="K23">
        <f t="shared" si="3"/>
        <v>-1.9849717583639515E-2</v>
      </c>
      <c r="L23">
        <f t="shared" si="4"/>
        <v>6.8717917578672836</v>
      </c>
      <c r="M23">
        <f t="shared" si="5"/>
        <v>2.7298641601395173</v>
      </c>
      <c r="N23">
        <f t="shared" si="6"/>
        <v>6.4269160604426609</v>
      </c>
      <c r="O23">
        <f t="shared" si="7"/>
        <v>3.1274620545013354</v>
      </c>
      <c r="P23">
        <f t="shared" si="8"/>
        <v>266.67620137590995</v>
      </c>
      <c r="Q23">
        <f t="shared" si="9"/>
        <v>63.148509292013159</v>
      </c>
      <c r="R23">
        <f t="shared" si="10"/>
        <v>296.74752109896917</v>
      </c>
      <c r="S23">
        <f t="shared" si="11"/>
        <v>155.41484265341325</v>
      </c>
      <c r="T23">
        <f t="shared" si="12"/>
        <v>48.11284943048355</v>
      </c>
      <c r="U23">
        <f t="shared" si="13"/>
        <v>10.20696336525867</v>
      </c>
      <c r="V23">
        <f t="shared" si="14"/>
        <v>288.24616041055418</v>
      </c>
      <c r="W23">
        <f t="shared" si="15"/>
        <v>150.01688742081365</v>
      </c>
      <c r="X23">
        <f t="shared" si="16"/>
        <v>48.496372883946165</v>
      </c>
      <c r="Y23">
        <f t="shared" si="17"/>
        <v>-1.8454413925416819</v>
      </c>
      <c r="Z23">
        <f t="shared" si="18"/>
        <v>-8.5013606884149908</v>
      </c>
      <c r="AA23">
        <f t="shared" si="19"/>
        <v>-5.3979552325995996</v>
      </c>
      <c r="AB23">
        <f t="shared" si="20"/>
        <v>0.38352345346261529</v>
      </c>
      <c r="AC23">
        <f t="shared" si="21"/>
        <v>0</v>
      </c>
      <c r="AD23">
        <f t="shared" si="22"/>
        <v>196.09331175072717</v>
      </c>
      <c r="AE23">
        <f t="shared" si="23"/>
        <v>56.743678328315809</v>
      </c>
      <c r="AF23">
        <f t="shared" si="24"/>
        <v>55.067457786389241</v>
      </c>
      <c r="AG23">
        <f t="shared" si="25"/>
        <v>55.905568057352525</v>
      </c>
    </row>
    <row r="24" spans="1:35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0.18495311800280445</v>
      </c>
      <c r="F24">
        <f>Align!G24</f>
        <v>0.38022277732041276</v>
      </c>
      <c r="G24">
        <v>0.68971428571428572</v>
      </c>
      <c r="H24">
        <f t="shared" si="0"/>
        <v>0.59468262987012988</v>
      </c>
      <c r="I24">
        <f t="shared" si="1"/>
        <v>1.0634334411589481</v>
      </c>
      <c r="J24">
        <f t="shared" si="2"/>
        <v>6.4763096566579934</v>
      </c>
      <c r="K24">
        <f t="shared" si="3"/>
        <v>-2.0927014398884114E-2</v>
      </c>
      <c r="L24">
        <f t="shared" si="4"/>
        <v>6.88524102758665</v>
      </c>
      <c r="M24">
        <f t="shared" si="5"/>
        <v>2.7205858638129383</v>
      </c>
      <c r="N24">
        <f t="shared" si="6"/>
        <v>6.4306310300874481</v>
      </c>
      <c r="O24">
        <f t="shared" si="7"/>
        <v>3.1280747253549848</v>
      </c>
      <c r="P24">
        <f t="shared" si="8"/>
        <v>267.8149332591808</v>
      </c>
      <c r="Q24">
        <f t="shared" si="9"/>
        <v>63.369728176843154</v>
      </c>
      <c r="R24">
        <f t="shared" si="10"/>
        <v>298.68444515751446</v>
      </c>
      <c r="S24">
        <f t="shared" si="11"/>
        <v>156.51023285466135</v>
      </c>
      <c r="T24">
        <f t="shared" si="12"/>
        <v>47.934972227676305</v>
      </c>
      <c r="U24">
        <f t="shared" si="13"/>
        <v>10.819635319881268</v>
      </c>
      <c r="V24">
        <f t="shared" si="14"/>
        <v>291.67185572581531</v>
      </c>
      <c r="W24">
        <f t="shared" si="15"/>
        <v>151.93231003097586</v>
      </c>
      <c r="X24">
        <f t="shared" si="16"/>
        <v>48.547712062086774</v>
      </c>
      <c r="Y24">
        <f t="shared" si="17"/>
        <v>-1.4910352541576621</v>
      </c>
      <c r="Z24">
        <f t="shared" si="18"/>
        <v>-7.0125894316991548</v>
      </c>
      <c r="AA24">
        <f t="shared" si="19"/>
        <v>-4.5779228236854976</v>
      </c>
      <c r="AB24">
        <f t="shared" si="20"/>
        <v>0.61273983441046909</v>
      </c>
      <c r="AC24">
        <f t="shared" si="21"/>
        <v>0</v>
      </c>
      <c r="AD24">
        <f t="shared" si="22"/>
        <v>198.51215859592233</v>
      </c>
      <c r="AE24">
        <f t="shared" si="23"/>
        <v>57.076536376219948</v>
      </c>
      <c r="AF24">
        <f t="shared" si="24"/>
        <v>55.297769192455021</v>
      </c>
      <c r="AG24">
        <f t="shared" si="25"/>
        <v>56.187152784337485</v>
      </c>
    </row>
    <row r="25" spans="1:35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0.18475088415451557</v>
      </c>
      <c r="F25">
        <f>Align!G25</f>
        <v>0.37990972573080195</v>
      </c>
      <c r="G25">
        <v>0.68899999999999995</v>
      </c>
      <c r="H25">
        <f t="shared" si="0"/>
        <v>0.59406676136363634</v>
      </c>
      <c r="I25">
        <f t="shared" si="1"/>
        <v>1.0667442527368352</v>
      </c>
      <c r="J25">
        <f t="shared" si="2"/>
        <v>6.4964724991673259</v>
      </c>
      <c r="K25">
        <f t="shared" si="3"/>
        <v>-2.2007663448636028E-2</v>
      </c>
      <c r="L25">
        <f t="shared" si="4"/>
        <v>6.8987710956513242</v>
      </c>
      <c r="M25">
        <f t="shared" si="5"/>
        <v>2.718840805524612</v>
      </c>
      <c r="N25">
        <f t="shared" si="6"/>
        <v>6.4310031757876871</v>
      </c>
      <c r="O25">
        <f t="shared" si="7"/>
        <v>3.1274101247125361</v>
      </c>
      <c r="P25">
        <f t="shared" si="8"/>
        <v>268.67982232499071</v>
      </c>
      <c r="Q25">
        <f t="shared" si="9"/>
        <v>63.540010166464022</v>
      </c>
      <c r="R25">
        <f t="shared" si="10"/>
        <v>299.71475466753816</v>
      </c>
      <c r="S25">
        <f t="shared" si="11"/>
        <v>157.1172681633364</v>
      </c>
      <c r="T25">
        <f t="shared" si="12"/>
        <v>48.022543995190276</v>
      </c>
      <c r="U25">
        <f t="shared" si="13"/>
        <v>11.44050167804917</v>
      </c>
      <c r="V25">
        <f t="shared" si="14"/>
        <v>295.1326641743492</v>
      </c>
      <c r="W25">
        <f t="shared" si="15"/>
        <v>153.8694467043756</v>
      </c>
      <c r="X25">
        <f t="shared" si="16"/>
        <v>48.59470371349498</v>
      </c>
      <c r="Y25">
        <f t="shared" si="17"/>
        <v>-1.0423461068154793</v>
      </c>
      <c r="Z25">
        <f t="shared" si="18"/>
        <v>-4.5820904931889572</v>
      </c>
      <c r="AA25">
        <f t="shared" si="19"/>
        <v>-3.2478214589608001</v>
      </c>
      <c r="AB25">
        <f t="shared" si="20"/>
        <v>0.5721597183047038</v>
      </c>
      <c r="AC25">
        <f t="shared" si="21"/>
        <v>0</v>
      </c>
      <c r="AD25">
        <f t="shared" si="22"/>
        <v>200.95718586103348</v>
      </c>
      <c r="AE25">
        <f t="shared" si="23"/>
        <v>57.409465722091703</v>
      </c>
      <c r="AF25">
        <f t="shared" si="24"/>
        <v>55.524056645530955</v>
      </c>
      <c r="AG25">
        <f t="shared" si="25"/>
        <v>56.466761183811329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A6A35-3299-4490-BCF7-79E19B7C2984}">
  <dimension ref="A3:AT25"/>
  <sheetViews>
    <sheetView workbookViewId="0"/>
  </sheetViews>
  <sheetFormatPr defaultRowHeight="15" x14ac:dyDescent="0.25"/>
  <sheetData>
    <row r="3" spans="1:46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  <c r="O3" t="s">
        <v>93</v>
      </c>
      <c r="P3" t="s">
        <v>41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94</v>
      </c>
      <c r="Z3" t="s">
        <v>95</v>
      </c>
      <c r="AA3" t="s">
        <v>96</v>
      </c>
      <c r="AB3" t="s">
        <v>54</v>
      </c>
      <c r="AC3" t="s">
        <v>55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65</v>
      </c>
      <c r="AN3" t="s">
        <v>66</v>
      </c>
      <c r="AP3" t="s">
        <v>67</v>
      </c>
      <c r="AS3" t="s">
        <v>80</v>
      </c>
    </row>
    <row r="4" spans="1:46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0.20291614843494321</v>
      </c>
      <c r="F4">
        <f>Align!G4</f>
        <v>0.41955125799861193</v>
      </c>
      <c r="G4">
        <f t="shared" ref="G4:G25" si="0">2*Lfin_100/C4</f>
        <v>6.1431082084309132</v>
      </c>
      <c r="H4">
        <f t="shared" ref="H4:H25" si="1">2*Lfin_100/D4</f>
        <v>2.7557757329741848</v>
      </c>
      <c r="I4">
        <f t="shared" ref="I4:I25" si="2">2*Lfin_111/E4</f>
        <v>5.9827668195132313</v>
      </c>
      <c r="J4">
        <f t="shared" ref="J4:J25" si="3">2*Lfin_111/F4</f>
        <v>2.8935677747485538</v>
      </c>
      <c r="K4">
        <f t="shared" ref="K4:K25" si="4">I4^2-(4/3)*H4^2</f>
        <v>25.667765629402595</v>
      </c>
      <c r="L4">
        <f t="shared" ref="L4:L25" si="5">4*Lfin_100^2/K4</f>
        <v>7.7235550169161366E-2</v>
      </c>
      <c r="M4">
        <v>0</v>
      </c>
      <c r="N4">
        <v>0</v>
      </c>
      <c r="O4">
        <f t="shared" ref="O4:O25" si="6">Lfin_100/(1+N4*scal_100)</f>
        <v>0.70399999999999996</v>
      </c>
      <c r="P4">
        <f t="shared" ref="P4:P25" si="7">O4*Lfin_111/Lfin_100</f>
        <v>0.60699999999999998</v>
      </c>
      <c r="Q4">
        <f t="shared" ref="Q4:Q25" si="8">rho_100*(Lfin_100/O4)^3</f>
        <v>6.09</v>
      </c>
      <c r="R4">
        <f t="shared" ref="R4:R25" si="9">0.5*(1-(Lfin_100/O4)^2)</f>
        <v>0</v>
      </c>
      <c r="S4">
        <f t="shared" ref="S4:S25" si="10">2*O4/C4</f>
        <v>6.1431082084309132</v>
      </c>
      <c r="T4">
        <f t="shared" ref="T4:T25" si="11">2*O4/D4</f>
        <v>2.7557757329741848</v>
      </c>
      <c r="U4">
        <f t="shared" ref="U4:U25" si="12">2*P4/E4</f>
        <v>5.9827668195132313</v>
      </c>
      <c r="V4">
        <f t="shared" ref="V4:V25" si="13">2*P4/F4</f>
        <v>2.8935677747485538</v>
      </c>
      <c r="W4">
        <f t="shared" ref="W4:W25" si="14">Q4*U4^2</f>
        <v>217.98240779351096</v>
      </c>
      <c r="X4">
        <f t="shared" ref="X4:X25" si="15">Q4*V4^2</f>
        <v>50.989952904415482</v>
      </c>
      <c r="Y4">
        <f t="shared" ref="Y4:Y25" si="16">Q4*S4^2</f>
        <v>229.82307082439178</v>
      </c>
      <c r="Z4">
        <f t="shared" ref="Z4:Z25" si="17">1.5*W4-0.5*Y4-2*AA4</f>
        <v>119.56350361239683</v>
      </c>
      <c r="AA4">
        <f t="shared" ref="AA4:AA25" si="18">Q4*T4^2</f>
        <v>46.249286332836874</v>
      </c>
      <c r="AB4">
        <f t="shared" ref="AB4:AB25" si="19">-3*$AP$11*((1-2*R4)^2.5)*(1+1.5*(4-$AP$12)*R4)*R4</f>
        <v>0</v>
      </c>
      <c r="AC4">
        <f t="shared" ref="AC4:AC25" si="20">((1-2*R4)^3.5)*($AP$4-$AP$14*R4)+3*AB4</f>
        <v>240.76226088746844</v>
      </c>
      <c r="AD4">
        <f t="shared" ref="AD4:AD25" si="21">((1-2*R4)^3.5)*($AP$5-$AP$15*R4)+1*AB4</f>
        <v>112.00951120366543</v>
      </c>
      <c r="AE4">
        <f t="shared" ref="AE4:AE25" si="22">((1-2*R4)^3.5)*($AP$6-$AP$16*R4)+1*AB4</f>
        <v>46.790334430217442</v>
      </c>
      <c r="AF4">
        <f t="shared" ref="AF4:AF25" si="23">AB4-B4</f>
        <v>0</v>
      </c>
      <c r="AG4">
        <f t="shared" ref="AG4:AG25" si="24">AC4-Y4</f>
        <v>10.939190063076666</v>
      </c>
      <c r="AH4">
        <f t="shared" ref="AH4:AH25" si="25">AD4-Z4</f>
        <v>-7.5539924087314034</v>
      </c>
      <c r="AI4">
        <f t="shared" ref="AI4:AI25" si="26">AE4-AA4</f>
        <v>0.54104809738056758</v>
      </c>
      <c r="AJ4">
        <f t="shared" ref="AJ4:AJ25" si="27">IF(AND(A4&gt;=CutoffLowBar,A4&lt;=CutoffOilBar),AF4^2+AG4^2+AH4^2+AI4^2,0)</f>
        <v>0</v>
      </c>
      <c r="AK4">
        <f t="shared" ref="AK4:AK25" si="28">(AC4+2*AD4)/3</f>
        <v>154.92709443159978</v>
      </c>
      <c r="AL4">
        <f t="shared" ref="AL4:AL25" si="29">(AC4-AD4+3*AE4)/5</f>
        <v>53.824750594891064</v>
      </c>
      <c r="AM4">
        <f t="shared" ref="AM4:AM25" si="30">5*(AC4-AD4)*AE4/(3*(AC4-AD4)+4*AE4)</f>
        <v>52.530331675849006</v>
      </c>
      <c r="AN4">
        <f t="shared" ref="AN4:AN25" si="31">(AL4+AM4)/2</f>
        <v>53.177541135370035</v>
      </c>
      <c r="AO4" t="s">
        <v>68</v>
      </c>
      <c r="AP4">
        <v>240.76226088746844</v>
      </c>
      <c r="AS4" t="s">
        <v>68</v>
      </c>
      <c r="AT4">
        <f>$AP$4</f>
        <v>240.76226088746844</v>
      </c>
    </row>
    <row r="5" spans="1:46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0.20282185216281789</v>
      </c>
      <c r="F5">
        <f>Align!G5</f>
        <v>0.41875595960981177</v>
      </c>
      <c r="G5">
        <f t="shared" si="0"/>
        <v>6.2648579009706697</v>
      </c>
      <c r="H5">
        <f t="shared" si="1"/>
        <v>2.7758410930082182</v>
      </c>
      <c r="I5">
        <f t="shared" si="2"/>
        <v>5.985548337392391</v>
      </c>
      <c r="J5">
        <f t="shared" si="3"/>
        <v>2.8990632184224441</v>
      </c>
      <c r="K5">
        <f t="shared" si="4"/>
        <v>25.553063867750073</v>
      </c>
      <c r="L5">
        <f t="shared" si="5"/>
        <v>7.7582242593696227E-2</v>
      </c>
      <c r="M5">
        <f t="shared" ref="M5:M25" si="32">0.5*(B5-B4)*(L5+L4)</f>
        <v>9.99603590403755E-3</v>
      </c>
      <c r="N5">
        <f t="shared" ref="N5:N25" si="33">N4+M5</f>
        <v>9.99603590403755E-3</v>
      </c>
      <c r="O5">
        <f t="shared" si="6"/>
        <v>0.7038024647603065</v>
      </c>
      <c r="P5">
        <f t="shared" si="7"/>
        <v>0.60682968197373022</v>
      </c>
      <c r="Q5">
        <f t="shared" si="8"/>
        <v>6.0951292543417823</v>
      </c>
      <c r="R5">
        <f t="shared" si="9"/>
        <v>-2.8070796928592046E-4</v>
      </c>
      <c r="S5">
        <f t="shared" si="10"/>
        <v>6.2631000455628376</v>
      </c>
      <c r="T5">
        <f t="shared" si="11"/>
        <v>2.7750622202302946</v>
      </c>
      <c r="U5">
        <f t="shared" si="12"/>
        <v>5.9838688534072721</v>
      </c>
      <c r="V5">
        <f t="shared" si="13"/>
        <v>2.8982497707694082</v>
      </c>
      <c r="W5">
        <f t="shared" si="14"/>
        <v>218.24638211155897</v>
      </c>
      <c r="X5">
        <f t="shared" si="15"/>
        <v>51.198182034604145</v>
      </c>
      <c r="Y5">
        <f t="shared" si="16"/>
        <v>239.09011337692402</v>
      </c>
      <c r="Z5">
        <f t="shared" si="17"/>
        <v>113.94769743541293</v>
      </c>
      <c r="AA5">
        <f t="shared" si="18"/>
        <v>46.938409521731749</v>
      </c>
      <c r="AB5">
        <f t="shared" si="19"/>
        <v>0.13065562261629748</v>
      </c>
      <c r="AC5">
        <f t="shared" si="20"/>
        <v>241.46648414068093</v>
      </c>
      <c r="AD5">
        <f t="shared" si="21"/>
        <v>112.45745893337593</v>
      </c>
      <c r="AE5">
        <f t="shared" si="22"/>
        <v>46.823598894441858</v>
      </c>
      <c r="AF5">
        <f t="shared" si="23"/>
        <v>1.522714497022154E-3</v>
      </c>
      <c r="AG5">
        <f t="shared" si="24"/>
        <v>2.3763707637569098</v>
      </c>
      <c r="AH5">
        <f t="shared" si="25"/>
        <v>-1.4902385020370019</v>
      </c>
      <c r="AI5">
        <f t="shared" si="26"/>
        <v>-0.11481062728989144</v>
      </c>
      <c r="AJ5">
        <f t="shared" si="27"/>
        <v>0</v>
      </c>
      <c r="AK5">
        <f t="shared" si="28"/>
        <v>155.46046733581093</v>
      </c>
      <c r="AL5">
        <f t="shared" si="29"/>
        <v>53.895964378126109</v>
      </c>
      <c r="AM5">
        <f t="shared" si="30"/>
        <v>52.589596184273113</v>
      </c>
      <c r="AN5">
        <f t="shared" si="31"/>
        <v>53.242780281199614</v>
      </c>
      <c r="AO5" t="s">
        <v>69</v>
      </c>
      <c r="AP5">
        <v>112.00951120366543</v>
      </c>
      <c r="AS5" t="s">
        <v>69</v>
      </c>
      <c r="AT5">
        <f>$AP$5</f>
        <v>112.00951120366543</v>
      </c>
    </row>
    <row r="6" spans="1:46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0.20068313946370661</v>
      </c>
      <c r="F6">
        <f>Align!G6</f>
        <v>0.41032240249009772</v>
      </c>
      <c r="G6">
        <f t="shared" si="0"/>
        <v>6.3726059035918201</v>
      </c>
      <c r="H6">
        <f t="shared" si="1"/>
        <v>2.7835238115389078</v>
      </c>
      <c r="I6">
        <f t="shared" si="2"/>
        <v>6.0493372948231707</v>
      </c>
      <c r="J6">
        <f t="shared" si="3"/>
        <v>2.9586490833370895</v>
      </c>
      <c r="K6">
        <f t="shared" si="4"/>
        <v>26.263808627333063</v>
      </c>
      <c r="L6">
        <f t="shared" si="5"/>
        <v>7.5482730937082201E-2</v>
      </c>
      <c r="M6">
        <f t="shared" si="32"/>
        <v>0.11530006345218234</v>
      </c>
      <c r="N6">
        <f t="shared" si="33"/>
        <v>0.12529609935621988</v>
      </c>
      <c r="O6">
        <f t="shared" si="6"/>
        <v>0.70153196673344875</v>
      </c>
      <c r="P6">
        <f t="shared" si="7"/>
        <v>0.60487202245341387</v>
      </c>
      <c r="Q6">
        <f t="shared" si="8"/>
        <v>6.1545013895200187</v>
      </c>
      <c r="R6">
        <f t="shared" si="9"/>
        <v>-3.5242508272832485E-3</v>
      </c>
      <c r="S6">
        <f t="shared" si="10"/>
        <v>6.3502652738124379</v>
      </c>
      <c r="T6">
        <f t="shared" si="11"/>
        <v>2.7737655311907328</v>
      </c>
      <c r="U6">
        <f t="shared" si="12"/>
        <v>6.02812995720355</v>
      </c>
      <c r="V6">
        <f t="shared" si="13"/>
        <v>2.9482768612323631</v>
      </c>
      <c r="W6">
        <f t="shared" si="14"/>
        <v>223.64443037412954</v>
      </c>
      <c r="X6">
        <f t="shared" si="15"/>
        <v>53.496996762643313</v>
      </c>
      <c r="Y6">
        <f t="shared" si="16"/>
        <v>248.18561708821454</v>
      </c>
      <c r="Z6">
        <f t="shared" si="17"/>
        <v>116.67113642791122</v>
      </c>
      <c r="AA6">
        <f t="shared" si="18"/>
        <v>47.351350294587903</v>
      </c>
      <c r="AB6">
        <f t="shared" si="19"/>
        <v>1.6677621554995732</v>
      </c>
      <c r="AC6">
        <f t="shared" si="20"/>
        <v>249.68794271414174</v>
      </c>
      <c r="AD6">
        <f t="shared" si="21"/>
        <v>117.71119740774981</v>
      </c>
      <c r="AE6">
        <f t="shared" si="22"/>
        <v>47.19036241785021</v>
      </c>
      <c r="AF6">
        <f t="shared" si="23"/>
        <v>3.2078652655271211E-2</v>
      </c>
      <c r="AG6">
        <f t="shared" si="24"/>
        <v>1.5023256259271989</v>
      </c>
      <c r="AH6">
        <f t="shared" si="25"/>
        <v>1.0400609798385858</v>
      </c>
      <c r="AI6">
        <f t="shared" si="26"/>
        <v>-0.16098787673769266</v>
      </c>
      <c r="AJ6">
        <f t="shared" si="27"/>
        <v>0</v>
      </c>
      <c r="AK6">
        <f t="shared" si="28"/>
        <v>161.70344584321379</v>
      </c>
      <c r="AL6">
        <f t="shared" si="29"/>
        <v>54.709566511988513</v>
      </c>
      <c r="AM6">
        <f t="shared" si="30"/>
        <v>53.259098728642179</v>
      </c>
      <c r="AN6">
        <f t="shared" si="31"/>
        <v>53.984332620315342</v>
      </c>
      <c r="AO6" t="s">
        <v>70</v>
      </c>
      <c r="AP6">
        <v>46.790334430217442</v>
      </c>
      <c r="AS6" t="s">
        <v>70</v>
      </c>
      <c r="AT6">
        <f>$AP$6</f>
        <v>46.790334430217442</v>
      </c>
    </row>
    <row r="7" spans="1:46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0.19907985057124322</v>
      </c>
      <c r="F7">
        <f>Align!G7</f>
        <v>0.40614708298662372</v>
      </c>
      <c r="G7">
        <f t="shared" si="0"/>
        <v>6.4366973655154416</v>
      </c>
      <c r="H7">
        <f t="shared" si="1"/>
        <v>2.7835238115389078</v>
      </c>
      <c r="I7">
        <f t="shared" si="2"/>
        <v>6.098055611939265</v>
      </c>
      <c r="J7">
        <f t="shared" si="3"/>
        <v>2.9890649246395857</v>
      </c>
      <c r="K7">
        <f t="shared" si="4"/>
        <v>26.855609167098514</v>
      </c>
      <c r="L7">
        <f t="shared" si="5"/>
        <v>7.3819364426436718E-2</v>
      </c>
      <c r="M7">
        <f t="shared" si="32"/>
        <v>6.4266045875315481E-2</v>
      </c>
      <c r="N7">
        <f t="shared" si="33"/>
        <v>0.18956214523153536</v>
      </c>
      <c r="O7">
        <f t="shared" si="6"/>
        <v>0.70027278149104633</v>
      </c>
      <c r="P7">
        <f t="shared" si="7"/>
        <v>0.60378633290492201</v>
      </c>
      <c r="Q7">
        <f t="shared" si="8"/>
        <v>6.1877610026920769</v>
      </c>
      <c r="R7">
        <f t="shared" si="9"/>
        <v>-5.3366883766475803E-3</v>
      </c>
      <c r="S7">
        <f t="shared" si="10"/>
        <v>6.4026192723943023</v>
      </c>
      <c r="T7">
        <f t="shared" si="11"/>
        <v>2.7687868776319746</v>
      </c>
      <c r="U7">
        <f t="shared" si="12"/>
        <v>6.0657704049144794</v>
      </c>
      <c r="V7">
        <f t="shared" si="13"/>
        <v>2.9732397852765446</v>
      </c>
      <c r="W7">
        <f t="shared" si="14"/>
        <v>227.66982134026034</v>
      </c>
      <c r="X7">
        <f t="shared" si="15"/>
        <v>54.700765257605347</v>
      </c>
      <c r="Y7">
        <f t="shared" si="16"/>
        <v>253.65818824612981</v>
      </c>
      <c r="Z7">
        <f t="shared" si="17"/>
        <v>119.80264902456643</v>
      </c>
      <c r="AA7">
        <f t="shared" si="18"/>
        <v>47.436494431379579</v>
      </c>
      <c r="AB7">
        <f t="shared" si="19"/>
        <v>2.5488208628774811</v>
      </c>
      <c r="AC7">
        <f t="shared" si="20"/>
        <v>254.34976592666632</v>
      </c>
      <c r="AD7">
        <f t="shared" si="21"/>
        <v>120.70981627375288</v>
      </c>
      <c r="AE7">
        <f t="shared" si="22"/>
        <v>47.380836544549268</v>
      </c>
      <c r="AF7">
        <f t="shared" si="23"/>
        <v>5.2251305904584378E-2</v>
      </c>
      <c r="AG7">
        <f t="shared" si="24"/>
        <v>0.69157768053651125</v>
      </c>
      <c r="AH7">
        <f t="shared" si="25"/>
        <v>0.90716724918644331</v>
      </c>
      <c r="AI7">
        <f t="shared" si="26"/>
        <v>-5.5657886830310588E-2</v>
      </c>
      <c r="AJ7">
        <f t="shared" si="27"/>
        <v>0</v>
      </c>
      <c r="AK7">
        <f t="shared" si="28"/>
        <v>165.25646615805735</v>
      </c>
      <c r="AL7">
        <f t="shared" si="29"/>
        <v>55.156491857312254</v>
      </c>
      <c r="AM7">
        <f t="shared" si="30"/>
        <v>53.620506277982891</v>
      </c>
      <c r="AN7">
        <f t="shared" si="31"/>
        <v>54.388499067647572</v>
      </c>
      <c r="AO7" t="s">
        <v>71</v>
      </c>
      <c r="AP7">
        <v>5.3932383911069595</v>
      </c>
      <c r="AS7" t="s">
        <v>71</v>
      </c>
      <c r="AT7">
        <f>$AP$7</f>
        <v>5.3932383911069595</v>
      </c>
    </row>
    <row r="8" spans="1:46" x14ac:dyDescent="0.25">
      <c r="A8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0.19731088611066464</v>
      </c>
      <c r="F8">
        <f>Align!G8</f>
        <v>0.40204930534036237</v>
      </c>
      <c r="G8">
        <f t="shared" si="0"/>
        <v>6.5020911040778779</v>
      </c>
      <c r="H8">
        <f t="shared" si="1"/>
        <v>2.7868294391394235</v>
      </c>
      <c r="I8">
        <f t="shared" si="2"/>
        <v>6.1527269170496286</v>
      </c>
      <c r="J8">
        <f t="shared" si="3"/>
        <v>3.0195301518361424</v>
      </c>
      <c r="K8">
        <f t="shared" si="4"/>
        <v>27.500824085314825</v>
      </c>
      <c r="L8">
        <f t="shared" si="5"/>
        <v>7.2087439774527209E-2</v>
      </c>
      <c r="M8">
        <f t="shared" si="32"/>
        <v>6.9085023116494684E-2</v>
      </c>
      <c r="N8">
        <f t="shared" si="33"/>
        <v>0.25864716834803003</v>
      </c>
      <c r="O8">
        <f t="shared" si="6"/>
        <v>0.69892420814921685</v>
      </c>
      <c r="P8">
        <f t="shared" si="7"/>
        <v>0.60262357151502077</v>
      </c>
      <c r="Q8">
        <f t="shared" si="8"/>
        <v>6.2236479877855526</v>
      </c>
      <c r="R8">
        <f t="shared" si="9"/>
        <v>-7.2886626808205124E-3</v>
      </c>
      <c r="S8">
        <f t="shared" si="10"/>
        <v>6.455211471920026</v>
      </c>
      <c r="T8">
        <f t="shared" si="11"/>
        <v>2.7667365894850109</v>
      </c>
      <c r="U8">
        <f t="shared" si="12"/>
        <v>6.108366176785915</v>
      </c>
      <c r="V8">
        <f t="shared" si="13"/>
        <v>2.9977595459584663</v>
      </c>
      <c r="W8">
        <f t="shared" si="14"/>
        <v>232.2176085364521</v>
      </c>
      <c r="X8">
        <f t="shared" si="15"/>
        <v>55.929200346783055</v>
      </c>
      <c r="Y8">
        <f t="shared" si="16"/>
        <v>259.33788777343716</v>
      </c>
      <c r="Z8">
        <f t="shared" si="17"/>
        <v>123.37551739178458</v>
      </c>
      <c r="AA8">
        <f t="shared" si="18"/>
        <v>47.640975763087503</v>
      </c>
      <c r="AB8">
        <f t="shared" si="19"/>
        <v>3.515667620511103</v>
      </c>
      <c r="AC8">
        <f t="shared" si="20"/>
        <v>259.42515072655925</v>
      </c>
      <c r="AD8">
        <f t="shared" si="21"/>
        <v>123.99035908089847</v>
      </c>
      <c r="AE8">
        <f t="shared" si="22"/>
        <v>47.573995634986801</v>
      </c>
      <c r="AF8">
        <f t="shared" si="23"/>
        <v>7.2123403996752433E-2</v>
      </c>
      <c r="AG8">
        <f t="shared" si="24"/>
        <v>8.7262953122092313E-2</v>
      </c>
      <c r="AH8">
        <f t="shared" si="25"/>
        <v>0.61484168911388792</v>
      </c>
      <c r="AI8">
        <f t="shared" si="26"/>
        <v>-6.698012810070253E-2</v>
      </c>
      <c r="AJ8">
        <f t="shared" si="27"/>
        <v>0.39533324862447261</v>
      </c>
      <c r="AK8">
        <f t="shared" si="28"/>
        <v>169.13528962945205</v>
      </c>
      <c r="AL8">
        <f t="shared" si="29"/>
        <v>55.63135571012424</v>
      </c>
      <c r="AM8">
        <f t="shared" si="30"/>
        <v>53.999080840520357</v>
      </c>
      <c r="AN8">
        <f t="shared" si="31"/>
        <v>54.815218275322295</v>
      </c>
      <c r="AO8" t="s">
        <v>72</v>
      </c>
      <c r="AP8">
        <v>3.4293131141108861</v>
      </c>
      <c r="AS8" t="s">
        <v>72</v>
      </c>
      <c r="AT8">
        <f>$AP$8</f>
        <v>3.4293131141108861</v>
      </c>
    </row>
    <row r="9" spans="1:46" x14ac:dyDescent="0.25">
      <c r="A9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0.19557221353453599</v>
      </c>
      <c r="F9">
        <f>Align!G9</f>
        <v>0.3982834977610536</v>
      </c>
      <c r="G9">
        <f t="shared" si="0"/>
        <v>6.5565916733293026</v>
      </c>
      <c r="H9">
        <f t="shared" si="1"/>
        <v>2.7868294391394235</v>
      </c>
      <c r="I9">
        <f t="shared" si="2"/>
        <v>6.2074257792537608</v>
      </c>
      <c r="J9">
        <f t="shared" si="3"/>
        <v>3.0480800907506538</v>
      </c>
      <c r="K9">
        <f t="shared" si="4"/>
        <v>28.176910374471952</v>
      </c>
      <c r="L9">
        <f t="shared" si="5"/>
        <v>7.0357749435725772E-2</v>
      </c>
      <c r="M9">
        <f t="shared" si="32"/>
        <v>7.0511719199572054E-2</v>
      </c>
      <c r="N9">
        <f t="shared" si="33"/>
        <v>0.32915888754760209</v>
      </c>
      <c r="O9">
        <f t="shared" si="6"/>
        <v>0.69755313062154523</v>
      </c>
      <c r="P9">
        <f t="shared" si="7"/>
        <v>0.60144140665806523</v>
      </c>
      <c r="Q9">
        <f t="shared" si="8"/>
        <v>6.2604188950165884</v>
      </c>
      <c r="R9">
        <f t="shared" si="9"/>
        <v>-9.2848278685596641E-3</v>
      </c>
      <c r="S9">
        <f t="shared" si="10"/>
        <v>6.4965497840028563</v>
      </c>
      <c r="T9">
        <f t="shared" si="11"/>
        <v>2.7613090905965767</v>
      </c>
      <c r="U9">
        <f t="shared" si="12"/>
        <v>6.1505813713342974</v>
      </c>
      <c r="V9">
        <f t="shared" si="13"/>
        <v>3.0201673433072753</v>
      </c>
      <c r="W9">
        <f t="shared" si="14"/>
        <v>236.82946319820132</v>
      </c>
      <c r="X9">
        <f t="shared" si="15"/>
        <v>57.103852406209747</v>
      </c>
      <c r="Y9">
        <f t="shared" si="16"/>
        <v>264.22197547195213</v>
      </c>
      <c r="Z9">
        <f t="shared" si="17"/>
        <v>127.6639738259944</v>
      </c>
      <c r="AA9">
        <f t="shared" si="18"/>
        <v>47.734616617665758</v>
      </c>
      <c r="AB9">
        <f t="shared" si="19"/>
        <v>4.5238357550019845</v>
      </c>
      <c r="AC9">
        <f t="shared" si="20"/>
        <v>264.67430361274734</v>
      </c>
      <c r="AD9">
        <f t="shared" si="21"/>
        <v>127.40048411305601</v>
      </c>
      <c r="AE9">
        <f t="shared" si="22"/>
        <v>47.75834135038285</v>
      </c>
      <c r="AF9">
        <f t="shared" si="23"/>
        <v>9.027257623970808E-2</v>
      </c>
      <c r="AG9">
        <f t="shared" si="24"/>
        <v>0.45232814079520267</v>
      </c>
      <c r="AH9">
        <f t="shared" si="25"/>
        <v>-0.2634897129383944</v>
      </c>
      <c r="AI9">
        <f t="shared" si="26"/>
        <v>2.3724732717091968E-2</v>
      </c>
      <c r="AJ9">
        <f t="shared" si="27"/>
        <v>0.28273957674305356</v>
      </c>
      <c r="AK9">
        <f t="shared" si="28"/>
        <v>173.15842394628646</v>
      </c>
      <c r="AL9">
        <f t="shared" si="29"/>
        <v>56.109768710167977</v>
      </c>
      <c r="AM9">
        <f t="shared" si="30"/>
        <v>54.374367345346194</v>
      </c>
      <c r="AN9">
        <f t="shared" si="31"/>
        <v>55.242068027757085</v>
      </c>
      <c r="AO9" t="s">
        <v>73</v>
      </c>
      <c r="AP9">
        <v>0.25587766555467051</v>
      </c>
      <c r="AS9" t="s">
        <v>73</v>
      </c>
      <c r="AT9">
        <f>$AP$9</f>
        <v>0.25587766555467051</v>
      </c>
    </row>
    <row r="10" spans="1:46" x14ac:dyDescent="0.25">
      <c r="A10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0.19444588691824252</v>
      </c>
      <c r="F10">
        <f>Align!G10</f>
        <v>0.39595434052709966</v>
      </c>
      <c r="G10">
        <f t="shared" si="0"/>
        <v>6.5996168080274185</v>
      </c>
      <c r="H10">
        <f t="shared" si="1"/>
        <v>2.7868294391394235</v>
      </c>
      <c r="I10">
        <f t="shared" si="2"/>
        <v>6.2433822552926674</v>
      </c>
      <c r="J10">
        <f t="shared" si="3"/>
        <v>3.0660100818288973</v>
      </c>
      <c r="K10">
        <f t="shared" si="4"/>
        <v>28.624597555231148</v>
      </c>
      <c r="L10">
        <f t="shared" si="5"/>
        <v>6.9257357982931866E-2</v>
      </c>
      <c r="M10">
        <f t="shared" si="32"/>
        <v>4.8077079568953227E-2</v>
      </c>
      <c r="N10">
        <f t="shared" si="33"/>
        <v>0.37723596711655533</v>
      </c>
      <c r="O10">
        <f t="shared" si="6"/>
        <v>0.69662136754572157</v>
      </c>
      <c r="P10">
        <f t="shared" si="7"/>
        <v>0.60063802571058666</v>
      </c>
      <c r="Q10">
        <f t="shared" si="8"/>
        <v>6.2855733036762444</v>
      </c>
      <c r="R10">
        <f t="shared" si="9"/>
        <v>-1.0648122692732187E-2</v>
      </c>
      <c r="S10">
        <f t="shared" si="10"/>
        <v>6.5304461450082254</v>
      </c>
      <c r="T10">
        <f t="shared" si="11"/>
        <v>2.7576206463209965</v>
      </c>
      <c r="U10">
        <f t="shared" si="12"/>
        <v>6.1779452908986787</v>
      </c>
      <c r="V10">
        <f t="shared" si="13"/>
        <v>3.0338751933417849</v>
      </c>
      <c r="W10">
        <f t="shared" si="14"/>
        <v>239.90152667497165</v>
      </c>
      <c r="X10">
        <f t="shared" si="15"/>
        <v>57.854922674554587</v>
      </c>
      <c r="Y10">
        <f t="shared" si="16"/>
        <v>268.05912779546435</v>
      </c>
      <c r="Z10">
        <f t="shared" si="17"/>
        <v>130.2257983949147</v>
      </c>
      <c r="AA10">
        <f t="shared" si="18"/>
        <v>47.798463859905304</v>
      </c>
      <c r="AB10">
        <f t="shared" si="19"/>
        <v>5.2237572815959092</v>
      </c>
      <c r="AC10">
        <f t="shared" si="20"/>
        <v>268.2935884624481</v>
      </c>
      <c r="AD10">
        <f t="shared" si="21"/>
        <v>129.76188981330168</v>
      </c>
      <c r="AE10">
        <f t="shared" si="22"/>
        <v>47.876395837160921</v>
      </c>
      <c r="AF10">
        <f t="shared" si="23"/>
        <v>0.10148525953078558</v>
      </c>
      <c r="AG10">
        <f t="shared" si="24"/>
        <v>0.23446066698375034</v>
      </c>
      <c r="AH10">
        <f t="shared" si="25"/>
        <v>-0.46390858161302617</v>
      </c>
      <c r="AI10">
        <f t="shared" si="26"/>
        <v>7.7931977255616403E-2</v>
      </c>
      <c r="AJ10">
        <f t="shared" si="27"/>
        <v>0.28655562743767565</v>
      </c>
      <c r="AK10">
        <f t="shared" si="28"/>
        <v>175.93912269635049</v>
      </c>
      <c r="AL10">
        <f t="shared" si="29"/>
        <v>56.432177232125831</v>
      </c>
      <c r="AM10">
        <f t="shared" si="30"/>
        <v>54.623546527825617</v>
      </c>
      <c r="AN10">
        <f t="shared" si="31"/>
        <v>55.527861879975724</v>
      </c>
      <c r="AS10" t="s">
        <v>74</v>
      </c>
      <c r="AT10">
        <f>$AP$11</f>
        <v>154.92709443159978</v>
      </c>
    </row>
    <row r="11" spans="1:46" x14ac:dyDescent="0.25">
      <c r="A11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0.19344570800055366</v>
      </c>
      <c r="F11">
        <f>Align!G11</f>
        <v>0.39397038293851272</v>
      </c>
      <c r="G11">
        <f t="shared" si="0"/>
        <v>6.6494850504177183</v>
      </c>
      <c r="H11">
        <f t="shared" si="1"/>
        <v>2.7923563004623602</v>
      </c>
      <c r="I11">
        <f t="shared" si="2"/>
        <v>6.2756626267279367</v>
      </c>
      <c r="J11">
        <f t="shared" si="3"/>
        <v>3.0814499073385169</v>
      </c>
      <c r="K11">
        <f t="shared" si="4"/>
        <v>28.987603126200668</v>
      </c>
      <c r="L11">
        <f t="shared" si="5"/>
        <v>6.8390062861324832E-2</v>
      </c>
      <c r="M11">
        <f t="shared" si="32"/>
        <v>4.4437029371847299E-2</v>
      </c>
      <c r="N11">
        <f t="shared" si="33"/>
        <v>0.42167299648840262</v>
      </c>
      <c r="O11">
        <f t="shared" si="6"/>
        <v>0.69576236178748108</v>
      </c>
      <c r="P11">
        <f t="shared" si="7"/>
        <v>0.59989737727983106</v>
      </c>
      <c r="Q11">
        <f t="shared" si="8"/>
        <v>6.3088830407410734</v>
      </c>
      <c r="R11">
        <f t="shared" si="9"/>
        <v>-1.1909819173919867E-2</v>
      </c>
      <c r="S11">
        <f t="shared" si="10"/>
        <v>6.5716781581664483</v>
      </c>
      <c r="T11">
        <f t="shared" si="11"/>
        <v>2.759682407048075</v>
      </c>
      <c r="U11">
        <f t="shared" si="12"/>
        <v>6.2022299019228084</v>
      </c>
      <c r="V11">
        <f t="shared" si="13"/>
        <v>3.0453932745165644</v>
      </c>
      <c r="W11">
        <f t="shared" si="14"/>
        <v>242.68794101802095</v>
      </c>
      <c r="X11">
        <f t="shared" si="15"/>
        <v>58.51123229022064</v>
      </c>
      <c r="Y11">
        <f t="shared" si="16"/>
        <v>272.46144050170562</v>
      </c>
      <c r="Z11">
        <f t="shared" si="17"/>
        <v>131.70621547212801</v>
      </c>
      <c r="AA11">
        <f t="shared" si="18"/>
        <v>48.047487902025289</v>
      </c>
      <c r="AB11">
        <f t="shared" si="19"/>
        <v>5.8798103447464181</v>
      </c>
      <c r="AC11">
        <f t="shared" si="20"/>
        <v>271.66806364663177</v>
      </c>
      <c r="AD11">
        <f t="shared" si="21"/>
        <v>131.97095567983135</v>
      </c>
      <c r="AE11">
        <f t="shared" si="22"/>
        <v>47.979862849239929</v>
      </c>
      <c r="AF11">
        <f t="shared" si="23"/>
        <v>0.11187378208483434</v>
      </c>
      <c r="AG11">
        <f t="shared" si="24"/>
        <v>-0.79337685507385913</v>
      </c>
      <c r="AH11">
        <f t="shared" si="25"/>
        <v>0.2647402077033405</v>
      </c>
      <c r="AI11">
        <f t="shared" si="26"/>
        <v>-6.7625052785359685E-2</v>
      </c>
      <c r="AJ11">
        <f t="shared" si="27"/>
        <v>0.71662310262388285</v>
      </c>
      <c r="AK11">
        <f t="shared" si="28"/>
        <v>178.5366583354315</v>
      </c>
      <c r="AL11">
        <f t="shared" si="29"/>
        <v>56.727339302904035</v>
      </c>
      <c r="AM11">
        <f t="shared" si="30"/>
        <v>54.848853339947766</v>
      </c>
      <c r="AN11">
        <f t="shared" si="31"/>
        <v>55.788096321425897</v>
      </c>
      <c r="AO11" t="s">
        <v>74</v>
      </c>
      <c r="AP11">
        <f>($AP$4+2*$AP$5)/3</f>
        <v>154.92709443159978</v>
      </c>
      <c r="AS11" t="s">
        <v>75</v>
      </c>
      <c r="AT11">
        <f>$AP$12</f>
        <v>4.0839548731095769</v>
      </c>
    </row>
    <row r="12" spans="1:46" x14ac:dyDescent="0.25">
      <c r="A1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0.19224001764408633</v>
      </c>
      <c r="F12">
        <f>Align!G12</f>
        <v>0.39170885995096172</v>
      </c>
      <c r="G12">
        <f t="shared" si="0"/>
        <v>6.6810372216725451</v>
      </c>
      <c r="H12">
        <f t="shared" si="1"/>
        <v>2.7923563004623602</v>
      </c>
      <c r="I12">
        <f t="shared" si="2"/>
        <v>6.3150223084540222</v>
      </c>
      <c r="J12">
        <f t="shared" si="3"/>
        <v>3.0992405945374362</v>
      </c>
      <c r="K12">
        <f t="shared" si="4"/>
        <v>29.483168477962849</v>
      </c>
      <c r="L12">
        <f t="shared" si="5"/>
        <v>6.724053425539353E-2</v>
      </c>
      <c r="M12">
        <f t="shared" si="32"/>
        <v>5.5462182546186463E-2</v>
      </c>
      <c r="N12">
        <f t="shared" si="33"/>
        <v>0.47713517903458907</v>
      </c>
      <c r="O12">
        <f t="shared" si="6"/>
        <v>0.69469319793427875</v>
      </c>
      <c r="P12">
        <f t="shared" si="7"/>
        <v>0.59897552719617497</v>
      </c>
      <c r="Q12">
        <f t="shared" si="8"/>
        <v>6.3380568526774663</v>
      </c>
      <c r="R12">
        <f t="shared" si="9"/>
        <v>-1.3486735855605669E-2</v>
      </c>
      <c r="S12">
        <f t="shared" si="10"/>
        <v>6.5927146492068882</v>
      </c>
      <c r="T12">
        <f t="shared" si="11"/>
        <v>2.7554416592899558</v>
      </c>
      <c r="U12">
        <f t="shared" si="12"/>
        <v>6.231538412622494</v>
      </c>
      <c r="V12">
        <f t="shared" si="13"/>
        <v>3.058268976970095</v>
      </c>
      <c r="W12">
        <f t="shared" si="14"/>
        <v>246.11987362908579</v>
      </c>
      <c r="X12">
        <f t="shared" si="15"/>
        <v>59.279903644396214</v>
      </c>
      <c r="Y12">
        <f t="shared" si="16"/>
        <v>275.47658333222324</v>
      </c>
      <c r="Z12">
        <f t="shared" si="17"/>
        <v>135.19864851457507</v>
      </c>
      <c r="AA12">
        <f t="shared" si="18"/>
        <v>48.121435131471003</v>
      </c>
      <c r="AB12">
        <f t="shared" si="19"/>
        <v>6.7110508965084694</v>
      </c>
      <c r="AC12">
        <f t="shared" si="20"/>
        <v>275.91938543498617</v>
      </c>
      <c r="AD12">
        <f t="shared" si="21"/>
        <v>134.76411258047975</v>
      </c>
      <c r="AE12">
        <f t="shared" si="22"/>
        <v>48.101211238457545</v>
      </c>
      <c r="AF12">
        <f t="shared" si="23"/>
        <v>0.12527258242470651</v>
      </c>
      <c r="AG12">
        <f t="shared" si="24"/>
        <v>0.44280210276292564</v>
      </c>
      <c r="AH12">
        <f t="shared" si="25"/>
        <v>-0.43453593409532232</v>
      </c>
      <c r="AI12">
        <f t="shared" si="26"/>
        <v>-2.0223893013458394E-2</v>
      </c>
      <c r="AJ12">
        <f t="shared" si="27"/>
        <v>0.40099740598733757</v>
      </c>
      <c r="AK12">
        <f t="shared" si="28"/>
        <v>181.81587019864855</v>
      </c>
      <c r="AL12">
        <f t="shared" si="29"/>
        <v>57.091781313975808</v>
      </c>
      <c r="AM12">
        <f t="shared" si="30"/>
        <v>55.123096448686859</v>
      </c>
      <c r="AN12">
        <f t="shared" si="31"/>
        <v>56.107438881331333</v>
      </c>
      <c r="AO12" t="s">
        <v>75</v>
      </c>
      <c r="AP12">
        <f>($AP$7+2*$AP$8)/3</f>
        <v>4.0839548731095769</v>
      </c>
      <c r="AS12" t="s">
        <v>81</v>
      </c>
      <c r="AT12">
        <f>AL4</f>
        <v>53.824750594891064</v>
      </c>
    </row>
    <row r="13" spans="1:46" x14ac:dyDescent="0.25">
      <c r="A13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0.19126401652995695</v>
      </c>
      <c r="F13">
        <f>Align!G13</f>
        <v>0.3899965242098074</v>
      </c>
      <c r="G13">
        <f t="shared" si="0"/>
        <v>6.7321482821897369</v>
      </c>
      <c r="H13">
        <f t="shared" si="1"/>
        <v>2.7901429273991463</v>
      </c>
      <c r="I13">
        <f t="shared" si="2"/>
        <v>6.3472472346091084</v>
      </c>
      <c r="J13">
        <f t="shared" si="3"/>
        <v>3.1128482554036849</v>
      </c>
      <c r="K13">
        <f t="shared" si="4"/>
        <v>29.907684050165674</v>
      </c>
      <c r="L13">
        <f t="shared" si="5"/>
        <v>6.6286108836602409E-2</v>
      </c>
      <c r="M13">
        <f t="shared" si="32"/>
        <v>4.5980489957000374E-2</v>
      </c>
      <c r="N13">
        <f t="shared" si="33"/>
        <v>0.52311566899158946</v>
      </c>
      <c r="O13">
        <f t="shared" si="6"/>
        <v>0.69380930412021513</v>
      </c>
      <c r="P13">
        <f t="shared" si="7"/>
        <v>0.59821341988774235</v>
      </c>
      <c r="Q13">
        <f t="shared" si="8"/>
        <v>6.3623112519093903</v>
      </c>
      <c r="R13">
        <f t="shared" si="9"/>
        <v>-1.4795904972228713E-2</v>
      </c>
      <c r="S13">
        <f t="shared" si="10"/>
        <v>6.6346976063922778</v>
      </c>
      <c r="T13">
        <f t="shared" si="11"/>
        <v>2.7497544358732124</v>
      </c>
      <c r="U13">
        <f t="shared" si="12"/>
        <v>6.2553681632430473</v>
      </c>
      <c r="V13">
        <f t="shared" si="13"/>
        <v>3.0677884686270689</v>
      </c>
      <c r="W13">
        <f t="shared" si="14"/>
        <v>248.95489068909907</v>
      </c>
      <c r="X13">
        <f t="shared" si="15"/>
        <v>59.877785866605478</v>
      </c>
      <c r="Y13">
        <f t="shared" si="16"/>
        <v>280.06392989632434</v>
      </c>
      <c r="Z13">
        <f t="shared" si="17"/>
        <v>137.18759854251618</v>
      </c>
      <c r="AA13">
        <f t="shared" si="18"/>
        <v>48.106386271485114</v>
      </c>
      <c r="AB13">
        <f t="shared" si="19"/>
        <v>7.4107356639520781</v>
      </c>
      <c r="AC13">
        <f t="shared" si="20"/>
        <v>279.47745836072022</v>
      </c>
      <c r="AD13">
        <f t="shared" si="21"/>
        <v>137.11036958978841</v>
      </c>
      <c r="AE13">
        <f t="shared" si="22"/>
        <v>48.195108720564633</v>
      </c>
      <c r="AF13">
        <f t="shared" si="23"/>
        <v>0.13624850656546705</v>
      </c>
      <c r="AG13">
        <f t="shared" si="24"/>
        <v>-0.5864715356041188</v>
      </c>
      <c r="AH13">
        <f t="shared" si="25"/>
        <v>-7.7228952727779188E-2</v>
      </c>
      <c r="AI13">
        <f t="shared" si="26"/>
        <v>8.8722449079519095E-2</v>
      </c>
      <c r="AJ13">
        <f t="shared" si="27"/>
        <v>0.37634850172527073</v>
      </c>
      <c r="AK13">
        <f t="shared" si="28"/>
        <v>184.5660658467657</v>
      </c>
      <c r="AL13">
        <f t="shared" si="29"/>
        <v>57.39048298652515</v>
      </c>
      <c r="AM13">
        <f t="shared" si="30"/>
        <v>55.344409330985442</v>
      </c>
      <c r="AN13">
        <f t="shared" si="31"/>
        <v>56.3674461587553</v>
      </c>
      <c r="AS13" t="s">
        <v>82</v>
      </c>
      <c r="AT13">
        <f>AM4</f>
        <v>52.530331675849006</v>
      </c>
    </row>
    <row r="14" spans="1:46" x14ac:dyDescent="0.25">
      <c r="A14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0.19049120618688217</v>
      </c>
      <c r="F14">
        <f>Align!G14</f>
        <v>0.38871581605483574</v>
      </c>
      <c r="G14">
        <f t="shared" si="0"/>
        <v>6.7644917206250303</v>
      </c>
      <c r="H14">
        <f t="shared" si="1"/>
        <v>2.7945731879761522</v>
      </c>
      <c r="I14">
        <f t="shared" si="2"/>
        <v>6.3729976007868849</v>
      </c>
      <c r="J14">
        <f t="shared" si="3"/>
        <v>3.1231042058467264</v>
      </c>
      <c r="K14">
        <f t="shared" si="4"/>
        <v>30.202246015695138</v>
      </c>
      <c r="L14">
        <f t="shared" si="5"/>
        <v>6.5639621601975451E-2</v>
      </c>
      <c r="M14">
        <f t="shared" si="32"/>
        <v>3.6911231992475216E-2</v>
      </c>
      <c r="N14">
        <f t="shared" si="33"/>
        <v>0.56002690098406471</v>
      </c>
      <c r="O14">
        <f t="shared" si="6"/>
        <v>0.69310137666497817</v>
      </c>
      <c r="P14">
        <f t="shared" si="7"/>
        <v>0.59760303357335476</v>
      </c>
      <c r="Q14">
        <f t="shared" si="8"/>
        <v>6.3818263918272748</v>
      </c>
      <c r="R14">
        <f t="shared" si="9"/>
        <v>-1.5848057757264944E-2</v>
      </c>
      <c r="S14">
        <f t="shared" si="10"/>
        <v>6.6597706306875786</v>
      </c>
      <c r="T14">
        <f t="shared" si="11"/>
        <v>2.7513104030927669</v>
      </c>
      <c r="U14">
        <f t="shared" si="12"/>
        <v>6.2743372309488539</v>
      </c>
      <c r="V14">
        <f t="shared" si="13"/>
        <v>3.074755432586008</v>
      </c>
      <c r="W14">
        <f t="shared" si="14"/>
        <v>251.23532317636312</v>
      </c>
      <c r="X14">
        <f t="shared" si="15"/>
        <v>60.334558719259618</v>
      </c>
      <c r="Y14">
        <f t="shared" si="16"/>
        <v>283.05024128993216</v>
      </c>
      <c r="Z14">
        <f t="shared" si="17"/>
        <v>138.71072761054984</v>
      </c>
      <c r="AA14">
        <f t="shared" si="18"/>
        <v>48.308568254514377</v>
      </c>
      <c r="AB14">
        <f t="shared" si="19"/>
        <v>7.9793967218779231</v>
      </c>
      <c r="AC14">
        <f t="shared" si="20"/>
        <v>282.35586131639343</v>
      </c>
      <c r="AD14">
        <f t="shared" si="21"/>
        <v>139.01411618686083</v>
      </c>
      <c r="AE14">
        <f t="shared" si="22"/>
        <v>48.26599417028055</v>
      </c>
      <c r="AF14">
        <f t="shared" si="23"/>
        <v>0.14533362930768412</v>
      </c>
      <c r="AG14">
        <f t="shared" si="24"/>
        <v>-0.69437997353873016</v>
      </c>
      <c r="AH14">
        <f t="shared" si="25"/>
        <v>0.30338857631099359</v>
      </c>
      <c r="AI14">
        <f t="shared" si="26"/>
        <v>-4.2574084233827136E-2</v>
      </c>
      <c r="AJ14">
        <f t="shared" si="27"/>
        <v>0.59714259234375155</v>
      </c>
      <c r="AK14">
        <f t="shared" si="28"/>
        <v>186.79469789670506</v>
      </c>
      <c r="AL14">
        <f t="shared" si="29"/>
        <v>57.627945528074846</v>
      </c>
      <c r="AM14">
        <f t="shared" si="30"/>
        <v>55.517987639350409</v>
      </c>
      <c r="AN14">
        <f t="shared" si="31"/>
        <v>56.572966583712628</v>
      </c>
      <c r="AO14" t="s">
        <v>76</v>
      </c>
      <c r="AP14">
        <f>3*$AP$11*($AP$7-3)-7*$AP$4</f>
        <v>-573.00341556320564</v>
      </c>
      <c r="AS14" t="s">
        <v>83</v>
      </c>
      <c r="AT14">
        <f>AN4</f>
        <v>53.177541135370035</v>
      </c>
    </row>
    <row r="15" spans="1:46" x14ac:dyDescent="0.25">
      <c r="A15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0.18956204408307292</v>
      </c>
      <c r="F15">
        <f>Align!G15</f>
        <v>0.38725209804704125</v>
      </c>
      <c r="G15">
        <f t="shared" si="0"/>
        <v>6.7905910940533678</v>
      </c>
      <c r="H15">
        <f t="shared" si="1"/>
        <v>2.7934643043899849</v>
      </c>
      <c r="I15">
        <f t="shared" si="2"/>
        <v>6.4042356468153585</v>
      </c>
      <c r="J15">
        <f t="shared" si="3"/>
        <v>3.1349087742128385</v>
      </c>
      <c r="K15">
        <f t="shared" si="4"/>
        <v>30.609643793405837</v>
      </c>
      <c r="L15">
        <f t="shared" si="5"/>
        <v>6.4765993795297849E-2</v>
      </c>
      <c r="M15">
        <f t="shared" si="32"/>
        <v>4.490575027022603E-2</v>
      </c>
      <c r="N15">
        <f t="shared" si="33"/>
        <v>0.60493265125429074</v>
      </c>
      <c r="O15">
        <f t="shared" si="6"/>
        <v>0.69224206632205632</v>
      </c>
      <c r="P15">
        <f t="shared" si="7"/>
        <v>0.59686212252484117</v>
      </c>
      <c r="Q15">
        <f t="shared" si="8"/>
        <v>6.4056220263322521</v>
      </c>
      <c r="R15">
        <f t="shared" si="9"/>
        <v>-1.7129542140888132E-2</v>
      </c>
      <c r="S15">
        <f t="shared" si="10"/>
        <v>6.6771772876358755</v>
      </c>
      <c r="T15">
        <f t="shared" si="11"/>
        <v>2.7468089520849843</v>
      </c>
      <c r="U15">
        <f t="shared" si="12"/>
        <v>6.2972745985295946</v>
      </c>
      <c r="V15">
        <f t="shared" si="13"/>
        <v>3.0825507494207955</v>
      </c>
      <c r="W15">
        <f t="shared" si="14"/>
        <v>254.01921636960395</v>
      </c>
      <c r="X15">
        <f t="shared" si="15"/>
        <v>60.866983549550454</v>
      </c>
      <c r="Y15">
        <f t="shared" si="16"/>
        <v>285.59271413324052</v>
      </c>
      <c r="Z15">
        <f t="shared" si="17"/>
        <v>141.57215100027011</v>
      </c>
      <c r="AA15">
        <f t="shared" si="18"/>
        <v>48.330158243757765</v>
      </c>
      <c r="AB15">
        <f t="shared" si="19"/>
        <v>8.6796773369970257</v>
      </c>
      <c r="AC15">
        <f t="shared" si="20"/>
        <v>285.88440160405878</v>
      </c>
      <c r="AD15">
        <f t="shared" si="21"/>
        <v>141.35474043538451</v>
      </c>
      <c r="AE15">
        <f t="shared" si="22"/>
        <v>48.34673453471833</v>
      </c>
      <c r="AF15">
        <f t="shared" si="23"/>
        <v>0.15690540112393947</v>
      </c>
      <c r="AG15">
        <f t="shared" si="24"/>
        <v>0.29168747081826041</v>
      </c>
      <c r="AH15">
        <f t="shared" si="25"/>
        <v>-0.21741056488559707</v>
      </c>
      <c r="AI15">
        <f t="shared" si="26"/>
        <v>1.6576290960564677E-2</v>
      </c>
      <c r="AJ15">
        <f t="shared" si="27"/>
        <v>0.15724301268010157</v>
      </c>
      <c r="AK15">
        <f t="shared" si="28"/>
        <v>189.53129415827593</v>
      </c>
      <c r="AL15">
        <f t="shared" si="29"/>
        <v>57.91397295456585</v>
      </c>
      <c r="AM15">
        <f t="shared" si="30"/>
        <v>55.724126873824765</v>
      </c>
      <c r="AN15">
        <f t="shared" si="31"/>
        <v>56.819049914195304</v>
      </c>
      <c r="AO15" t="s">
        <v>77</v>
      </c>
      <c r="AP15">
        <f>3*$AP$11*($AP$8-1)-7*$AP$5</f>
        <v>345.0326882756849</v>
      </c>
      <c r="AS15" t="s">
        <v>84</v>
      </c>
      <c r="AT15">
        <f>$AP$18</f>
        <v>3.7353512483794526</v>
      </c>
    </row>
    <row r="16" spans="1:46" x14ac:dyDescent="0.25">
      <c r="A16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0.18876987732243708</v>
      </c>
      <c r="F16">
        <f>Align!G16</f>
        <v>0.38605195687015897</v>
      </c>
      <c r="G16">
        <f t="shared" si="0"/>
        <v>6.8234998991995166</v>
      </c>
      <c r="H16">
        <f t="shared" si="1"/>
        <v>2.791249175146965</v>
      </c>
      <c r="I16">
        <f t="shared" si="2"/>
        <v>6.4311108171478617</v>
      </c>
      <c r="J16">
        <f t="shared" si="3"/>
        <v>3.1446544393720175</v>
      </c>
      <c r="K16">
        <f t="shared" si="4"/>
        <v>30.97109039875809</v>
      </c>
      <c r="L16">
        <f t="shared" si="5"/>
        <v>6.4010145412235625E-2</v>
      </c>
      <c r="M16">
        <f t="shared" si="32"/>
        <v>3.8801553821902597E-2</v>
      </c>
      <c r="N16">
        <f t="shared" si="33"/>
        <v>0.64373420507619339</v>
      </c>
      <c r="O16">
        <f t="shared" si="6"/>
        <v>0.6915012791962738</v>
      </c>
      <c r="P16">
        <f t="shared" si="7"/>
        <v>0.59622340407974173</v>
      </c>
      <c r="Q16">
        <f t="shared" si="8"/>
        <v>6.4262306110086245</v>
      </c>
      <c r="R16">
        <f t="shared" si="9"/>
        <v>-1.8238110156683418E-2</v>
      </c>
      <c r="S16">
        <f t="shared" si="10"/>
        <v>6.7023564046762951</v>
      </c>
      <c r="T16">
        <f t="shared" si="11"/>
        <v>2.7416937147296458</v>
      </c>
      <c r="U16">
        <f t="shared" si="12"/>
        <v>6.3169337453277556</v>
      </c>
      <c r="V16">
        <f t="shared" si="13"/>
        <v>3.0888246696818058</v>
      </c>
      <c r="W16">
        <f t="shared" si="14"/>
        <v>256.43006960624422</v>
      </c>
      <c r="X16">
        <f t="shared" si="15"/>
        <v>61.311624182301784</v>
      </c>
      <c r="Y16">
        <f t="shared" si="16"/>
        <v>288.67644132890217</v>
      </c>
      <c r="Z16">
        <f t="shared" si="17"/>
        <v>143.69641815723003</v>
      </c>
      <c r="AA16">
        <f t="shared" si="18"/>
        <v>48.305232793842627</v>
      </c>
      <c r="AB16">
        <f t="shared" si="19"/>
        <v>9.2922984789499026</v>
      </c>
      <c r="AC16">
        <f t="shared" si="20"/>
        <v>288.95702288789096</v>
      </c>
      <c r="AD16">
        <f t="shared" si="21"/>
        <v>143.39907493999931</v>
      </c>
      <c r="AE16">
        <f t="shared" si="22"/>
        <v>48.411551056203507</v>
      </c>
      <c r="AF16">
        <f t="shared" si="23"/>
        <v>0.16690630518677274</v>
      </c>
      <c r="AG16">
        <f t="shared" si="24"/>
        <v>0.28058155898878567</v>
      </c>
      <c r="AH16">
        <f t="shared" si="25"/>
        <v>-0.29734321723071844</v>
      </c>
      <c r="AI16">
        <f t="shared" si="26"/>
        <v>0.1063182623608796</v>
      </c>
      <c r="AJ16">
        <f t="shared" si="27"/>
        <v>0.20630028770022857</v>
      </c>
      <c r="AK16">
        <f t="shared" si="28"/>
        <v>191.91839092262987</v>
      </c>
      <c r="AL16">
        <f t="shared" si="29"/>
        <v>58.158520223300435</v>
      </c>
      <c r="AM16">
        <f t="shared" si="30"/>
        <v>55.897682854202145</v>
      </c>
      <c r="AN16">
        <f t="shared" si="31"/>
        <v>57.028101538751287</v>
      </c>
      <c r="AO16" t="s">
        <v>78</v>
      </c>
      <c r="AP16">
        <f>3*$AP$11*($AP$9-1)-7*$AP$6</f>
        <v>-673.38647454334409</v>
      </c>
    </row>
    <row r="17" spans="1:42" x14ac:dyDescent="0.25">
      <c r="A17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0.18821761319213962</v>
      </c>
      <c r="F17">
        <f>Align!G17</f>
        <v>0.38522940940047751</v>
      </c>
      <c r="G17">
        <f t="shared" si="0"/>
        <v>6.8500574938693628</v>
      </c>
      <c r="H17">
        <f t="shared" si="1"/>
        <v>2.7945731879761522</v>
      </c>
      <c r="I17">
        <f t="shared" si="2"/>
        <v>6.4499808461639727</v>
      </c>
      <c r="J17">
        <f t="shared" si="3"/>
        <v>3.1513689515276533</v>
      </c>
      <c r="K17">
        <f t="shared" si="4"/>
        <v>31.189400511941862</v>
      </c>
      <c r="L17">
        <f t="shared" si="5"/>
        <v>6.3562106595827325E-2</v>
      </c>
      <c r="M17">
        <f t="shared" si="32"/>
        <v>2.7456293161881841E-2</v>
      </c>
      <c r="N17">
        <f t="shared" si="33"/>
        <v>0.67119049823807519</v>
      </c>
      <c r="O17">
        <f t="shared" si="6"/>
        <v>0.69097804938988994</v>
      </c>
      <c r="P17">
        <f t="shared" si="7"/>
        <v>0.59577226701656705</v>
      </c>
      <c r="Q17">
        <f t="shared" si="8"/>
        <v>6.4408400858816783</v>
      </c>
      <c r="R17">
        <f t="shared" si="9"/>
        <v>-1.9023258948949184E-2</v>
      </c>
      <c r="S17">
        <f t="shared" si="10"/>
        <v>6.7233513711966619</v>
      </c>
      <c r="T17">
        <f t="shared" si="11"/>
        <v>2.7428817191833064</v>
      </c>
      <c r="U17">
        <f t="shared" si="12"/>
        <v>6.3306749768246222</v>
      </c>
      <c r="V17">
        <f t="shared" si="13"/>
        <v>3.0930777997648304</v>
      </c>
      <c r="W17">
        <f t="shared" si="14"/>
        <v>258.13241856080026</v>
      </c>
      <c r="X17">
        <f t="shared" si="15"/>
        <v>61.620356184635945</v>
      </c>
      <c r="Y17">
        <f t="shared" si="16"/>
        <v>291.14821635730726</v>
      </c>
      <c r="Z17">
        <f t="shared" si="17"/>
        <v>144.71048544255356</v>
      </c>
      <c r="AA17">
        <f t="shared" si="18"/>
        <v>48.457017109996599</v>
      </c>
      <c r="AB17">
        <f t="shared" si="19"/>
        <v>9.7300430221622491</v>
      </c>
      <c r="AC17">
        <f t="shared" si="20"/>
        <v>291.14458393348832</v>
      </c>
      <c r="AD17">
        <f t="shared" si="21"/>
        <v>144.85800922632757</v>
      </c>
      <c r="AE17">
        <f t="shared" si="22"/>
        <v>48.454598147504463</v>
      </c>
      <c r="AF17">
        <f t="shared" si="23"/>
        <v>0.17420782133479307</v>
      </c>
      <c r="AG17">
        <f t="shared" si="24"/>
        <v>-3.6324238189422431E-3</v>
      </c>
      <c r="AH17">
        <f t="shared" si="25"/>
        <v>0.14752378377400532</v>
      </c>
      <c r="AI17">
        <f t="shared" si="26"/>
        <v>-2.4189624921362451E-3</v>
      </c>
      <c r="AJ17">
        <f t="shared" si="27"/>
        <v>5.213067767555344E-2</v>
      </c>
      <c r="AK17">
        <f t="shared" si="28"/>
        <v>193.62020079538115</v>
      </c>
      <c r="AL17">
        <f t="shared" si="29"/>
        <v>58.330073829934825</v>
      </c>
      <c r="AM17">
        <f t="shared" si="30"/>
        <v>56.017878638298107</v>
      </c>
      <c r="AN17">
        <f t="shared" si="31"/>
        <v>57.173976234116466</v>
      </c>
    </row>
    <row r="18" spans="1:42" x14ac:dyDescent="0.25">
      <c r="A18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0.18751881685054153</v>
      </c>
      <c r="F18">
        <f>Align!G18</f>
        <v>0.38419063426876759</v>
      </c>
      <c r="G18">
        <f t="shared" si="0"/>
        <v>6.8768226247527133</v>
      </c>
      <c r="H18">
        <f t="shared" si="1"/>
        <v>2.7979051271739794</v>
      </c>
      <c r="I18">
        <f t="shared" si="2"/>
        <v>6.4740169567494474</v>
      </c>
      <c r="J18">
        <f t="shared" si="3"/>
        <v>3.1598896269572361</v>
      </c>
      <c r="K18">
        <f t="shared" si="4"/>
        <v>31.47519808872412</v>
      </c>
      <c r="L18">
        <f t="shared" si="5"/>
        <v>6.2984957057671723E-2</v>
      </c>
      <c r="M18">
        <f t="shared" si="32"/>
        <v>3.5406345744320875E-2</v>
      </c>
      <c r="N18">
        <f t="shared" si="33"/>
        <v>0.70659684398239608</v>
      </c>
      <c r="O18">
        <f t="shared" si="6"/>
        <v>0.69030448458599902</v>
      </c>
      <c r="P18">
        <f t="shared" si="7"/>
        <v>0.59519150872684856</v>
      </c>
      <c r="Q18">
        <f t="shared" si="8"/>
        <v>6.4597124434423927</v>
      </c>
      <c r="R18">
        <f t="shared" si="9"/>
        <v>-2.0036627300280996E-2</v>
      </c>
      <c r="S18">
        <f t="shared" si="10"/>
        <v>6.7430418999563342</v>
      </c>
      <c r="T18">
        <f t="shared" si="11"/>
        <v>2.7434750805885768</v>
      </c>
      <c r="U18">
        <f t="shared" si="12"/>
        <v>6.3480723558663996</v>
      </c>
      <c r="V18">
        <f t="shared" si="13"/>
        <v>3.098417585632613</v>
      </c>
      <c r="W18">
        <f t="shared" si="14"/>
        <v>260.31363826346865</v>
      </c>
      <c r="X18">
        <f t="shared" si="15"/>
        <v>62.014476717794849</v>
      </c>
      <c r="Y18">
        <f t="shared" si="16"/>
        <v>293.71417205896148</v>
      </c>
      <c r="Z18">
        <f t="shared" si="17"/>
        <v>146.37331075391259</v>
      </c>
      <c r="AA18">
        <f t="shared" si="18"/>
        <v>48.62003030590482</v>
      </c>
      <c r="AB18">
        <f t="shared" si="19"/>
        <v>10.299770065647154</v>
      </c>
      <c r="AC18">
        <f t="shared" si="20"/>
        <v>293.98195903411465</v>
      </c>
      <c r="AD18">
        <f t="shared" si="21"/>
        <v>146.75459160289648</v>
      </c>
      <c r="AE18">
        <f t="shared" si="22"/>
        <v>48.506610510287018</v>
      </c>
      <c r="AF18">
        <f t="shared" si="23"/>
        <v>0.18435892963612588</v>
      </c>
      <c r="AG18">
        <f t="shared" si="24"/>
        <v>0.26778697515317162</v>
      </c>
      <c r="AH18">
        <f t="shared" si="25"/>
        <v>0.38128084898389147</v>
      </c>
      <c r="AI18">
        <f t="shared" si="26"/>
        <v>-0.11341979561780136</v>
      </c>
      <c r="AJ18">
        <f t="shared" si="27"/>
        <v>0.26393721483812427</v>
      </c>
      <c r="AK18">
        <f t="shared" si="28"/>
        <v>195.83038074663588</v>
      </c>
      <c r="AL18">
        <f t="shared" si="29"/>
        <v>58.549439792415839</v>
      </c>
      <c r="AM18">
        <f t="shared" si="30"/>
        <v>56.169612883792468</v>
      </c>
      <c r="AN18">
        <f t="shared" si="31"/>
        <v>57.359526338104153</v>
      </c>
      <c r="AO18" t="s">
        <v>79</v>
      </c>
      <c r="AP18">
        <f>SUM(AJ4:AJ25)</f>
        <v>3.7353512483794526</v>
      </c>
    </row>
    <row r="19" spans="1:42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0.18689416907287151</v>
      </c>
      <c r="F19">
        <f>Align!G19</f>
        <v>0.3832512269076177</v>
      </c>
      <c r="G19">
        <f t="shared" si="0"/>
        <v>6.9037977341019108</v>
      </c>
      <c r="H19">
        <f t="shared" si="1"/>
        <v>2.791249175146965</v>
      </c>
      <c r="I19">
        <f t="shared" si="2"/>
        <v>6.4956547655943817</v>
      </c>
      <c r="J19">
        <f t="shared" si="3"/>
        <v>3.167634999620323</v>
      </c>
      <c r="K19">
        <f t="shared" si="4"/>
        <v>31.805434890110856</v>
      </c>
      <c r="L19">
        <f t="shared" si="5"/>
        <v>6.233098232580369E-2</v>
      </c>
      <c r="M19">
        <f t="shared" si="32"/>
        <v>3.2364823372575742E-2</v>
      </c>
      <c r="N19">
        <f t="shared" si="33"/>
        <v>0.73896166735497182</v>
      </c>
      <c r="O19">
        <f t="shared" si="6"/>
        <v>0.68968992902311566</v>
      </c>
      <c r="P19">
        <f t="shared" si="7"/>
        <v>0.59466162914351028</v>
      </c>
      <c r="Q19">
        <f t="shared" si="8"/>
        <v>6.4769958217230323</v>
      </c>
      <c r="R19">
        <f t="shared" si="9"/>
        <v>-2.0963808563681963E-2</v>
      </c>
      <c r="S19">
        <f t="shared" si="10"/>
        <v>6.7634655812822357</v>
      </c>
      <c r="T19">
        <f t="shared" si="11"/>
        <v>2.7345119964388358</v>
      </c>
      <c r="U19">
        <f t="shared" si="12"/>
        <v>6.3636188554566093</v>
      </c>
      <c r="V19">
        <f t="shared" si="13"/>
        <v>3.1032470995160195</v>
      </c>
      <c r="W19">
        <f t="shared" si="14"/>
        <v>262.2901230583152</v>
      </c>
      <c r="X19">
        <f t="shared" si="15"/>
        <v>62.374393127956914</v>
      </c>
      <c r="Y19">
        <f t="shared" si="16"/>
        <v>296.28671948328861</v>
      </c>
      <c r="Z19">
        <f t="shared" si="17"/>
        <v>148.42762873924329</v>
      </c>
      <c r="AA19">
        <f t="shared" si="18"/>
        <v>48.432098053292613</v>
      </c>
      <c r="AB19">
        <f t="shared" si="19"/>
        <v>10.825743311784668</v>
      </c>
      <c r="AC19">
        <f t="shared" si="20"/>
        <v>296.59181663154078</v>
      </c>
      <c r="AD19">
        <f t="shared" si="21"/>
        <v>148.5033355961715</v>
      </c>
      <c r="AE19">
        <f t="shared" si="22"/>
        <v>48.550658221486763</v>
      </c>
      <c r="AF19">
        <f t="shared" si="23"/>
        <v>0.19380054329651131</v>
      </c>
      <c r="AG19">
        <f t="shared" si="24"/>
        <v>0.30509714825217316</v>
      </c>
      <c r="AH19">
        <f t="shared" si="25"/>
        <v>7.5706856928206889E-2</v>
      </c>
      <c r="AI19">
        <f t="shared" si="26"/>
        <v>0.11856016819415061</v>
      </c>
      <c r="AJ19">
        <f t="shared" si="27"/>
        <v>0</v>
      </c>
      <c r="AK19">
        <f t="shared" si="28"/>
        <v>197.86616260796123</v>
      </c>
      <c r="AL19">
        <f t="shared" si="29"/>
        <v>58.748091139965915</v>
      </c>
      <c r="AM19">
        <f t="shared" si="30"/>
        <v>56.305033091245811</v>
      </c>
      <c r="AN19">
        <f t="shared" si="31"/>
        <v>57.526562115605863</v>
      </c>
    </row>
    <row r="20" spans="1:42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0.18653850947206904</v>
      </c>
      <c r="F20">
        <f>Align!G20</f>
        <v>0.38270781210782145</v>
      </c>
      <c r="G20">
        <f t="shared" si="0"/>
        <v>6.9241683553243671</v>
      </c>
      <c r="H20">
        <f t="shared" si="1"/>
        <v>2.7868294391394235</v>
      </c>
      <c r="I20">
        <f t="shared" si="2"/>
        <v>6.5080395647836768</v>
      </c>
      <c r="J20">
        <f t="shared" si="3"/>
        <v>3.1721327905843113</v>
      </c>
      <c r="K20">
        <f t="shared" si="4"/>
        <v>31.999354546317505</v>
      </c>
      <c r="L20">
        <f t="shared" si="5"/>
        <v>6.1953249623534747E-2</v>
      </c>
      <c r="M20">
        <f t="shared" si="32"/>
        <v>1.872404835582292E-2</v>
      </c>
      <c r="N20">
        <f t="shared" si="33"/>
        <v>0.75768571571079479</v>
      </c>
      <c r="O20">
        <f t="shared" si="6"/>
        <v>0.68933488906631424</v>
      </c>
      <c r="P20">
        <f t="shared" si="7"/>
        <v>0.59435550804439319</v>
      </c>
      <c r="Q20">
        <f t="shared" si="8"/>
        <v>6.4870088514782571</v>
      </c>
      <c r="R20">
        <f t="shared" si="9"/>
        <v>-2.1500588591343406E-2</v>
      </c>
      <c r="S20">
        <f t="shared" si="10"/>
        <v>6.7799301492812587</v>
      </c>
      <c r="T20">
        <f t="shared" si="11"/>
        <v>2.7287766509601039</v>
      </c>
      <c r="U20">
        <f t="shared" si="12"/>
        <v>6.3724697889621318</v>
      </c>
      <c r="V20">
        <f t="shared" si="13"/>
        <v>3.1060537007117253</v>
      </c>
      <c r="W20">
        <f t="shared" si="14"/>
        <v>263.42686349139677</v>
      </c>
      <c r="X20">
        <f t="shared" si="15"/>
        <v>62.583869336642834</v>
      </c>
      <c r="Y20">
        <f t="shared" si="16"/>
        <v>298.19127338249496</v>
      </c>
      <c r="Z20">
        <f t="shared" si="17"/>
        <v>149.43724235725918</v>
      </c>
      <c r="AA20">
        <f t="shared" si="18"/>
        <v>48.303708094294265</v>
      </c>
      <c r="AB20">
        <f t="shared" si="19"/>
        <v>11.132309989758706</v>
      </c>
      <c r="AC20">
        <f t="shared" si="20"/>
        <v>298.1087990761319</v>
      </c>
      <c r="AD20">
        <f t="shared" si="21"/>
        <v>149.52165473713032</v>
      </c>
      <c r="AE20">
        <f t="shared" si="22"/>
        <v>48.574596952312788</v>
      </c>
      <c r="AF20">
        <f t="shared" si="23"/>
        <v>0.19905710232552742</v>
      </c>
      <c r="AG20">
        <f t="shared" si="24"/>
        <v>-8.2474306363053529E-2</v>
      </c>
      <c r="AH20">
        <f t="shared" si="25"/>
        <v>8.4412379871139365E-2</v>
      </c>
      <c r="AI20">
        <f t="shared" si="26"/>
        <v>0.27088885801852314</v>
      </c>
      <c r="AJ20">
        <f t="shared" si="27"/>
        <v>0</v>
      </c>
      <c r="AK20">
        <f t="shared" si="28"/>
        <v>199.05070285013085</v>
      </c>
      <c r="AL20">
        <f t="shared" si="29"/>
        <v>58.862187039187987</v>
      </c>
      <c r="AM20">
        <f t="shared" si="30"/>
        <v>56.381922546278162</v>
      </c>
      <c r="AN20">
        <f t="shared" si="31"/>
        <v>57.622054792733074</v>
      </c>
    </row>
    <row r="21" spans="1:42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0.18628790984322882</v>
      </c>
      <c r="F21">
        <f>Align!G21</f>
        <v>0.38232053933053556</v>
      </c>
      <c r="G21">
        <f t="shared" si="0"/>
        <v>6.9583878503224321</v>
      </c>
      <c r="H21">
        <f t="shared" si="1"/>
        <v>2.7846248157265188</v>
      </c>
      <c r="I21">
        <f t="shared" si="2"/>
        <v>6.5167943589127466</v>
      </c>
      <c r="J21">
        <f t="shared" si="3"/>
        <v>3.1753460123428923</v>
      </c>
      <c r="K21">
        <f t="shared" si="4"/>
        <v>32.129761563877068</v>
      </c>
      <c r="L21">
        <f t="shared" si="5"/>
        <v>6.1701796200966816E-2</v>
      </c>
      <c r="M21">
        <f t="shared" si="32"/>
        <v>1.3306613059117406E-2</v>
      </c>
      <c r="N21">
        <f t="shared" si="33"/>
        <v>0.77099232876991219</v>
      </c>
      <c r="O21">
        <f t="shared" si="6"/>
        <v>0.68908279505515913</v>
      </c>
      <c r="P21">
        <f t="shared" si="7"/>
        <v>0.59413814857738867</v>
      </c>
      <c r="Q21">
        <f t="shared" si="8"/>
        <v>6.4941310773024643</v>
      </c>
      <c r="R21">
        <f t="shared" si="9"/>
        <v>-2.1882229880643811E-2</v>
      </c>
      <c r="S21">
        <f t="shared" si="10"/>
        <v>6.8109450979801736</v>
      </c>
      <c r="T21">
        <f t="shared" si="11"/>
        <v>2.7256208113647542</v>
      </c>
      <c r="U21">
        <f t="shared" si="12"/>
        <v>6.3787086244876274</v>
      </c>
      <c r="V21">
        <f t="shared" si="13"/>
        <v>3.1080629338813837</v>
      </c>
      <c r="W21">
        <f t="shared" si="14"/>
        <v>264.23270987572039</v>
      </c>
      <c r="X21">
        <f t="shared" si="15"/>
        <v>62.733664689059403</v>
      </c>
      <c r="Y21">
        <f t="shared" si="16"/>
        <v>301.25607203274649</v>
      </c>
      <c r="Z21">
        <f t="shared" si="17"/>
        <v>149.23111485854599</v>
      </c>
      <c r="AA21">
        <f t="shared" si="18"/>
        <v>48.24495696933068</v>
      </c>
      <c r="AB21">
        <f t="shared" si="19"/>
        <v>11.351195407344639</v>
      </c>
      <c r="AC21">
        <f t="shared" si="20"/>
        <v>299.19004376576646</v>
      </c>
      <c r="AD21">
        <f t="shared" si="21"/>
        <v>150.24830417665621</v>
      </c>
      <c r="AE21">
        <f t="shared" si="22"/>
        <v>48.590914997906701</v>
      </c>
      <c r="AF21">
        <f t="shared" si="23"/>
        <v>0.20272100637932411</v>
      </c>
      <c r="AG21">
        <f t="shared" si="24"/>
        <v>-2.0660282669800267</v>
      </c>
      <c r="AH21">
        <f t="shared" si="25"/>
        <v>1.0171893181102121</v>
      </c>
      <c r="AI21">
        <f t="shared" si="26"/>
        <v>0.34595802857602109</v>
      </c>
      <c r="AJ21">
        <f t="shared" si="27"/>
        <v>0</v>
      </c>
      <c r="AK21">
        <f t="shared" si="28"/>
        <v>199.89555070635961</v>
      </c>
      <c r="AL21">
        <f t="shared" si="29"/>
        <v>58.942896916566063</v>
      </c>
      <c r="AM21">
        <f t="shared" si="30"/>
        <v>56.435908729598388</v>
      </c>
      <c r="AN21">
        <f t="shared" si="31"/>
        <v>57.689402823082226</v>
      </c>
    </row>
    <row r="22" spans="1:42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0.18584227706986439</v>
      </c>
      <c r="F22">
        <f>Align!G22</f>
        <v>0.38162352074308936</v>
      </c>
      <c r="G22">
        <f t="shared" si="0"/>
        <v>6.9790823795993937</v>
      </c>
      <c r="H22">
        <f t="shared" si="1"/>
        <v>2.7868294391394235</v>
      </c>
      <c r="I22">
        <f t="shared" si="2"/>
        <v>6.5324210354117449</v>
      </c>
      <c r="J22">
        <f t="shared" si="3"/>
        <v>3.1811456422710123</v>
      </c>
      <c r="K22">
        <f t="shared" si="4"/>
        <v>32.317300153417648</v>
      </c>
      <c r="L22">
        <f t="shared" si="5"/>
        <v>6.1343738201792467E-2</v>
      </c>
      <c r="M22">
        <f t="shared" si="32"/>
        <v>2.3833841532781376E-2</v>
      </c>
      <c r="N22">
        <f t="shared" si="33"/>
        <v>0.79482617030269354</v>
      </c>
      <c r="O22">
        <f t="shared" si="6"/>
        <v>0.68863172311342746</v>
      </c>
      <c r="P22">
        <f t="shared" si="7"/>
        <v>0.59374922717308309</v>
      </c>
      <c r="Q22">
        <f t="shared" si="8"/>
        <v>6.5069009196617422</v>
      </c>
      <c r="R22">
        <f t="shared" si="9"/>
        <v>-2.2566147050284036E-2</v>
      </c>
      <c r="S22">
        <f t="shared" si="10"/>
        <v>6.826729438656379</v>
      </c>
      <c r="T22">
        <f t="shared" si="11"/>
        <v>2.7259931231502952</v>
      </c>
      <c r="U22">
        <f t="shared" si="12"/>
        <v>6.3898186842585094</v>
      </c>
      <c r="V22">
        <f t="shared" si="13"/>
        <v>3.1117014277157078</v>
      </c>
      <c r="W22">
        <f t="shared" si="14"/>
        <v>265.6753513660758</v>
      </c>
      <c r="X22">
        <f t="shared" si="15"/>
        <v>63.00427697575671</v>
      </c>
      <c r="Y22">
        <f t="shared" si="16"/>
        <v>303.24913846646393</v>
      </c>
      <c r="Z22">
        <f t="shared" si="17"/>
        <v>150.18239521938</v>
      </c>
      <c r="AA22">
        <f t="shared" si="18"/>
        <v>48.353031298250862</v>
      </c>
      <c r="AB22">
        <f t="shared" si="19"/>
        <v>11.745368420302832</v>
      </c>
      <c r="AC22">
        <f t="shared" si="20"/>
        <v>301.13329189093389</v>
      </c>
      <c r="AD22">
        <f t="shared" si="21"/>
        <v>151.55599846639544</v>
      </c>
      <c r="AE22">
        <f t="shared" si="22"/>
        <v>48.618688689592169</v>
      </c>
      <c r="AF22">
        <f t="shared" si="23"/>
        <v>0.20949529497963582</v>
      </c>
      <c r="AG22">
        <f t="shared" si="24"/>
        <v>-2.1158465755300426</v>
      </c>
      <c r="AH22">
        <f t="shared" si="25"/>
        <v>1.3736032470154385</v>
      </c>
      <c r="AI22">
        <f t="shared" si="26"/>
        <v>0.26565739134130695</v>
      </c>
      <c r="AJ22">
        <f t="shared" si="27"/>
        <v>0</v>
      </c>
      <c r="AK22">
        <f t="shared" si="28"/>
        <v>201.41509627457492</v>
      </c>
      <c r="AL22">
        <f t="shared" si="29"/>
        <v>59.086671898662985</v>
      </c>
      <c r="AM22">
        <f t="shared" si="30"/>
        <v>56.531225487729898</v>
      </c>
      <c r="AN22">
        <f t="shared" si="31"/>
        <v>57.808948693196442</v>
      </c>
    </row>
    <row r="23" spans="1:42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0.18525167989688088</v>
      </c>
      <c r="F23">
        <f>Align!G23</f>
        <v>0.38069110863859346</v>
      </c>
      <c r="G23">
        <f t="shared" si="0"/>
        <v>7.0068673252162164</v>
      </c>
      <c r="H23">
        <f t="shared" si="1"/>
        <v>2.7835238115389078</v>
      </c>
      <c r="I23">
        <f t="shared" si="2"/>
        <v>6.5532469161724469</v>
      </c>
      <c r="J23">
        <f t="shared" si="3"/>
        <v>3.1889371000584696</v>
      </c>
      <c r="K23">
        <f t="shared" si="4"/>
        <v>32.614372065118232</v>
      </c>
      <c r="L23">
        <f t="shared" si="5"/>
        <v>6.0784981419902531E-2</v>
      </c>
      <c r="M23">
        <f t="shared" si="32"/>
        <v>3.1541673459269469E-2</v>
      </c>
      <c r="N23">
        <f t="shared" si="33"/>
        <v>0.82636784376196304</v>
      </c>
      <c r="O23">
        <f t="shared" si="6"/>
        <v>0.68803568222651923</v>
      </c>
      <c r="P23">
        <f t="shared" si="7"/>
        <v>0.59323531123792206</v>
      </c>
      <c r="Q23">
        <f t="shared" si="8"/>
        <v>6.5238262327542076</v>
      </c>
      <c r="R23">
        <f t="shared" si="9"/>
        <v>-2.3471930603017221E-2</v>
      </c>
      <c r="S23">
        <f t="shared" si="10"/>
        <v>6.8479754834884172</v>
      </c>
      <c r="T23">
        <f t="shared" si="11"/>
        <v>2.7204029895822921</v>
      </c>
      <c r="U23">
        <f t="shared" si="12"/>
        <v>6.4046416374538957</v>
      </c>
      <c r="V23">
        <f t="shared" si="13"/>
        <v>3.1166228880911744</v>
      </c>
      <c r="W23">
        <f t="shared" si="14"/>
        <v>267.60366287129602</v>
      </c>
      <c r="X23">
        <f t="shared" si="15"/>
        <v>63.368130730136215</v>
      </c>
      <c r="Y23">
        <f t="shared" si="16"/>
        <v>305.93331910860269</v>
      </c>
      <c r="Z23">
        <f t="shared" si="17"/>
        <v>151.8784767428663</v>
      </c>
      <c r="AA23">
        <f t="shared" si="18"/>
        <v>48.280179004888197</v>
      </c>
      <c r="AB23">
        <f t="shared" si="19"/>
        <v>12.271220401769574</v>
      </c>
      <c r="AC23">
        <f t="shared" si="20"/>
        <v>303.71804398784167</v>
      </c>
      <c r="AD23">
        <f t="shared" si="21"/>
        <v>153.29883452509631</v>
      </c>
      <c r="AE23">
        <f t="shared" si="22"/>
        <v>48.652546920159331</v>
      </c>
      <c r="AF23">
        <f t="shared" si="23"/>
        <v>0.21881564396922215</v>
      </c>
      <c r="AG23">
        <f t="shared" si="24"/>
        <v>-2.2152751207610208</v>
      </c>
      <c r="AH23">
        <f t="shared" si="25"/>
        <v>1.4203577822300133</v>
      </c>
      <c r="AI23">
        <f t="shared" si="26"/>
        <v>0.37236791527113411</v>
      </c>
      <c r="AJ23">
        <f t="shared" si="27"/>
        <v>0</v>
      </c>
      <c r="AK23">
        <f t="shared" si="28"/>
        <v>203.43857101267812</v>
      </c>
      <c r="AL23">
        <f t="shared" si="29"/>
        <v>59.275370044644674</v>
      </c>
      <c r="AM23">
        <f t="shared" si="30"/>
        <v>56.65460845086524</v>
      </c>
      <c r="AN23">
        <f t="shared" si="31"/>
        <v>57.964989247754957</v>
      </c>
    </row>
    <row r="24" spans="1:42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0.18495311800280445</v>
      </c>
      <c r="F24">
        <f>Align!G24</f>
        <v>0.38022277732041276</v>
      </c>
      <c r="G24">
        <f t="shared" si="0"/>
        <v>7.0278516536758504</v>
      </c>
      <c r="H24">
        <f t="shared" si="1"/>
        <v>2.7769360266922449</v>
      </c>
      <c r="I24">
        <f t="shared" si="2"/>
        <v>6.5638255418953904</v>
      </c>
      <c r="J24">
        <f t="shared" si="3"/>
        <v>3.1928650054990402</v>
      </c>
      <c r="K24">
        <f t="shared" si="4"/>
        <v>32.801974149316564</v>
      </c>
      <c r="L24">
        <f t="shared" si="5"/>
        <v>6.0437338038732184E-2</v>
      </c>
      <c r="M24">
        <f t="shared" si="32"/>
        <v>1.5653790640659016E-2</v>
      </c>
      <c r="N24">
        <f t="shared" si="33"/>
        <v>0.84202163440262201</v>
      </c>
      <c r="O24">
        <f t="shared" si="6"/>
        <v>0.68774025653352366</v>
      </c>
      <c r="P24">
        <f t="shared" si="7"/>
        <v>0.59298059050546714</v>
      </c>
      <c r="Q24">
        <f t="shared" si="8"/>
        <v>6.5322369686948649</v>
      </c>
      <c r="R24">
        <f t="shared" si="9"/>
        <v>-2.3921752382348727E-2</v>
      </c>
      <c r="S24">
        <f t="shared" si="10"/>
        <v>6.8655347999695717</v>
      </c>
      <c r="T24">
        <f t="shared" si="11"/>
        <v>2.7127992832024268</v>
      </c>
      <c r="U24">
        <f t="shared" si="12"/>
        <v>6.4122259403756123</v>
      </c>
      <c r="V24">
        <f t="shared" si="13"/>
        <v>3.1191218721005969</v>
      </c>
      <c r="W24">
        <f t="shared" si="14"/>
        <v>268.583645702978</v>
      </c>
      <c r="X24">
        <f t="shared" si="15"/>
        <v>63.551619074474459</v>
      </c>
      <c r="Y24">
        <f t="shared" si="16"/>
        <v>307.90070041527486</v>
      </c>
      <c r="Z24">
        <f t="shared" si="17"/>
        <v>152.77999722977216</v>
      </c>
      <c r="AA24">
        <f t="shared" si="18"/>
        <v>48.072560558528721</v>
      </c>
      <c r="AB24">
        <f t="shared" si="19"/>
        <v>12.533981239588806</v>
      </c>
      <c r="AC24">
        <f t="shared" si="20"/>
        <v>305.00636812570315</v>
      </c>
      <c r="AD24">
        <f t="shared" si="21"/>
        <v>154.16898498139017</v>
      </c>
      <c r="AE24">
        <f t="shared" si="22"/>
        <v>48.668112331373436</v>
      </c>
      <c r="AF24">
        <f t="shared" si="23"/>
        <v>0.22331066554987622</v>
      </c>
      <c r="AG24">
        <f t="shared" si="24"/>
        <v>-2.8943322895717074</v>
      </c>
      <c r="AH24">
        <f t="shared" si="25"/>
        <v>1.3889877516180036</v>
      </c>
      <c r="AI24">
        <f t="shared" si="26"/>
        <v>0.59555177284471483</v>
      </c>
      <c r="AJ24">
        <f t="shared" si="27"/>
        <v>0</v>
      </c>
      <c r="AK24">
        <f t="shared" si="28"/>
        <v>204.44811269616116</v>
      </c>
      <c r="AL24">
        <f t="shared" si="29"/>
        <v>59.368344027686661</v>
      </c>
      <c r="AM24">
        <f t="shared" si="30"/>
        <v>56.714658543488611</v>
      </c>
      <c r="AN24">
        <f t="shared" si="31"/>
        <v>58.041501285587636</v>
      </c>
    </row>
    <row r="25" spans="1:42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0.18475088415451557</v>
      </c>
      <c r="F25">
        <f>Align!G25</f>
        <v>0.37990972573080195</v>
      </c>
      <c r="G25">
        <f t="shared" si="0"/>
        <v>7.0489620483868389</v>
      </c>
      <c r="H25">
        <f t="shared" si="1"/>
        <v>2.7780318245128113</v>
      </c>
      <c r="I25">
        <f t="shared" si="2"/>
        <v>6.5710105018208003</v>
      </c>
      <c r="J25">
        <f t="shared" si="3"/>
        <v>3.1954959764842168</v>
      </c>
      <c r="K25">
        <f t="shared" si="4"/>
        <v>32.888231257697939</v>
      </c>
      <c r="L25">
        <f t="shared" si="5"/>
        <v>6.0278826929495551E-2</v>
      </c>
      <c r="M25">
        <f t="shared" si="32"/>
        <v>1.0392286292903419E-2</v>
      </c>
      <c r="N25">
        <f t="shared" si="33"/>
        <v>0.85241392069552546</v>
      </c>
      <c r="O25">
        <f t="shared" si="6"/>
        <v>0.68754426850307326</v>
      </c>
      <c r="P25">
        <f t="shared" si="7"/>
        <v>0.59281160650762144</v>
      </c>
      <c r="Q25">
        <f t="shared" si="8"/>
        <v>6.5378247044538922</v>
      </c>
      <c r="R25">
        <f t="shared" si="9"/>
        <v>-2.4220488135481166E-2</v>
      </c>
      <c r="S25">
        <f t="shared" si="10"/>
        <v>6.8841952489546232</v>
      </c>
      <c r="T25">
        <f t="shared" si="11"/>
        <v>2.7130963901461915</v>
      </c>
      <c r="U25">
        <f t="shared" si="12"/>
        <v>6.4174156375005609</v>
      </c>
      <c r="V25">
        <f t="shared" si="13"/>
        <v>3.1208024767845948</v>
      </c>
      <c r="W25">
        <f t="shared" si="14"/>
        <v>269.24869577483963</v>
      </c>
      <c r="X25">
        <f t="shared" si="15"/>
        <v>63.674542877086076</v>
      </c>
      <c r="Y25">
        <f t="shared" si="16"/>
        <v>309.84153131601556</v>
      </c>
      <c r="Z25">
        <f t="shared" si="17"/>
        <v>152.7038345848205</v>
      </c>
      <c r="AA25">
        <f t="shared" si="18"/>
        <v>48.12422170971557</v>
      </c>
      <c r="AB25">
        <f t="shared" si="19"/>
        <v>12.70908052660698</v>
      </c>
      <c r="AC25">
        <f t="shared" si="20"/>
        <v>305.86369894287066</v>
      </c>
      <c r="AD25">
        <f t="shared" si="21"/>
        <v>154.74857556558052</v>
      </c>
      <c r="AE25">
        <f t="shared" si="22"/>
        <v>48.677988605121662</v>
      </c>
      <c r="AF25">
        <f t="shared" si="23"/>
        <v>0.2262327417423311</v>
      </c>
      <c r="AG25">
        <f t="shared" si="24"/>
        <v>-3.9778323731449063</v>
      </c>
      <c r="AH25">
        <f t="shared" si="25"/>
        <v>2.0447409807600252</v>
      </c>
      <c r="AI25">
        <f t="shared" si="26"/>
        <v>0.55376689540609192</v>
      </c>
      <c r="AJ25">
        <f t="shared" si="27"/>
        <v>0</v>
      </c>
      <c r="AK25">
        <f t="shared" si="28"/>
        <v>205.1202833580106</v>
      </c>
      <c r="AL25">
        <f t="shared" si="29"/>
        <v>59.429817838531015</v>
      </c>
      <c r="AM25">
        <f t="shared" si="30"/>
        <v>56.754086213765099</v>
      </c>
      <c r="AN25">
        <f t="shared" si="31"/>
        <v>58.091952026148057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82D50-0280-4529-87A1-E9B96285F462}">
  <dimension ref="A3:AT25"/>
  <sheetViews>
    <sheetView workbookViewId="0"/>
  </sheetViews>
  <sheetFormatPr defaultRowHeight="15" x14ac:dyDescent="0.25"/>
  <sheetData>
    <row r="3" spans="1:46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  <c r="O3" t="s">
        <v>93</v>
      </c>
      <c r="P3" t="s">
        <v>41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94</v>
      </c>
      <c r="Z3" t="s">
        <v>95</v>
      </c>
      <c r="AA3" t="s">
        <v>96</v>
      </c>
      <c r="AB3" t="s">
        <v>54</v>
      </c>
      <c r="AC3" t="s">
        <v>55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65</v>
      </c>
      <c r="AN3" t="s">
        <v>66</v>
      </c>
      <c r="AP3" t="s">
        <v>67</v>
      </c>
      <c r="AS3" t="s">
        <v>80</v>
      </c>
    </row>
    <row r="4" spans="1:46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0.20291614843494321</v>
      </c>
      <c r="F4">
        <f>Align!G4</f>
        <v>0.41955125799861193</v>
      </c>
      <c r="G4">
        <f t="shared" ref="G4:G25" si="0">2*Lfin_100/C4</f>
        <v>6.1431082084309132</v>
      </c>
      <c r="H4">
        <f t="shared" ref="H4:H25" si="1">2*Lfin_100/D4</f>
        <v>2.7557757329741848</v>
      </c>
      <c r="I4">
        <f t="shared" ref="I4:I25" si="2">2*Lfin_111/E4</f>
        <v>5.9827668195132313</v>
      </c>
      <c r="J4">
        <f t="shared" ref="J4:J25" si="3">2*Lfin_111/F4</f>
        <v>2.8935677747485538</v>
      </c>
      <c r="K4">
        <f t="shared" ref="K4:K25" si="4">G4^2+(2/3)*H4^2-2*J4^2</f>
        <v>26.055176119997608</v>
      </c>
      <c r="L4">
        <f t="shared" ref="L4:L25" si="5">4*Lfin_100^2/K4</f>
        <v>7.6087146403068795E-2</v>
      </c>
      <c r="M4">
        <v>0</v>
      </c>
      <c r="N4">
        <v>0</v>
      </c>
      <c r="O4">
        <f t="shared" ref="O4:O25" si="6">Lfin_100/(1+N4*scal_100)</f>
        <v>0.70399999999999996</v>
      </c>
      <c r="P4">
        <f t="shared" ref="P4:P25" si="7">O4*Lfin_111/Lfin_100</f>
        <v>0.60699999999999998</v>
      </c>
      <c r="Q4">
        <f t="shared" ref="Q4:Q25" si="8">rho_100*(Lfin_100/O4)^3</f>
        <v>6.09</v>
      </c>
      <c r="R4">
        <f t="shared" ref="R4:R25" si="9">0.5*(1-(Lfin_100/O4)^2)</f>
        <v>0</v>
      </c>
      <c r="S4">
        <f t="shared" ref="S4:S25" si="10">2*O4/C4</f>
        <v>6.1431082084309132</v>
      </c>
      <c r="T4">
        <f t="shared" ref="T4:T25" si="11">2*O4/D4</f>
        <v>2.7557757329741848</v>
      </c>
      <c r="U4">
        <f t="shared" ref="U4:U25" si="12">2*P4/E4</f>
        <v>5.9827668195132313</v>
      </c>
      <c r="V4">
        <f t="shared" ref="V4:V25" si="13">2*P4/F4</f>
        <v>2.8935677747485538</v>
      </c>
      <c r="W4">
        <f t="shared" ref="W4:W25" si="14">Q4*U4^2</f>
        <v>217.98240779351096</v>
      </c>
      <c r="X4">
        <f t="shared" ref="X4:X25" si="15">Q4*V4^2</f>
        <v>50.989952904415482</v>
      </c>
      <c r="Y4">
        <f t="shared" ref="Y4:Y25" si="16">Q4*S4^2</f>
        <v>229.82307082439178</v>
      </c>
      <c r="Z4">
        <f t="shared" ref="Z4:Z25" si="17">Y4+AA4-3*X4</f>
        <v>123.10249844398223</v>
      </c>
      <c r="AA4">
        <f t="shared" ref="AA4:AA25" si="18">Q4*T4^2</f>
        <v>46.249286332836874</v>
      </c>
      <c r="AB4">
        <f t="shared" ref="AB4:AB25" si="19">-3*$AP$11*((1-2*R4)^2.5)*(1+1.5*(4-$AP$12)*R4)*R4</f>
        <v>0</v>
      </c>
      <c r="AC4">
        <f t="shared" ref="AC4:AC25" si="20">((1-2*R4)^3.5)*($AP$4-$AP$14*R4)+3*AB4</f>
        <v>241.08875371324729</v>
      </c>
      <c r="AD4">
        <f t="shared" ref="AD4:AD25" si="21">((1-2*R4)^3.5)*($AP$5-$AP$15*R4)+1*AB4</f>
        <v>129.07597908873981</v>
      </c>
      <c r="AE4">
        <f t="shared" ref="AE4:AE25" si="22">((1-2*R4)^3.5)*($AP$6-$AP$16*R4)+1*AB4</f>
        <v>46.758423865802719</v>
      </c>
      <c r="AF4">
        <f t="shared" ref="AF4:AF25" si="23">AB4-B4</f>
        <v>0</v>
      </c>
      <c r="AG4">
        <f t="shared" ref="AG4:AG25" si="24">AC4-Y4</f>
        <v>11.265682888855508</v>
      </c>
      <c r="AH4">
        <f t="shared" ref="AH4:AH25" si="25">AD4-Z4</f>
        <v>5.9734806447575863</v>
      </c>
      <c r="AI4">
        <f t="shared" ref="AI4:AI25" si="26">AE4-AA4</f>
        <v>0.50913753296584474</v>
      </c>
      <c r="AJ4">
        <f t="shared" ref="AJ4:AJ25" si="27">IF(AND(A4&gt;=CutoffLowBar,A4&lt;=CutoffOilBar),AF4^2+AG4^2+AH4^2+AI4^2,0)</f>
        <v>0</v>
      </c>
      <c r="AK4">
        <f t="shared" ref="AK4:AK25" si="28">(AC4+2*AD4)/3</f>
        <v>166.4135706302423</v>
      </c>
      <c r="AL4">
        <f t="shared" ref="AL4:AL25" si="29">(AC4-AD4+3*AE4)/5</f>
        <v>50.457609244383129</v>
      </c>
      <c r="AM4">
        <f t="shared" ref="AM4:AM25" si="30">5*(AC4-AD4)*AE4/(3*(AC4-AD4)+4*AE4)</f>
        <v>50.065197531677065</v>
      </c>
      <c r="AN4">
        <f t="shared" ref="AN4:AN25" si="31">(AL4+AM4)/2</f>
        <v>50.261403388030097</v>
      </c>
      <c r="AO4" t="s">
        <v>68</v>
      </c>
      <c r="AP4">
        <v>241.08875371324729</v>
      </c>
      <c r="AS4" t="s">
        <v>68</v>
      </c>
      <c r="AT4">
        <f>$AP$4</f>
        <v>241.08875371324729</v>
      </c>
    </row>
    <row r="5" spans="1:46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0.20282185216281789</v>
      </c>
      <c r="F5">
        <f>Align!G5</f>
        <v>0.41875595960981177</v>
      </c>
      <c r="G5">
        <f t="shared" si="0"/>
        <v>6.2648579009706697</v>
      </c>
      <c r="H5">
        <f t="shared" si="1"/>
        <v>2.7758410930082182</v>
      </c>
      <c r="I5">
        <f t="shared" si="2"/>
        <v>5.985548337392391</v>
      </c>
      <c r="J5">
        <f t="shared" si="3"/>
        <v>2.8990632184224441</v>
      </c>
      <c r="K5">
        <f t="shared" si="4"/>
        <v>27.576171946290202</v>
      </c>
      <c r="L5">
        <f t="shared" si="5"/>
        <v>7.1890471377289877E-2</v>
      </c>
      <c r="M5">
        <f t="shared" ref="M5:M25" si="32">0.5*(B5-B4)*(L5+L4)</f>
        <v>9.5543900602701494E-3</v>
      </c>
      <c r="N5">
        <f t="shared" ref="N5:N25" si="33">N4+M5</f>
        <v>9.5543900602701494E-3</v>
      </c>
      <c r="O5">
        <f t="shared" si="6"/>
        <v>0.70381118994105329</v>
      </c>
      <c r="P5">
        <f t="shared" si="7"/>
        <v>0.60683720496337978</v>
      </c>
      <c r="Q5">
        <f t="shared" si="8"/>
        <v>6.0949025723314936</v>
      </c>
      <c r="R5">
        <f t="shared" si="9"/>
        <v>-2.683040387808644E-4</v>
      </c>
      <c r="S5">
        <f t="shared" si="10"/>
        <v>6.2631776904741141</v>
      </c>
      <c r="T5">
        <f t="shared" si="11"/>
        <v>2.7750966232349263</v>
      </c>
      <c r="U5">
        <f t="shared" si="12"/>
        <v>5.983943036633284</v>
      </c>
      <c r="V5">
        <f t="shared" si="13"/>
        <v>2.898285700954887</v>
      </c>
      <c r="W5">
        <f t="shared" si="14"/>
        <v>218.24367650079506</v>
      </c>
      <c r="X5">
        <f t="shared" si="15"/>
        <v>51.197547328309987</v>
      </c>
      <c r="Y5">
        <f t="shared" si="16"/>
        <v>239.0871493654337</v>
      </c>
      <c r="Z5">
        <f t="shared" si="17"/>
        <v>132.43233500454346</v>
      </c>
      <c r="AA5">
        <f t="shared" si="18"/>
        <v>46.93782762403972</v>
      </c>
      <c r="AB5">
        <f t="shared" si="19"/>
        <v>0.13410290251677057</v>
      </c>
      <c r="AC5">
        <f t="shared" si="20"/>
        <v>241.79708953678346</v>
      </c>
      <c r="AD5">
        <f t="shared" si="21"/>
        <v>129.43236451524379</v>
      </c>
      <c r="AE5">
        <f t="shared" si="22"/>
        <v>46.792910889371079</v>
      </c>
      <c r="AF5">
        <f t="shared" si="23"/>
        <v>4.9699943974952365E-3</v>
      </c>
      <c r="AG5">
        <f t="shared" si="24"/>
        <v>2.7099401713497571</v>
      </c>
      <c r="AH5">
        <f t="shared" si="25"/>
        <v>-2.9999704892996704</v>
      </c>
      <c r="AI5">
        <f t="shared" si="26"/>
        <v>-0.14491673466864086</v>
      </c>
      <c r="AJ5">
        <f t="shared" si="27"/>
        <v>0</v>
      </c>
      <c r="AK5">
        <f t="shared" si="28"/>
        <v>166.887272855757</v>
      </c>
      <c r="AL5">
        <f t="shared" si="29"/>
        <v>50.54869153793058</v>
      </c>
      <c r="AM5">
        <f t="shared" si="30"/>
        <v>50.145101762122742</v>
      </c>
      <c r="AN5">
        <f t="shared" si="31"/>
        <v>50.346896650026665</v>
      </c>
      <c r="AO5" t="s">
        <v>69</v>
      </c>
      <c r="AP5">
        <v>129.07597908873981</v>
      </c>
      <c r="AS5" t="s">
        <v>69</v>
      </c>
      <c r="AT5">
        <f>$AP$5</f>
        <v>129.07597908873981</v>
      </c>
    </row>
    <row r="6" spans="1:46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0.20068313946370661</v>
      </c>
      <c r="F6">
        <f>Align!G6</f>
        <v>0.41032240249009772</v>
      </c>
      <c r="G6">
        <f t="shared" si="0"/>
        <v>6.3726059035918201</v>
      </c>
      <c r="H6">
        <f t="shared" si="1"/>
        <v>2.7835238115389078</v>
      </c>
      <c r="I6">
        <f t="shared" si="2"/>
        <v>6.0493372948231707</v>
      </c>
      <c r="J6">
        <f t="shared" si="3"/>
        <v>2.9586490833370895</v>
      </c>
      <c r="K6">
        <f t="shared" si="4"/>
        <v>28.268233745433243</v>
      </c>
      <c r="L6">
        <f t="shared" si="5"/>
        <v>7.0130451653006742E-2</v>
      </c>
      <c r="M6">
        <f t="shared" si="32"/>
        <v>0.10698085302734531</v>
      </c>
      <c r="N6">
        <f t="shared" si="33"/>
        <v>0.11653524308761545</v>
      </c>
      <c r="O6">
        <f t="shared" si="6"/>
        <v>0.70170397181963085</v>
      </c>
      <c r="P6">
        <f t="shared" si="7"/>
        <v>0.6050203279751647</v>
      </c>
      <c r="Q6">
        <f t="shared" si="8"/>
        <v>6.1499766350006562</v>
      </c>
      <c r="R6">
        <f t="shared" si="9"/>
        <v>-3.2774284615577631E-3</v>
      </c>
      <c r="S6">
        <f t="shared" si="10"/>
        <v>6.3518222633403525</v>
      </c>
      <c r="T6">
        <f t="shared" si="11"/>
        <v>2.7744456167775136</v>
      </c>
      <c r="U6">
        <f t="shared" si="12"/>
        <v>6.0296079639972158</v>
      </c>
      <c r="V6">
        <f t="shared" si="13"/>
        <v>2.9489997343723666</v>
      </c>
      <c r="W6">
        <f t="shared" si="14"/>
        <v>223.58960956497711</v>
      </c>
      <c r="X6">
        <f t="shared" si="15"/>
        <v>53.483883318928925</v>
      </c>
      <c r="Y6">
        <f t="shared" si="16"/>
        <v>248.12478062416301</v>
      </c>
      <c r="Z6">
        <f t="shared" si="17"/>
        <v>135.01287396896518</v>
      </c>
      <c r="AA6">
        <f t="shared" si="18"/>
        <v>47.339743301588946</v>
      </c>
      <c r="AB6">
        <f t="shared" si="19"/>
        <v>1.6593592604210523</v>
      </c>
      <c r="AC6">
        <f t="shared" si="20"/>
        <v>249.80871039153445</v>
      </c>
      <c r="AD6">
        <f t="shared" si="21"/>
        <v>133.46769367013937</v>
      </c>
      <c r="AE6">
        <f t="shared" si="22"/>
        <v>47.160458410476927</v>
      </c>
      <c r="AF6">
        <f t="shared" si="23"/>
        <v>2.3675757576750334E-2</v>
      </c>
      <c r="AG6">
        <f t="shared" si="24"/>
        <v>1.6839297673714384</v>
      </c>
      <c r="AH6">
        <f t="shared" si="25"/>
        <v>-1.5451802988258123</v>
      </c>
      <c r="AI6">
        <f t="shared" si="26"/>
        <v>-0.17928489111201884</v>
      </c>
      <c r="AJ6">
        <f t="shared" si="27"/>
        <v>0</v>
      </c>
      <c r="AK6">
        <f t="shared" si="28"/>
        <v>172.24803257727106</v>
      </c>
      <c r="AL6">
        <f t="shared" si="29"/>
        <v>51.564478390565171</v>
      </c>
      <c r="AM6">
        <f t="shared" si="30"/>
        <v>51.023377625873671</v>
      </c>
      <c r="AN6">
        <f t="shared" si="31"/>
        <v>51.293928008219424</v>
      </c>
      <c r="AO6" t="s">
        <v>70</v>
      </c>
      <c r="AP6">
        <v>46.758423865802719</v>
      </c>
      <c r="AS6" t="s">
        <v>70</v>
      </c>
      <c r="AT6">
        <f>$AP$6</f>
        <v>46.758423865802719</v>
      </c>
    </row>
    <row r="7" spans="1:46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0.19907985057124322</v>
      </c>
      <c r="F7">
        <f>Align!G7</f>
        <v>0.40614708298662372</v>
      </c>
      <c r="G7">
        <f t="shared" si="0"/>
        <v>6.4366973655154416</v>
      </c>
      <c r="H7">
        <f t="shared" si="1"/>
        <v>2.7835238115389078</v>
      </c>
      <c r="I7">
        <f t="shared" si="2"/>
        <v>6.098055611939265</v>
      </c>
      <c r="J7">
        <f t="shared" si="3"/>
        <v>2.9890649246395857</v>
      </c>
      <c r="K7">
        <f t="shared" si="4"/>
        <v>28.727391267414848</v>
      </c>
      <c r="L7">
        <f t="shared" si="5"/>
        <v>6.900953802403513E-2</v>
      </c>
      <c r="M7">
        <f t="shared" si="32"/>
        <v>5.9891838342280998E-2</v>
      </c>
      <c r="N7">
        <f t="shared" si="33"/>
        <v>0.17642708142989644</v>
      </c>
      <c r="O7">
        <f t="shared" si="6"/>
        <v>0.70052977334936095</v>
      </c>
      <c r="P7">
        <f t="shared" si="7"/>
        <v>0.60400791537366771</v>
      </c>
      <c r="Q7">
        <f t="shared" si="8"/>
        <v>6.1809534937527415</v>
      </c>
      <c r="R7">
        <f t="shared" si="9"/>
        <v>-4.9659872347492806E-3</v>
      </c>
      <c r="S7">
        <f t="shared" si="10"/>
        <v>6.4049689582144342</v>
      </c>
      <c r="T7">
        <f t="shared" si="11"/>
        <v>2.7698029897867906</v>
      </c>
      <c r="U7">
        <f t="shared" si="12"/>
        <v>6.067996471169903</v>
      </c>
      <c r="V7">
        <f t="shared" si="13"/>
        <v>2.9743309292390534</v>
      </c>
      <c r="W7">
        <f t="shared" si="14"/>
        <v>227.58629985024768</v>
      </c>
      <c r="X7">
        <f t="shared" si="15"/>
        <v>54.68069808580254</v>
      </c>
      <c r="Y7">
        <f t="shared" si="16"/>
        <v>253.56513283056569</v>
      </c>
      <c r="Z7">
        <f t="shared" si="17"/>
        <v>136.9421307565253</v>
      </c>
      <c r="AA7">
        <f t="shared" si="18"/>
        <v>47.419092183367255</v>
      </c>
      <c r="AB7">
        <f t="shared" si="19"/>
        <v>2.5324170606239651</v>
      </c>
      <c r="AC7">
        <f t="shared" si="20"/>
        <v>254.35862072018614</v>
      </c>
      <c r="AD7">
        <f t="shared" si="21"/>
        <v>135.76305647141498</v>
      </c>
      <c r="AE7">
        <f t="shared" si="22"/>
        <v>47.350859657153393</v>
      </c>
      <c r="AF7">
        <f t="shared" si="23"/>
        <v>3.5847503651068369E-2</v>
      </c>
      <c r="AG7">
        <f t="shared" si="24"/>
        <v>0.79348788962045091</v>
      </c>
      <c r="AH7">
        <f t="shared" si="25"/>
        <v>-1.1790742851103175</v>
      </c>
      <c r="AI7">
        <f t="shared" si="26"/>
        <v>-6.8232526213861888E-2</v>
      </c>
      <c r="AJ7">
        <f t="shared" si="27"/>
        <v>0</v>
      </c>
      <c r="AK7">
        <f t="shared" si="28"/>
        <v>175.29491122100535</v>
      </c>
      <c r="AL7">
        <f t="shared" si="29"/>
        <v>52.129628644046264</v>
      </c>
      <c r="AM7">
        <f t="shared" si="30"/>
        <v>51.501316655735963</v>
      </c>
      <c r="AN7">
        <f t="shared" si="31"/>
        <v>51.815472649891113</v>
      </c>
      <c r="AO7" t="s">
        <v>71</v>
      </c>
      <c r="AP7">
        <v>5.2844575575835711</v>
      </c>
      <c r="AS7" t="s">
        <v>71</v>
      </c>
      <c r="AT7">
        <f>$AP$7</f>
        <v>5.2844575575835711</v>
      </c>
    </row>
    <row r="8" spans="1:46" x14ac:dyDescent="0.25">
      <c r="A8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0.19731088611066464</v>
      </c>
      <c r="F8">
        <f>Align!G8</f>
        <v>0.40204930534036237</v>
      </c>
      <c r="G8">
        <f t="shared" si="0"/>
        <v>6.5020911040778779</v>
      </c>
      <c r="H8">
        <f t="shared" si="1"/>
        <v>2.7868294391394235</v>
      </c>
      <c r="I8">
        <f t="shared" si="2"/>
        <v>6.1527269170496286</v>
      </c>
      <c r="J8">
        <f t="shared" si="3"/>
        <v>3.0195301518361424</v>
      </c>
      <c r="K8">
        <f t="shared" si="4"/>
        <v>29.219676265269587</v>
      </c>
      <c r="L8">
        <f t="shared" si="5"/>
        <v>6.7846884476141511E-2</v>
      </c>
      <c r="M8">
        <f t="shared" si="32"/>
        <v>6.4799782051583071E-2</v>
      </c>
      <c r="N8">
        <f t="shared" si="33"/>
        <v>0.24122686348147951</v>
      </c>
      <c r="O8">
        <f t="shared" si="6"/>
        <v>0.69926377101950965</v>
      </c>
      <c r="P8">
        <f t="shared" si="7"/>
        <v>0.6029163480239238</v>
      </c>
      <c r="Q8">
        <f t="shared" si="8"/>
        <v>6.2145857692115074</v>
      </c>
      <c r="R8">
        <f t="shared" si="9"/>
        <v>-6.7961029984675569E-3</v>
      </c>
      <c r="S8">
        <f t="shared" si="10"/>
        <v>6.4583476490765683</v>
      </c>
      <c r="T8">
        <f t="shared" si="11"/>
        <v>2.7680807710238895</v>
      </c>
      <c r="U8">
        <f t="shared" si="12"/>
        <v>6.1113338438485298</v>
      </c>
      <c r="V8">
        <f t="shared" si="13"/>
        <v>2.999215966875076</v>
      </c>
      <c r="W8">
        <f t="shared" si="14"/>
        <v>232.10484353852834</v>
      </c>
      <c r="X8">
        <f t="shared" si="15"/>
        <v>55.902041096454326</v>
      </c>
      <c r="Y8">
        <f t="shared" si="16"/>
        <v>259.21195315305835</v>
      </c>
      <c r="Z8">
        <f t="shared" si="17"/>
        <v>139.1236711428526</v>
      </c>
      <c r="AA8">
        <f t="shared" si="18"/>
        <v>47.617841279157247</v>
      </c>
      <c r="AB8">
        <f t="shared" si="19"/>
        <v>3.4926846883499465</v>
      </c>
      <c r="AC8">
        <f t="shared" si="20"/>
        <v>259.33399894874475</v>
      </c>
      <c r="AD8">
        <f t="shared" si="21"/>
        <v>138.27609677539238</v>
      </c>
      <c r="AE8">
        <f t="shared" si="22"/>
        <v>47.543954931466253</v>
      </c>
      <c r="AF8">
        <f t="shared" si="23"/>
        <v>4.9140471835595889E-2</v>
      </c>
      <c r="AG8">
        <f t="shared" si="24"/>
        <v>0.12204579568640384</v>
      </c>
      <c r="AH8">
        <f t="shared" si="25"/>
        <v>-0.84757436746022563</v>
      </c>
      <c r="AI8">
        <f t="shared" si="26"/>
        <v>-7.3886347690994114E-2</v>
      </c>
      <c r="AJ8">
        <f t="shared" si="27"/>
        <v>0.74115146296766854</v>
      </c>
      <c r="AK8">
        <f t="shared" si="28"/>
        <v>178.62873083317649</v>
      </c>
      <c r="AL8">
        <f t="shared" si="29"/>
        <v>52.737953393550221</v>
      </c>
      <c r="AM8">
        <f t="shared" si="30"/>
        <v>52.006653769771177</v>
      </c>
      <c r="AN8">
        <f t="shared" si="31"/>
        <v>52.372303581660702</v>
      </c>
      <c r="AO8" t="s">
        <v>72</v>
      </c>
      <c r="AP8">
        <v>2.6585351032391191</v>
      </c>
      <c r="AS8" t="s">
        <v>72</v>
      </c>
      <c r="AT8">
        <f>$AP$8</f>
        <v>2.6585351032391191</v>
      </c>
    </row>
    <row r="9" spans="1:46" x14ac:dyDescent="0.25">
      <c r="A9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0.19557221353453599</v>
      </c>
      <c r="F9">
        <f>Align!G9</f>
        <v>0.3982834977610536</v>
      </c>
      <c r="G9">
        <f t="shared" si="0"/>
        <v>6.5565916733293026</v>
      </c>
      <c r="H9">
        <f t="shared" si="1"/>
        <v>2.7868294391394235</v>
      </c>
      <c r="I9">
        <f t="shared" si="2"/>
        <v>6.2074257792537608</v>
      </c>
      <c r="J9">
        <f t="shared" si="3"/>
        <v>3.0480800907506538</v>
      </c>
      <c r="K9">
        <f t="shared" si="4"/>
        <v>29.584922106746216</v>
      </c>
      <c r="L9">
        <f t="shared" si="5"/>
        <v>6.7009268871725064E-2</v>
      </c>
      <c r="M9">
        <f t="shared" si="32"/>
        <v>6.6755074495101013E-2</v>
      </c>
      <c r="N9">
        <f t="shared" si="33"/>
        <v>0.30798193797658052</v>
      </c>
      <c r="O9">
        <f t="shared" si="6"/>
        <v>0.69796434402815533</v>
      </c>
      <c r="P9">
        <f t="shared" si="7"/>
        <v>0.60179596139927605</v>
      </c>
      <c r="Q9">
        <f t="shared" si="8"/>
        <v>6.2493602279813443</v>
      </c>
      <c r="R9">
        <f t="shared" si="9"/>
        <v>-8.6849030777265135E-3</v>
      </c>
      <c r="S9">
        <f t="shared" si="10"/>
        <v>6.5003795544541934</v>
      </c>
      <c r="T9">
        <f t="shared" si="11"/>
        <v>2.7629369054080963</v>
      </c>
      <c r="U9">
        <f t="shared" si="12"/>
        <v>6.1542071905118076</v>
      </c>
      <c r="V9">
        <f t="shared" si="13"/>
        <v>3.0219477572245177</v>
      </c>
      <c r="W9">
        <f t="shared" si="14"/>
        <v>236.68993250271433</v>
      </c>
      <c r="X9">
        <f t="shared" si="15"/>
        <v>57.070209040499982</v>
      </c>
      <c r="Y9">
        <f t="shared" si="16"/>
        <v>264.06630617513957</v>
      </c>
      <c r="Z9">
        <f t="shared" si="17"/>
        <v>140.56217229440148</v>
      </c>
      <c r="AA9">
        <f t="shared" si="18"/>
        <v>47.706493240761858</v>
      </c>
      <c r="AB9">
        <f t="shared" si="19"/>
        <v>4.4991104764807988</v>
      </c>
      <c r="AC9">
        <f t="shared" si="20"/>
        <v>264.51696354958074</v>
      </c>
      <c r="AD9">
        <f t="shared" si="21"/>
        <v>140.89737256296314</v>
      </c>
      <c r="AE9">
        <f t="shared" si="22"/>
        <v>47.728400647094887</v>
      </c>
      <c r="AF9">
        <f t="shared" si="23"/>
        <v>6.5547297718522302E-2</v>
      </c>
      <c r="AG9">
        <f t="shared" si="24"/>
        <v>0.45065737444116394</v>
      </c>
      <c r="AH9">
        <f t="shared" si="25"/>
        <v>0.33520026856166396</v>
      </c>
      <c r="AI9">
        <f t="shared" si="26"/>
        <v>2.1907406333028234E-2</v>
      </c>
      <c r="AJ9">
        <f t="shared" si="27"/>
        <v>0.3202276718724561</v>
      </c>
      <c r="AK9">
        <f t="shared" si="28"/>
        <v>182.10390289183567</v>
      </c>
      <c r="AL9">
        <f t="shared" si="29"/>
        <v>53.360958585580455</v>
      </c>
      <c r="AM9">
        <f t="shared" si="30"/>
        <v>52.513843891677013</v>
      </c>
      <c r="AN9">
        <f t="shared" si="31"/>
        <v>52.937401238628738</v>
      </c>
      <c r="AO9" t="s">
        <v>73</v>
      </c>
      <c r="AP9">
        <v>0.25849683128721007</v>
      </c>
      <c r="AS9" t="s">
        <v>73</v>
      </c>
      <c r="AT9">
        <f>$AP$9</f>
        <v>0.25849683128721007</v>
      </c>
    </row>
    <row r="10" spans="1:46" x14ac:dyDescent="0.25">
      <c r="A10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0.19444588691824252</v>
      </c>
      <c r="F10">
        <f>Align!G10</f>
        <v>0.39595434052709966</v>
      </c>
      <c r="G10">
        <f t="shared" si="0"/>
        <v>6.5996168080274185</v>
      </c>
      <c r="H10">
        <f t="shared" si="1"/>
        <v>2.7868294391394235</v>
      </c>
      <c r="I10">
        <f t="shared" si="2"/>
        <v>6.2433822552926674</v>
      </c>
      <c r="J10">
        <f t="shared" si="3"/>
        <v>3.0660100818288973</v>
      </c>
      <c r="K10">
        <f t="shared" si="4"/>
        <v>29.931718584281228</v>
      </c>
      <c r="L10">
        <f t="shared" si="5"/>
        <v>6.6232882499473303E-2</v>
      </c>
      <c r="M10">
        <f t="shared" si="32"/>
        <v>4.5882523975020455E-2</v>
      </c>
      <c r="N10">
        <f t="shared" si="33"/>
        <v>0.35386446195160098</v>
      </c>
      <c r="O10">
        <f t="shared" si="6"/>
        <v>0.69707401043131823</v>
      </c>
      <c r="P10">
        <f t="shared" si="7"/>
        <v>0.60102830160768494</v>
      </c>
      <c r="Q10">
        <f t="shared" si="8"/>
        <v>6.2733366992765269</v>
      </c>
      <c r="R10">
        <f t="shared" si="9"/>
        <v>-9.9851624018810758E-3</v>
      </c>
      <c r="S10">
        <f t="shared" si="10"/>
        <v>6.5346894256841024</v>
      </c>
      <c r="T10">
        <f t="shared" si="11"/>
        <v>2.7594124623991183</v>
      </c>
      <c r="U10">
        <f t="shared" si="12"/>
        <v>6.1819595274894725</v>
      </c>
      <c r="V10">
        <f t="shared" si="13"/>
        <v>3.0358465110274491</v>
      </c>
      <c r="W10">
        <f t="shared" si="14"/>
        <v>239.7457473492928</v>
      </c>
      <c r="X10">
        <f t="shared" si="15"/>
        <v>57.817354756724484</v>
      </c>
      <c r="Y10">
        <f t="shared" si="16"/>
        <v>267.88506441725741</v>
      </c>
      <c r="Z10">
        <f t="shared" si="17"/>
        <v>142.20042622006153</v>
      </c>
      <c r="AA10">
        <f t="shared" si="18"/>
        <v>47.76742607297755</v>
      </c>
      <c r="AB10">
        <f t="shared" si="19"/>
        <v>5.2010507884950528</v>
      </c>
      <c r="AC10">
        <f t="shared" si="20"/>
        <v>268.11331021656662</v>
      </c>
      <c r="AD10">
        <f t="shared" si="21"/>
        <v>142.71825550153284</v>
      </c>
      <c r="AE10">
        <f t="shared" si="22"/>
        <v>47.846408868160246</v>
      </c>
      <c r="AF10">
        <f t="shared" si="23"/>
        <v>7.8778766429929092E-2</v>
      </c>
      <c r="AG10">
        <f t="shared" si="24"/>
        <v>0.22824579930920663</v>
      </c>
      <c r="AH10">
        <f t="shared" si="25"/>
        <v>0.51782928147130747</v>
      </c>
      <c r="AI10">
        <f t="shared" si="26"/>
        <v>7.8982795182696464E-2</v>
      </c>
      <c r="AJ10">
        <f t="shared" si="27"/>
        <v>0.33268768562648232</v>
      </c>
      <c r="AK10">
        <f t="shared" si="28"/>
        <v>184.51660707321079</v>
      </c>
      <c r="AL10">
        <f t="shared" si="29"/>
        <v>53.786856263902905</v>
      </c>
      <c r="AM10">
        <f t="shared" si="30"/>
        <v>52.854225957198807</v>
      </c>
      <c r="AN10">
        <f t="shared" si="31"/>
        <v>53.320541110550856</v>
      </c>
      <c r="AS10" t="s">
        <v>74</v>
      </c>
      <c r="AT10">
        <f>$AP$11</f>
        <v>166.4135706302423</v>
      </c>
    </row>
    <row r="11" spans="1:46" x14ac:dyDescent="0.25">
      <c r="A11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0.19344570800055366</v>
      </c>
      <c r="F11">
        <f>Align!G11</f>
        <v>0.39397038293851272</v>
      </c>
      <c r="G11">
        <f t="shared" si="0"/>
        <v>6.6494850504177183</v>
      </c>
      <c r="H11">
        <f t="shared" si="1"/>
        <v>2.7923563004623602</v>
      </c>
      <c r="I11">
        <f t="shared" si="2"/>
        <v>6.2756626267279367</v>
      </c>
      <c r="J11">
        <f t="shared" si="3"/>
        <v>3.0814499073385169</v>
      </c>
      <c r="K11">
        <f t="shared" si="4"/>
        <v>30.423153512010174</v>
      </c>
      <c r="L11">
        <f t="shared" si="5"/>
        <v>6.5163001567782278E-2</v>
      </c>
      <c r="M11">
        <f t="shared" si="32"/>
        <v>4.2418831561275148E-2</v>
      </c>
      <c r="N11">
        <f t="shared" si="33"/>
        <v>0.39628329351287611</v>
      </c>
      <c r="O11">
        <f t="shared" si="6"/>
        <v>0.69625290684764063</v>
      </c>
      <c r="P11">
        <f t="shared" si="7"/>
        <v>0.60032033303482657</v>
      </c>
      <c r="Q11">
        <f t="shared" si="8"/>
        <v>6.2955576608821175</v>
      </c>
      <c r="R11">
        <f t="shared" si="9"/>
        <v>-1.1188741045317863E-2</v>
      </c>
      <c r="S11">
        <f t="shared" si="10"/>
        <v>6.5763114991381633</v>
      </c>
      <c r="T11">
        <f t="shared" si="11"/>
        <v>2.7616281124307416</v>
      </c>
      <c r="U11">
        <f t="shared" si="12"/>
        <v>6.2066027645659458</v>
      </c>
      <c r="V11">
        <f t="shared" si="13"/>
        <v>3.0475404194457889</v>
      </c>
      <c r="W11">
        <f t="shared" si="14"/>
        <v>242.5169552031598</v>
      </c>
      <c r="X11">
        <f t="shared" si="15"/>
        <v>58.470008195237995</v>
      </c>
      <c r="Y11">
        <f t="shared" si="16"/>
        <v>272.2694777645915</v>
      </c>
      <c r="Z11">
        <f t="shared" si="17"/>
        <v>144.8730892181506</v>
      </c>
      <c r="AA11">
        <f t="shared" si="18"/>
        <v>48.013636039273088</v>
      </c>
      <c r="AB11">
        <f t="shared" si="19"/>
        <v>5.8574462256522066</v>
      </c>
      <c r="AC11">
        <f t="shared" si="20"/>
        <v>271.46286981534945</v>
      </c>
      <c r="AD11">
        <f t="shared" si="21"/>
        <v>144.41569159282787</v>
      </c>
      <c r="AE11">
        <f t="shared" si="22"/>
        <v>47.948996324666574</v>
      </c>
      <c r="AF11">
        <f t="shared" si="23"/>
        <v>8.9509662990622907E-2</v>
      </c>
      <c r="AG11">
        <f t="shared" si="24"/>
        <v>-0.80660794924204993</v>
      </c>
      <c r="AH11">
        <f t="shared" si="25"/>
        <v>-0.45739762532272721</v>
      </c>
      <c r="AI11">
        <f t="shared" si="26"/>
        <v>-6.4639714606514076E-2</v>
      </c>
      <c r="AJ11">
        <f t="shared" si="27"/>
        <v>0.87201924390444185</v>
      </c>
      <c r="AK11">
        <f t="shared" si="28"/>
        <v>186.76475100033508</v>
      </c>
      <c r="AL11">
        <f t="shared" si="29"/>
        <v>54.178833439304256</v>
      </c>
      <c r="AM11">
        <f t="shared" si="30"/>
        <v>53.162731269632992</v>
      </c>
      <c r="AN11">
        <f t="shared" si="31"/>
        <v>53.670782354468628</v>
      </c>
      <c r="AO11" t="s">
        <v>74</v>
      </c>
      <c r="AP11">
        <f>($AP$4+2*$AP$5)/3</f>
        <v>166.4135706302423</v>
      </c>
      <c r="AS11" t="s">
        <v>75</v>
      </c>
      <c r="AT11">
        <f>$AP$12</f>
        <v>3.5338425880206032</v>
      </c>
    </row>
    <row r="12" spans="1:46" x14ac:dyDescent="0.25">
      <c r="A1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0.19224001764408633</v>
      </c>
      <c r="F12">
        <f>Align!G12</f>
        <v>0.39170885995096172</v>
      </c>
      <c r="G12">
        <f t="shared" si="0"/>
        <v>6.6810372216725451</v>
      </c>
      <c r="H12">
        <f t="shared" si="1"/>
        <v>2.7923563004623602</v>
      </c>
      <c r="I12">
        <f t="shared" si="2"/>
        <v>6.3150223084540222</v>
      </c>
      <c r="J12">
        <f t="shared" si="3"/>
        <v>3.0992405945374362</v>
      </c>
      <c r="K12">
        <f t="shared" si="4"/>
        <v>30.623842970871042</v>
      </c>
      <c r="L12">
        <f t="shared" si="5"/>
        <v>6.4735964127222406E-2</v>
      </c>
      <c r="M12">
        <f t="shared" si="32"/>
        <v>5.3118398805966104E-2</v>
      </c>
      <c r="N12">
        <f t="shared" si="33"/>
        <v>0.44940169231884219</v>
      </c>
      <c r="O12">
        <f t="shared" si="6"/>
        <v>0.69522741498222862</v>
      </c>
      <c r="P12">
        <f t="shared" si="7"/>
        <v>0.59943613763382497</v>
      </c>
      <c r="Q12">
        <f t="shared" si="8"/>
        <v>6.323457470359946</v>
      </c>
      <c r="R12">
        <f t="shared" si="9"/>
        <v>-1.2697906271972537E-2</v>
      </c>
      <c r="S12">
        <f t="shared" si="10"/>
        <v>6.5977844275901338</v>
      </c>
      <c r="T12">
        <f t="shared" si="11"/>
        <v>2.7575605859087871</v>
      </c>
      <c r="U12">
        <f t="shared" si="12"/>
        <v>6.2363304475306762</v>
      </c>
      <c r="V12">
        <f t="shared" si="13"/>
        <v>3.0606207769151239</v>
      </c>
      <c r="W12">
        <f t="shared" si="14"/>
        <v>245.93075359512497</v>
      </c>
      <c r="X12">
        <f t="shared" si="15"/>
        <v>59.234352599593883</v>
      </c>
      <c r="Y12">
        <f t="shared" si="16"/>
        <v>275.26490542085827</v>
      </c>
      <c r="Z12">
        <f t="shared" si="17"/>
        <v>145.64630594500258</v>
      </c>
      <c r="AA12">
        <f t="shared" si="18"/>
        <v>48.084458322925968</v>
      </c>
      <c r="AB12">
        <f t="shared" si="19"/>
        <v>6.689562417576008</v>
      </c>
      <c r="AC12">
        <f t="shared" si="20"/>
        <v>275.69088978042515</v>
      </c>
      <c r="AD12">
        <f t="shared" si="21"/>
        <v>146.56037771260557</v>
      </c>
      <c r="AE12">
        <f t="shared" si="22"/>
        <v>48.068437809906264</v>
      </c>
      <c r="AF12">
        <f t="shared" si="23"/>
        <v>0.10378410349224509</v>
      </c>
      <c r="AG12">
        <f t="shared" si="24"/>
        <v>0.42598435956688263</v>
      </c>
      <c r="AH12">
        <f t="shared" si="25"/>
        <v>0.9140717676029908</v>
      </c>
      <c r="AI12">
        <f t="shared" si="26"/>
        <v>-1.6020513019704197E-2</v>
      </c>
      <c r="AJ12">
        <f t="shared" si="27"/>
        <v>1.0280176678995667</v>
      </c>
      <c r="AK12">
        <f t="shared" si="28"/>
        <v>189.6038817352121</v>
      </c>
      <c r="AL12">
        <f t="shared" si="29"/>
        <v>54.667165099507677</v>
      </c>
      <c r="AM12">
        <f t="shared" si="30"/>
        <v>53.540397563505984</v>
      </c>
      <c r="AN12">
        <f t="shared" si="31"/>
        <v>54.103781331506831</v>
      </c>
      <c r="AO12" t="s">
        <v>75</v>
      </c>
      <c r="AP12">
        <f>($AP$7+2*$AP$8)/3</f>
        <v>3.5338425880206032</v>
      </c>
      <c r="AS12" t="s">
        <v>81</v>
      </c>
      <c r="AT12">
        <f>AL4</f>
        <v>50.457609244383129</v>
      </c>
    </row>
    <row r="13" spans="1:46" x14ac:dyDescent="0.25">
      <c r="A13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0.19126401652995695</v>
      </c>
      <c r="F13">
        <f>Align!G13</f>
        <v>0.3899965242098074</v>
      </c>
      <c r="G13">
        <f t="shared" si="0"/>
        <v>6.7321482821897369</v>
      </c>
      <c r="H13">
        <f t="shared" si="1"/>
        <v>2.7901429273991463</v>
      </c>
      <c r="I13">
        <f t="shared" si="2"/>
        <v>6.3472472346091084</v>
      </c>
      <c r="J13">
        <f t="shared" si="3"/>
        <v>3.1128482554036849</v>
      </c>
      <c r="K13">
        <f t="shared" si="4"/>
        <v>31.132103674594347</v>
      </c>
      <c r="L13">
        <f t="shared" si="5"/>
        <v>6.3679088979065962E-2</v>
      </c>
      <c r="M13">
        <f t="shared" si="32"/>
        <v>4.4220291343752834E-2</v>
      </c>
      <c r="N13">
        <f t="shared" si="33"/>
        <v>0.49362198366259502</v>
      </c>
      <c r="O13">
        <f t="shared" si="6"/>
        <v>0.69437600932749666</v>
      </c>
      <c r="P13">
        <f t="shared" si="7"/>
        <v>0.59870204213322509</v>
      </c>
      <c r="Q13">
        <f t="shared" si="8"/>
        <v>6.3467464294816178</v>
      </c>
      <c r="R13">
        <f t="shared" si="9"/>
        <v>-1.3955961001290373E-2</v>
      </c>
      <c r="S13">
        <f t="shared" si="10"/>
        <v>6.6401168443009544</v>
      </c>
      <c r="T13">
        <f t="shared" si="11"/>
        <v>2.7520004423022137</v>
      </c>
      <c r="U13">
        <f t="shared" si="12"/>
        <v>6.2604775638961101</v>
      </c>
      <c r="V13">
        <f t="shared" si="13"/>
        <v>3.070294246064305</v>
      </c>
      <c r="W13">
        <f t="shared" si="14"/>
        <v>248.75170965888415</v>
      </c>
      <c r="X13">
        <f t="shared" si="15"/>
        <v>59.828917454397562</v>
      </c>
      <c r="Y13">
        <f t="shared" si="16"/>
        <v>279.8353596615928</v>
      </c>
      <c r="Z13">
        <f t="shared" si="17"/>
        <v>148.41573221978479</v>
      </c>
      <c r="AA13">
        <f t="shared" si="18"/>
        <v>48.067124921384689</v>
      </c>
      <c r="AB13">
        <f t="shared" si="19"/>
        <v>7.3909559996705694</v>
      </c>
      <c r="AC13">
        <f t="shared" si="20"/>
        <v>279.23922922331434</v>
      </c>
      <c r="AD13">
        <f t="shared" si="21"/>
        <v>148.36208643952304</v>
      </c>
      <c r="AE13">
        <f t="shared" si="22"/>
        <v>48.160049615420562</v>
      </c>
      <c r="AF13">
        <f t="shared" si="23"/>
        <v>0.11646884228395837</v>
      </c>
      <c r="AG13">
        <f t="shared" si="24"/>
        <v>-0.59613043827846468</v>
      </c>
      <c r="AH13">
        <f t="shared" si="25"/>
        <v>-5.3645780261746268E-2</v>
      </c>
      <c r="AI13">
        <f t="shared" si="26"/>
        <v>9.2924694035872335E-2</v>
      </c>
      <c r="AJ13">
        <f t="shared" si="27"/>
        <v>0.380449359166592</v>
      </c>
      <c r="AK13">
        <f t="shared" si="28"/>
        <v>191.98780070078681</v>
      </c>
      <c r="AL13">
        <f t="shared" si="29"/>
        <v>55.071458326010585</v>
      </c>
      <c r="AM13">
        <f t="shared" si="30"/>
        <v>53.847217268274918</v>
      </c>
      <c r="AN13">
        <f t="shared" si="31"/>
        <v>54.459337797142751</v>
      </c>
      <c r="AS13" t="s">
        <v>82</v>
      </c>
      <c r="AT13">
        <f>AM4</f>
        <v>50.065197531677065</v>
      </c>
    </row>
    <row r="14" spans="1:46" x14ac:dyDescent="0.25">
      <c r="A14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0.19049120618688217</v>
      </c>
      <c r="F14">
        <f>Align!G14</f>
        <v>0.38871581605483574</v>
      </c>
      <c r="G14">
        <f t="shared" si="0"/>
        <v>6.7644917206250303</v>
      </c>
      <c r="H14">
        <f t="shared" si="1"/>
        <v>2.7945731879761522</v>
      </c>
      <c r="I14">
        <f t="shared" si="2"/>
        <v>6.3729976007868849</v>
      </c>
      <c r="J14">
        <f t="shared" si="3"/>
        <v>3.1231042058467264</v>
      </c>
      <c r="K14">
        <f t="shared" si="4"/>
        <v>31.457214679219696</v>
      </c>
      <c r="L14">
        <f t="shared" si="5"/>
        <v>6.3020964195841356E-2</v>
      </c>
      <c r="M14">
        <f t="shared" si="32"/>
        <v>3.5449150371582083E-2</v>
      </c>
      <c r="N14">
        <f t="shared" si="33"/>
        <v>0.52907113403417716</v>
      </c>
      <c r="O14">
        <f t="shared" si="6"/>
        <v>0.69369498531204632</v>
      </c>
      <c r="P14">
        <f t="shared" si="7"/>
        <v>0.59811485239263085</v>
      </c>
      <c r="Q14">
        <f t="shared" si="8"/>
        <v>6.3654572385039163</v>
      </c>
      <c r="R14">
        <f t="shared" si="9"/>
        <v>-1.4965592528786154E-2</v>
      </c>
      <c r="S14">
        <f t="shared" si="10"/>
        <v>6.6654744102023287</v>
      </c>
      <c r="T14">
        <f t="shared" si="11"/>
        <v>2.7536667707195388</v>
      </c>
      <c r="U14">
        <f t="shared" si="12"/>
        <v>6.2797109049311999</v>
      </c>
      <c r="V14">
        <f t="shared" si="13"/>
        <v>3.077388815629027</v>
      </c>
      <c r="W14">
        <f t="shared" si="14"/>
        <v>251.02033609494526</v>
      </c>
      <c r="X14">
        <f t="shared" si="15"/>
        <v>60.282929232913126</v>
      </c>
      <c r="Y14">
        <f t="shared" si="16"/>
        <v>282.80802954796781</v>
      </c>
      <c r="Z14">
        <f t="shared" si="17"/>
        <v>150.2264714975102</v>
      </c>
      <c r="AA14">
        <f t="shared" si="18"/>
        <v>48.267229648281756</v>
      </c>
      <c r="AB14">
        <f t="shared" si="19"/>
        <v>7.9589507575383838</v>
      </c>
      <c r="AC14">
        <f t="shared" si="20"/>
        <v>282.10255771605443</v>
      </c>
      <c r="AD14">
        <f t="shared" si="21"/>
        <v>149.81716989603035</v>
      </c>
      <c r="AE14">
        <f t="shared" si="22"/>
        <v>48.228251624868172</v>
      </c>
      <c r="AF14">
        <f t="shared" si="23"/>
        <v>0.12488766496814474</v>
      </c>
      <c r="AG14">
        <f t="shared" si="24"/>
        <v>-0.70547183191337126</v>
      </c>
      <c r="AH14">
        <f t="shared" si="25"/>
        <v>-0.40930160147985362</v>
      </c>
      <c r="AI14">
        <f t="shared" si="26"/>
        <v>-3.897802341358414E-2</v>
      </c>
      <c r="AJ14">
        <f t="shared" si="27"/>
        <v>0.68233452176760634</v>
      </c>
      <c r="AK14">
        <f t="shared" si="28"/>
        <v>193.91229916937172</v>
      </c>
      <c r="AL14">
        <f t="shared" si="29"/>
        <v>55.394028538925724</v>
      </c>
      <c r="AM14">
        <f t="shared" si="30"/>
        <v>54.088050842968109</v>
      </c>
      <c r="AN14">
        <f t="shared" si="31"/>
        <v>54.74103969094692</v>
      </c>
      <c r="AO14" t="s">
        <v>76</v>
      </c>
      <c r="AP14">
        <f>3*$AP$11*($AP$7-3)-7*$AP$4</f>
        <v>-547.12705866055762</v>
      </c>
      <c r="AS14" t="s">
        <v>83</v>
      </c>
      <c r="AT14">
        <f>AN4</f>
        <v>50.261403388030097</v>
      </c>
    </row>
    <row r="15" spans="1:46" x14ac:dyDescent="0.25">
      <c r="A15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0.18956204408307292</v>
      </c>
      <c r="F15">
        <f>Align!G15</f>
        <v>0.38725209804704125</v>
      </c>
      <c r="G15">
        <f t="shared" si="0"/>
        <v>6.7905910940533678</v>
      </c>
      <c r="H15">
        <f t="shared" si="1"/>
        <v>2.7934643043899849</v>
      </c>
      <c r="I15">
        <f t="shared" si="2"/>
        <v>6.4042356468153585</v>
      </c>
      <c r="J15">
        <f t="shared" si="3"/>
        <v>3.1349087742128385</v>
      </c>
      <c r="K15">
        <f t="shared" si="4"/>
        <v>31.659116574630978</v>
      </c>
      <c r="L15">
        <f t="shared" si="5"/>
        <v>6.2619056199078649E-2</v>
      </c>
      <c r="M15">
        <f t="shared" si="32"/>
        <v>4.3264696559365746E-2</v>
      </c>
      <c r="N15">
        <f t="shared" si="33"/>
        <v>0.57233583059354287</v>
      </c>
      <c r="O15">
        <f t="shared" si="6"/>
        <v>0.69286562248747119</v>
      </c>
      <c r="P15">
        <f t="shared" si="7"/>
        <v>0.59739976257087357</v>
      </c>
      <c r="Q15">
        <f t="shared" si="8"/>
        <v>6.3883430417063316</v>
      </c>
      <c r="R15">
        <f t="shared" si="9"/>
        <v>-1.6199161984923438E-2</v>
      </c>
      <c r="S15">
        <f t="shared" si="10"/>
        <v>6.683191939544268</v>
      </c>
      <c r="T15">
        <f t="shared" si="11"/>
        <v>2.7492832161330933</v>
      </c>
      <c r="U15">
        <f t="shared" si="12"/>
        <v>6.3029470425954202</v>
      </c>
      <c r="V15">
        <f t="shared" si="13"/>
        <v>3.0853274421682011</v>
      </c>
      <c r="W15">
        <f t="shared" si="14"/>
        <v>253.79060746859892</v>
      </c>
      <c r="X15">
        <f t="shared" si="15"/>
        <v>60.812205275624486</v>
      </c>
      <c r="Y15">
        <f t="shared" si="16"/>
        <v>285.33569012755248</v>
      </c>
      <c r="Z15">
        <f t="shared" si="17"/>
        <v>151.18573699902331</v>
      </c>
      <c r="AA15">
        <f t="shared" si="18"/>
        <v>48.286662698344259</v>
      </c>
      <c r="AB15">
        <f t="shared" si="19"/>
        <v>8.659113373651774</v>
      </c>
      <c r="AC15">
        <f t="shared" si="20"/>
        <v>285.61991014702113</v>
      </c>
      <c r="AD15">
        <f t="shared" si="21"/>
        <v>151.60608067662852</v>
      </c>
      <c r="AE15">
        <f t="shared" si="22"/>
        <v>48.305053131318644</v>
      </c>
      <c r="AF15">
        <f t="shared" si="23"/>
        <v>0.13634143777868779</v>
      </c>
      <c r="AG15">
        <f t="shared" si="24"/>
        <v>0.28422001946864839</v>
      </c>
      <c r="AH15">
        <f t="shared" si="25"/>
        <v>0.42034367760521718</v>
      </c>
      <c r="AI15">
        <f t="shared" si="26"/>
        <v>1.8390432974385362E-2</v>
      </c>
      <c r="AJ15">
        <f t="shared" si="27"/>
        <v>0.27639702244998277</v>
      </c>
      <c r="AK15">
        <f t="shared" si="28"/>
        <v>196.2773571667594</v>
      </c>
      <c r="AL15">
        <f t="shared" si="29"/>
        <v>55.785797772869707</v>
      </c>
      <c r="AM15">
        <f t="shared" si="30"/>
        <v>54.375622879103048</v>
      </c>
      <c r="AN15">
        <f t="shared" si="31"/>
        <v>55.080710325986374</v>
      </c>
      <c r="AO15" t="s">
        <v>77</v>
      </c>
      <c r="AP15">
        <f>3*$AP$11*($AP$8-1)-7*$AP$5</f>
        <v>-75.52360798432062</v>
      </c>
      <c r="AS15" t="s">
        <v>84</v>
      </c>
      <c r="AT15">
        <f>$AP$18</f>
        <v>5.2312077563105159</v>
      </c>
    </row>
    <row r="16" spans="1:46" x14ac:dyDescent="0.25">
      <c r="A16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0.18876987732243708</v>
      </c>
      <c r="F16">
        <f>Align!G16</f>
        <v>0.38605195687015897</v>
      </c>
      <c r="G16">
        <f t="shared" si="0"/>
        <v>6.8234998991995166</v>
      </c>
      <c r="H16">
        <f t="shared" si="1"/>
        <v>2.791249175146965</v>
      </c>
      <c r="I16">
        <f t="shared" si="2"/>
        <v>6.4311108171478617</v>
      </c>
      <c r="J16">
        <f t="shared" si="3"/>
        <v>3.1446544393720175</v>
      </c>
      <c r="K16">
        <f t="shared" si="4"/>
        <v>31.976495760090614</v>
      </c>
      <c r="L16">
        <f t="shared" si="5"/>
        <v>6.1997537656214456E-2</v>
      </c>
      <c r="M16">
        <f t="shared" si="32"/>
        <v>3.7548240717061837E-2</v>
      </c>
      <c r="N16">
        <f t="shared" si="33"/>
        <v>0.60988407131060474</v>
      </c>
      <c r="O16">
        <f t="shared" si="6"/>
        <v>0.69214744702578423</v>
      </c>
      <c r="P16">
        <f t="shared" si="7"/>
        <v>0.59678054026228844</v>
      </c>
      <c r="Q16">
        <f t="shared" si="8"/>
        <v>6.4082494071468954</v>
      </c>
      <c r="R16">
        <f t="shared" si="9"/>
        <v>-1.7270939116521444E-2</v>
      </c>
      <c r="S16">
        <f t="shared" si="10"/>
        <v>6.7086193679142641</v>
      </c>
      <c r="T16">
        <f t="shared" si="11"/>
        <v>2.7442556684528383</v>
      </c>
      <c r="U16">
        <f t="shared" si="12"/>
        <v>6.3228365534499975</v>
      </c>
      <c r="V16">
        <f t="shared" si="13"/>
        <v>3.0917109971443759</v>
      </c>
      <c r="W16">
        <f t="shared" si="14"/>
        <v>256.19067428345483</v>
      </c>
      <c r="X16">
        <f t="shared" si="15"/>
        <v>61.254385512576327</v>
      </c>
      <c r="Y16">
        <f t="shared" si="16"/>
        <v>288.4069417730982</v>
      </c>
      <c r="Z16">
        <f t="shared" si="17"/>
        <v>152.9039217313601</v>
      </c>
      <c r="AA16">
        <f t="shared" si="18"/>
        <v>48.260136495990892</v>
      </c>
      <c r="AB16">
        <f t="shared" si="19"/>
        <v>9.2729830907268322</v>
      </c>
      <c r="AC16">
        <f t="shared" si="20"/>
        <v>288.69283834689935</v>
      </c>
      <c r="AD16">
        <f t="shared" si="21"/>
        <v>153.17028478711254</v>
      </c>
      <c r="AE16">
        <f t="shared" si="22"/>
        <v>48.365868922955606</v>
      </c>
      <c r="AF16">
        <f t="shared" si="23"/>
        <v>0.14759091696370241</v>
      </c>
      <c r="AG16">
        <f t="shared" si="24"/>
        <v>0.28589657380115341</v>
      </c>
      <c r="AH16">
        <f t="shared" si="25"/>
        <v>0.26636305575243568</v>
      </c>
      <c r="AI16">
        <f t="shared" si="26"/>
        <v>0.10573242696471397</v>
      </c>
      <c r="AJ16">
        <f t="shared" si="27"/>
        <v>0.18564855326304858</v>
      </c>
      <c r="AK16">
        <f t="shared" si="28"/>
        <v>198.34446930704146</v>
      </c>
      <c r="AL16">
        <f t="shared" si="29"/>
        <v>56.124032065730731</v>
      </c>
      <c r="AM16">
        <f t="shared" si="30"/>
        <v>54.619382764181459</v>
      </c>
      <c r="AN16">
        <f t="shared" si="31"/>
        <v>55.371707414956091</v>
      </c>
      <c r="AO16" t="s">
        <v>78</v>
      </c>
      <c r="AP16">
        <f>3*$AP$11*($AP$9-1)-7*$AP$6</f>
        <v>-697.49753687802206</v>
      </c>
    </row>
    <row r="17" spans="1:42" x14ac:dyDescent="0.25">
      <c r="A17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0.18821761319213962</v>
      </c>
      <c r="F17">
        <f>Align!G17</f>
        <v>0.38522940940047751</v>
      </c>
      <c r="G17">
        <f t="shared" si="0"/>
        <v>6.8500574938693628</v>
      </c>
      <c r="H17">
        <f t="shared" si="1"/>
        <v>2.7945731879761522</v>
      </c>
      <c r="I17">
        <f t="shared" si="2"/>
        <v>6.4499808461639727</v>
      </c>
      <c r="J17">
        <f t="shared" si="3"/>
        <v>3.1513689515276533</v>
      </c>
      <c r="K17">
        <f t="shared" si="4"/>
        <v>32.267461333980947</v>
      </c>
      <c r="L17">
        <f t="shared" si="5"/>
        <v>6.1438486885618787E-2</v>
      </c>
      <c r="M17">
        <f t="shared" si="32"/>
        <v>2.6566088026286586E-2</v>
      </c>
      <c r="N17">
        <f t="shared" si="33"/>
        <v>0.63645015933689131</v>
      </c>
      <c r="O17">
        <f t="shared" si="6"/>
        <v>0.691640223014092</v>
      </c>
      <c r="P17">
        <f t="shared" si="7"/>
        <v>0.59634320364993443</v>
      </c>
      <c r="Q17">
        <f t="shared" si="8"/>
        <v>6.4223584866339793</v>
      </c>
      <c r="R17">
        <f t="shared" si="9"/>
        <v>-1.8029913043454804E-2</v>
      </c>
      <c r="S17">
        <f t="shared" si="10"/>
        <v>6.7297944498851683</v>
      </c>
      <c r="T17">
        <f t="shared" si="11"/>
        <v>2.7455102598878236</v>
      </c>
      <c r="U17">
        <f t="shared" si="12"/>
        <v>6.3367417484055002</v>
      </c>
      <c r="V17">
        <f t="shared" si="13"/>
        <v>3.0960419381168629</v>
      </c>
      <c r="W17">
        <f t="shared" si="14"/>
        <v>257.88528360040476</v>
      </c>
      <c r="X17">
        <f t="shared" si="15"/>
        <v>61.561361098431156</v>
      </c>
      <c r="Y17">
        <f t="shared" si="16"/>
        <v>290.8694722021956</v>
      </c>
      <c r="Z17">
        <f t="shared" si="17"/>
        <v>154.59601345965569</v>
      </c>
      <c r="AA17">
        <f t="shared" si="18"/>
        <v>48.410624552753582</v>
      </c>
      <c r="AB17">
        <f t="shared" si="19"/>
        <v>9.7108150274606313</v>
      </c>
      <c r="AC17">
        <f t="shared" si="20"/>
        <v>290.87842331075751</v>
      </c>
      <c r="AD17">
        <f t="shared" si="21"/>
        <v>154.28356076889415</v>
      </c>
      <c r="AE17">
        <f t="shared" si="22"/>
        <v>48.405566513869474</v>
      </c>
      <c r="AF17">
        <f t="shared" si="23"/>
        <v>0.15497982663317522</v>
      </c>
      <c r="AG17">
        <f t="shared" si="24"/>
        <v>8.9511085619164987E-3</v>
      </c>
      <c r="AH17">
        <f t="shared" si="25"/>
        <v>-0.31245269076154614</v>
      </c>
      <c r="AI17">
        <f t="shared" si="26"/>
        <v>-5.0580388841083845E-3</v>
      </c>
      <c r="AJ17">
        <f t="shared" si="27"/>
        <v>0.12175113672921979</v>
      </c>
      <c r="AK17">
        <f t="shared" si="28"/>
        <v>199.81518161618192</v>
      </c>
      <c r="AL17">
        <f t="shared" si="29"/>
        <v>56.362312416694365</v>
      </c>
      <c r="AM17">
        <f t="shared" si="30"/>
        <v>54.788503510417414</v>
      </c>
      <c r="AN17">
        <f t="shared" si="31"/>
        <v>55.57540796355589</v>
      </c>
    </row>
    <row r="18" spans="1:42" x14ac:dyDescent="0.25">
      <c r="A18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0.18751881685054153</v>
      </c>
      <c r="F18">
        <f>Align!G18</f>
        <v>0.38419063426876759</v>
      </c>
      <c r="G18">
        <f t="shared" si="0"/>
        <v>6.8768226247527133</v>
      </c>
      <c r="H18">
        <f t="shared" si="1"/>
        <v>2.7979051271739794</v>
      </c>
      <c r="I18">
        <f t="shared" si="2"/>
        <v>6.4740169567494474</v>
      </c>
      <c r="J18">
        <f t="shared" si="3"/>
        <v>3.1598896269572361</v>
      </c>
      <c r="K18">
        <f t="shared" si="4"/>
        <v>32.539733236984546</v>
      </c>
      <c r="L18">
        <f t="shared" si="5"/>
        <v>6.0924408493513348E-2</v>
      </c>
      <c r="M18">
        <f t="shared" si="32"/>
        <v>3.423566580677373E-2</v>
      </c>
      <c r="N18">
        <f t="shared" si="33"/>
        <v>0.67068582514366504</v>
      </c>
      <c r="O18">
        <f t="shared" si="6"/>
        <v>0.69098765971385867</v>
      </c>
      <c r="P18">
        <f t="shared" si="7"/>
        <v>0.59578055319078438</v>
      </c>
      <c r="Q18">
        <f t="shared" si="8"/>
        <v>6.4405713501173016</v>
      </c>
      <c r="R18">
        <f t="shared" si="9"/>
        <v>-1.9008821796826281E-2</v>
      </c>
      <c r="S18">
        <f t="shared" si="10"/>
        <v>6.7497153007744215</v>
      </c>
      <c r="T18">
        <f t="shared" si="11"/>
        <v>2.7461902214877192</v>
      </c>
      <c r="U18">
        <f t="shared" si="12"/>
        <v>6.3543548663240603</v>
      </c>
      <c r="V18">
        <f t="shared" si="13"/>
        <v>3.1014840032461342</v>
      </c>
      <c r="W18">
        <f t="shared" si="14"/>
        <v>260.05626781610363</v>
      </c>
      <c r="X18">
        <f t="shared" si="15"/>
        <v>61.953163396977523</v>
      </c>
      <c r="Y18">
        <f t="shared" si="16"/>
        <v>293.42377871512997</v>
      </c>
      <c r="Z18">
        <f t="shared" si="17"/>
        <v>156.13624851371694</v>
      </c>
      <c r="AA18">
        <f t="shared" si="18"/>
        <v>48.571959989519513</v>
      </c>
      <c r="AB18">
        <f t="shared" si="19"/>
        <v>10.279354248881903</v>
      </c>
      <c r="AC18">
        <f t="shared" si="20"/>
        <v>293.70898184576947</v>
      </c>
      <c r="AD18">
        <f t="shared" si="21"/>
        <v>155.72630105806942</v>
      </c>
      <c r="AE18">
        <f t="shared" si="22"/>
        <v>48.452593560875535</v>
      </c>
      <c r="AF18">
        <f t="shared" si="23"/>
        <v>0.16394311287087504</v>
      </c>
      <c r="AG18">
        <f t="shared" si="24"/>
        <v>0.28520313063950198</v>
      </c>
      <c r="AH18">
        <f t="shared" si="25"/>
        <v>-0.40994745564751156</v>
      </c>
      <c r="AI18">
        <f t="shared" si="26"/>
        <v>-0.1193664286439784</v>
      </c>
      <c r="AJ18">
        <f t="shared" si="27"/>
        <v>0.29052343066345176</v>
      </c>
      <c r="AK18">
        <f t="shared" si="28"/>
        <v>201.72052798730275</v>
      </c>
      <c r="AL18">
        <f t="shared" si="29"/>
        <v>56.668092294065332</v>
      </c>
      <c r="AM18">
        <f t="shared" si="30"/>
        <v>55.002272020973209</v>
      </c>
      <c r="AN18">
        <f t="shared" si="31"/>
        <v>55.83518215751927</v>
      </c>
      <c r="AO18" t="s">
        <v>79</v>
      </c>
      <c r="AP18">
        <f>SUM(AJ4:AJ25)</f>
        <v>5.2312077563105159</v>
      </c>
    </row>
    <row r="19" spans="1:42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0.18689416907287151</v>
      </c>
      <c r="F19">
        <f>Align!G19</f>
        <v>0.3832512269076177</v>
      </c>
      <c r="G19">
        <f t="shared" si="0"/>
        <v>6.9037977341019108</v>
      </c>
      <c r="H19">
        <f t="shared" si="1"/>
        <v>2.791249175146965</v>
      </c>
      <c r="I19">
        <f t="shared" si="2"/>
        <v>6.4956547655943817</v>
      </c>
      <c r="J19">
        <f t="shared" si="3"/>
        <v>3.167634999620323</v>
      </c>
      <c r="K19">
        <f t="shared" si="4"/>
        <v>32.788648143590464</v>
      </c>
      <c r="L19">
        <f t="shared" si="5"/>
        <v>6.0461901061557868E-2</v>
      </c>
      <c r="M19">
        <f t="shared" si="32"/>
        <v>3.1349934317427525E-2</v>
      </c>
      <c r="N19">
        <f t="shared" si="33"/>
        <v>0.70203575946109253</v>
      </c>
      <c r="O19">
        <f t="shared" si="6"/>
        <v>0.69039118025123947</v>
      </c>
      <c r="P19">
        <f t="shared" si="7"/>
        <v>0.59526625910866815</v>
      </c>
      <c r="Q19">
        <f t="shared" si="8"/>
        <v>6.4572792196656748</v>
      </c>
      <c r="R19">
        <f t="shared" si="9"/>
        <v>-1.9906028613970839E-2</v>
      </c>
      <c r="S19">
        <f t="shared" si="10"/>
        <v>6.7703424231000726</v>
      </c>
      <c r="T19">
        <f t="shared" si="11"/>
        <v>2.7372923471662101</v>
      </c>
      <c r="U19">
        <f t="shared" si="12"/>
        <v>6.370089147902406</v>
      </c>
      <c r="V19">
        <f t="shared" si="13"/>
        <v>3.1064023664673432</v>
      </c>
      <c r="W19">
        <f t="shared" si="14"/>
        <v>262.02370703768685</v>
      </c>
      <c r="X19">
        <f t="shared" si="15"/>
        <v>62.311037568042984</v>
      </c>
      <c r="Y19">
        <f t="shared" si="16"/>
        <v>295.98577209019061</v>
      </c>
      <c r="Z19">
        <f t="shared" si="17"/>
        <v>157.4355634907466</v>
      </c>
      <c r="AA19">
        <f t="shared" si="18"/>
        <v>48.382904104684926</v>
      </c>
      <c r="AB19">
        <f t="shared" si="19"/>
        <v>10.804242540476606</v>
      </c>
      <c r="AC19">
        <f t="shared" si="20"/>
        <v>296.3148078784202</v>
      </c>
      <c r="AD19">
        <f t="shared" si="21"/>
        <v>157.05542696802473</v>
      </c>
      <c r="AE19">
        <f t="shared" si="22"/>
        <v>48.491519511687031</v>
      </c>
      <c r="AF19">
        <f t="shared" si="23"/>
        <v>0.17229977198844892</v>
      </c>
      <c r="AG19">
        <f t="shared" si="24"/>
        <v>0.32903578822958934</v>
      </c>
      <c r="AH19">
        <f t="shared" si="25"/>
        <v>-0.3801365227218696</v>
      </c>
      <c r="AI19">
        <f t="shared" si="26"/>
        <v>0.10861540700210526</v>
      </c>
      <c r="AJ19">
        <f t="shared" si="27"/>
        <v>0</v>
      </c>
      <c r="AK19">
        <f t="shared" si="28"/>
        <v>203.47522060482322</v>
      </c>
      <c r="AL19">
        <f t="shared" si="29"/>
        <v>56.946787889091311</v>
      </c>
      <c r="AM19">
        <f t="shared" si="30"/>
        <v>55.193811050756345</v>
      </c>
      <c r="AN19">
        <f t="shared" si="31"/>
        <v>56.070299469923825</v>
      </c>
    </row>
    <row r="20" spans="1:42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0.18653850947206904</v>
      </c>
      <c r="F20">
        <f>Align!G20</f>
        <v>0.38270781210782145</v>
      </c>
      <c r="G20">
        <f t="shared" si="0"/>
        <v>6.9241683553243671</v>
      </c>
      <c r="H20">
        <f t="shared" si="1"/>
        <v>2.7868294391394235</v>
      </c>
      <c r="I20">
        <f t="shared" si="2"/>
        <v>6.5080395647836768</v>
      </c>
      <c r="J20">
        <f t="shared" si="3"/>
        <v>3.1721327905843113</v>
      </c>
      <c r="K20">
        <f t="shared" si="4"/>
        <v>32.996866745911035</v>
      </c>
      <c r="L20">
        <f t="shared" si="5"/>
        <v>6.0080371123287526E-2</v>
      </c>
      <c r="M20">
        <f t="shared" si="32"/>
        <v>1.8160303184959481E-2</v>
      </c>
      <c r="N20">
        <f t="shared" si="33"/>
        <v>0.72019606264605196</v>
      </c>
      <c r="O20">
        <f t="shared" si="6"/>
        <v>0.69004612409196553</v>
      </c>
      <c r="P20">
        <f t="shared" si="7"/>
        <v>0.59496874619861229</v>
      </c>
      <c r="Q20">
        <f t="shared" si="8"/>
        <v>6.4669709123379402</v>
      </c>
      <c r="R20">
        <f t="shared" si="9"/>
        <v>-2.0426114517357763E-2</v>
      </c>
      <c r="S20">
        <f t="shared" si="10"/>
        <v>6.7869254774883796</v>
      </c>
      <c r="T20">
        <f t="shared" si="11"/>
        <v>2.7315921207152631</v>
      </c>
      <c r="U20">
        <f t="shared" si="12"/>
        <v>6.3790447118126963</v>
      </c>
      <c r="V20">
        <f t="shared" si="13"/>
        <v>3.109258433590532</v>
      </c>
      <c r="W20">
        <f t="shared" si="14"/>
        <v>263.15534771082611</v>
      </c>
      <c r="X20">
        <f t="shared" si="15"/>
        <v>62.519363735699734</v>
      </c>
      <c r="Y20">
        <f t="shared" si="16"/>
        <v>297.88392569866846</v>
      </c>
      <c r="Z20">
        <f t="shared" si="17"/>
        <v>158.57975563993915</v>
      </c>
      <c r="AA20">
        <f t="shared" si="18"/>
        <v>48.253921148369898</v>
      </c>
      <c r="AB20">
        <f t="shared" si="19"/>
        <v>11.110173386633702</v>
      </c>
      <c r="AC20">
        <f t="shared" si="20"/>
        <v>297.83037363701084</v>
      </c>
      <c r="AD20">
        <f t="shared" si="21"/>
        <v>157.82886703772778</v>
      </c>
      <c r="AE20">
        <f t="shared" si="22"/>
        <v>48.512236615077853</v>
      </c>
      <c r="AF20">
        <f t="shared" si="23"/>
        <v>0.17692049920052355</v>
      </c>
      <c r="AG20">
        <f t="shared" si="24"/>
        <v>-5.3552061657626382E-2</v>
      </c>
      <c r="AH20">
        <f t="shared" si="25"/>
        <v>-0.75088860221137566</v>
      </c>
      <c r="AI20">
        <f t="shared" si="26"/>
        <v>0.25831546670795547</v>
      </c>
      <c r="AJ20">
        <f t="shared" si="27"/>
        <v>0</v>
      </c>
      <c r="AK20">
        <f t="shared" si="28"/>
        <v>204.49603590415549</v>
      </c>
      <c r="AL20">
        <f t="shared" si="29"/>
        <v>57.107643288903319</v>
      </c>
      <c r="AM20">
        <f t="shared" si="30"/>
        <v>55.30288963271154</v>
      </c>
      <c r="AN20">
        <f t="shared" si="31"/>
        <v>56.205266460807429</v>
      </c>
    </row>
    <row r="21" spans="1:42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0.18628790984322882</v>
      </c>
      <c r="F21">
        <f>Align!G21</f>
        <v>0.38232053933053556</v>
      </c>
      <c r="G21">
        <f t="shared" si="0"/>
        <v>6.9583878503224321</v>
      </c>
      <c r="H21">
        <f t="shared" si="1"/>
        <v>2.7846248157265188</v>
      </c>
      <c r="I21">
        <f t="shared" si="2"/>
        <v>6.5167943589127466</v>
      </c>
      <c r="J21">
        <f t="shared" si="3"/>
        <v>3.1753460123428923</v>
      </c>
      <c r="K21">
        <f t="shared" si="4"/>
        <v>33.422940455550986</v>
      </c>
      <c r="L21">
        <f t="shared" si="5"/>
        <v>5.9314470031039596E-2</v>
      </c>
      <c r="M21">
        <f t="shared" si="32"/>
        <v>1.2848169210581597E-2</v>
      </c>
      <c r="N21">
        <f t="shared" si="33"/>
        <v>0.73304423185663359</v>
      </c>
      <c r="O21">
        <f t="shared" si="6"/>
        <v>0.68980220978015472</v>
      </c>
      <c r="P21">
        <f t="shared" si="7"/>
        <v>0.59475843939851414</v>
      </c>
      <c r="Q21">
        <f t="shared" si="8"/>
        <v>6.4738335081696885</v>
      </c>
      <c r="R21">
        <f t="shared" si="9"/>
        <v>-2.0794225313976789E-2</v>
      </c>
      <c r="S21">
        <f t="shared" si="10"/>
        <v>6.8180558461076632</v>
      </c>
      <c r="T21">
        <f t="shared" si="11"/>
        <v>2.728466408092058</v>
      </c>
      <c r="U21">
        <f t="shared" si="12"/>
        <v>6.3853681100296305</v>
      </c>
      <c r="V21">
        <f t="shared" si="13"/>
        <v>3.1113078070038775</v>
      </c>
      <c r="W21">
        <f t="shared" si="14"/>
        <v>263.95713392131643</v>
      </c>
      <c r="X21">
        <f t="shared" si="15"/>
        <v>62.668237931228873</v>
      </c>
      <c r="Y21">
        <f t="shared" si="16"/>
        <v>300.94188334047806</v>
      </c>
      <c r="Z21">
        <f t="shared" si="17"/>
        <v>161.13181045166419</v>
      </c>
      <c r="AA21">
        <f t="shared" si="18"/>
        <v>48.194640904872749</v>
      </c>
      <c r="AB21">
        <f t="shared" si="19"/>
        <v>11.327448516943111</v>
      </c>
      <c r="AC21">
        <f t="shared" si="20"/>
        <v>298.90530920209619</v>
      </c>
      <c r="AD21">
        <f t="shared" si="21"/>
        <v>158.37762358444076</v>
      </c>
      <c r="AE21">
        <f t="shared" si="22"/>
        <v>48.526074484226882</v>
      </c>
      <c r="AF21">
        <f t="shared" si="23"/>
        <v>0.17897411597779644</v>
      </c>
      <c r="AG21">
        <f t="shared" si="24"/>
        <v>-2.0365741383818659</v>
      </c>
      <c r="AH21">
        <f t="shared" si="25"/>
        <v>-2.7541868672234386</v>
      </c>
      <c r="AI21">
        <f t="shared" si="26"/>
        <v>0.3314335793541332</v>
      </c>
      <c r="AJ21">
        <f t="shared" si="27"/>
        <v>0</v>
      </c>
      <c r="AK21">
        <f t="shared" si="28"/>
        <v>205.22018545699257</v>
      </c>
      <c r="AL21">
        <f t="shared" si="29"/>
        <v>57.221181814067222</v>
      </c>
      <c r="AM21">
        <f t="shared" si="30"/>
        <v>55.379218740863138</v>
      </c>
      <c r="AN21">
        <f t="shared" si="31"/>
        <v>56.30020027746518</v>
      </c>
    </row>
    <row r="22" spans="1:42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0.18584227706986439</v>
      </c>
      <c r="F22">
        <f>Align!G22</f>
        <v>0.38162352074308936</v>
      </c>
      <c r="G22">
        <f t="shared" si="0"/>
        <v>6.9790823795993937</v>
      </c>
      <c r="H22">
        <f t="shared" si="1"/>
        <v>2.7868294391394235</v>
      </c>
      <c r="I22">
        <f t="shared" si="2"/>
        <v>6.5324210354117449</v>
      </c>
      <c r="J22">
        <f t="shared" si="3"/>
        <v>3.1811456422710123</v>
      </c>
      <c r="K22">
        <f t="shared" si="4"/>
        <v>33.645827881791135</v>
      </c>
      <c r="L22">
        <f t="shared" si="5"/>
        <v>5.892154019705053E-2</v>
      </c>
      <c r="M22">
        <f t="shared" si="32"/>
        <v>2.2902239767763767E-2</v>
      </c>
      <c r="N22">
        <f t="shared" si="33"/>
        <v>0.75594647162439732</v>
      </c>
      <c r="O22">
        <f t="shared" si="6"/>
        <v>0.6893678527058269</v>
      </c>
      <c r="P22">
        <f t="shared" si="7"/>
        <v>0.5943839298188025</v>
      </c>
      <c r="Q22">
        <f t="shared" si="8"/>
        <v>6.4860783242034179</v>
      </c>
      <c r="R22">
        <f t="shared" si="9"/>
        <v>-2.1450716389330271E-2</v>
      </c>
      <c r="S22">
        <f t="shared" si="10"/>
        <v>6.834027036763505</v>
      </c>
      <c r="T22">
        <f t="shared" si="11"/>
        <v>2.7289071396547278</v>
      </c>
      <c r="U22">
        <f t="shared" si="12"/>
        <v>6.396649236011605</v>
      </c>
      <c r="V22">
        <f t="shared" si="13"/>
        <v>3.1150277564728217</v>
      </c>
      <c r="W22">
        <f t="shared" si="14"/>
        <v>265.39165451635466</v>
      </c>
      <c r="X22">
        <f t="shared" si="15"/>
        <v>62.936998943357125</v>
      </c>
      <c r="Y22">
        <f t="shared" si="16"/>
        <v>302.92531909511007</v>
      </c>
      <c r="Z22">
        <f t="shared" si="17"/>
        <v>162.41572061133053</v>
      </c>
      <c r="AA22">
        <f t="shared" si="18"/>
        <v>48.301398346291847</v>
      </c>
      <c r="AB22">
        <f t="shared" si="19"/>
        <v>11.716464348659091</v>
      </c>
      <c r="AC22">
        <f t="shared" si="20"/>
        <v>300.82695483569444</v>
      </c>
      <c r="AD22">
        <f t="shared" si="21"/>
        <v>159.35900735521261</v>
      </c>
      <c r="AE22">
        <f t="shared" si="22"/>
        <v>48.549043896154956</v>
      </c>
      <c r="AF22">
        <f t="shared" si="23"/>
        <v>0.18059122333589528</v>
      </c>
      <c r="AG22">
        <f t="shared" si="24"/>
        <v>-2.0983642594156322</v>
      </c>
      <c r="AH22">
        <f t="shared" si="25"/>
        <v>-3.0567132561179164</v>
      </c>
      <c r="AI22">
        <f t="shared" si="26"/>
        <v>0.24764554986310827</v>
      </c>
      <c r="AJ22">
        <f t="shared" si="27"/>
        <v>0</v>
      </c>
      <c r="AK22">
        <f t="shared" si="28"/>
        <v>206.51498984870656</v>
      </c>
      <c r="AL22">
        <f t="shared" si="29"/>
        <v>57.423015833789336</v>
      </c>
      <c r="AM22">
        <f t="shared" si="30"/>
        <v>55.513525638464017</v>
      </c>
      <c r="AN22">
        <f t="shared" si="31"/>
        <v>56.468270736126676</v>
      </c>
    </row>
    <row r="23" spans="1:42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0.18525167989688088</v>
      </c>
      <c r="F23">
        <f>Align!G23</f>
        <v>0.38069110863859346</v>
      </c>
      <c r="G23">
        <f t="shared" si="0"/>
        <v>7.0068673252162164</v>
      </c>
      <c r="H23">
        <f t="shared" si="1"/>
        <v>2.7835238115389078</v>
      </c>
      <c r="I23">
        <f t="shared" si="2"/>
        <v>6.5532469161724469</v>
      </c>
      <c r="J23">
        <f t="shared" si="3"/>
        <v>3.1889371000584696</v>
      </c>
      <c r="K23">
        <f t="shared" si="4"/>
        <v>33.922886596526737</v>
      </c>
      <c r="L23">
        <f t="shared" si="5"/>
        <v>5.8440309740709927E-2</v>
      </c>
      <c r="M23">
        <f t="shared" si="32"/>
        <v>3.0310553969445188E-2</v>
      </c>
      <c r="N23">
        <f t="shared" si="33"/>
        <v>0.78625702559384247</v>
      </c>
      <c r="O23">
        <f t="shared" si="6"/>
        <v>0.68879383209806477</v>
      </c>
      <c r="P23">
        <f t="shared" si="7"/>
        <v>0.59388900011864387</v>
      </c>
      <c r="Q23">
        <f t="shared" si="8"/>
        <v>6.5023077650082648</v>
      </c>
      <c r="R23">
        <f t="shared" si="9"/>
        <v>-2.2320202052200644E-2</v>
      </c>
      <c r="S23">
        <f t="shared" si="10"/>
        <v>6.8555213010488565</v>
      </c>
      <c r="T23">
        <f t="shared" si="11"/>
        <v>2.7234006148950227</v>
      </c>
      <c r="U23">
        <f t="shared" si="12"/>
        <v>6.4116989432887008</v>
      </c>
      <c r="V23">
        <f t="shared" si="13"/>
        <v>3.1200571100411403</v>
      </c>
      <c r="W23">
        <f t="shared" si="14"/>
        <v>267.30911365616583</v>
      </c>
      <c r="X23">
        <f t="shared" si="15"/>
        <v>63.298381934583254</v>
      </c>
      <c r="Y23">
        <f t="shared" si="16"/>
        <v>305.59658074688235</v>
      </c>
      <c r="Z23">
        <f t="shared" si="17"/>
        <v>163.92847234046712</v>
      </c>
      <c r="AA23">
        <f t="shared" si="18"/>
        <v>48.22703739733452</v>
      </c>
      <c r="AB23">
        <f t="shared" si="19"/>
        <v>12.234708884312226</v>
      </c>
      <c r="AC23">
        <f t="shared" si="20"/>
        <v>303.38113720060829</v>
      </c>
      <c r="AD23">
        <f t="shared" si="21"/>
        <v>160.66418309214316</v>
      </c>
      <c r="AE23">
        <f t="shared" si="22"/>
        <v>48.576067765188746</v>
      </c>
      <c r="AF23">
        <f t="shared" si="23"/>
        <v>0.182304126511875</v>
      </c>
      <c r="AG23">
        <f t="shared" si="24"/>
        <v>-2.2154435462740594</v>
      </c>
      <c r="AH23">
        <f t="shared" si="25"/>
        <v>-3.2642892483239621</v>
      </c>
      <c r="AI23">
        <f t="shared" si="26"/>
        <v>0.34903036785422614</v>
      </c>
      <c r="AJ23">
        <f t="shared" si="27"/>
        <v>0</v>
      </c>
      <c r="AK23">
        <f t="shared" si="28"/>
        <v>208.23650112829819</v>
      </c>
      <c r="AL23">
        <f t="shared" si="29"/>
        <v>57.689031480806271</v>
      </c>
      <c r="AM23">
        <f t="shared" si="30"/>
        <v>55.687776212083747</v>
      </c>
      <c r="AN23">
        <f t="shared" si="31"/>
        <v>56.688403846445013</v>
      </c>
    </row>
    <row r="24" spans="1:42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0.18495311800280445</v>
      </c>
      <c r="F24">
        <f>Align!G24</f>
        <v>0.38022277732041276</v>
      </c>
      <c r="G24">
        <f t="shared" si="0"/>
        <v>7.0278516536758504</v>
      </c>
      <c r="H24">
        <f t="shared" si="1"/>
        <v>2.7769360266922449</v>
      </c>
      <c r="I24">
        <f t="shared" si="2"/>
        <v>6.5638255418953904</v>
      </c>
      <c r="J24">
        <f t="shared" si="3"/>
        <v>3.1928650054990402</v>
      </c>
      <c r="K24">
        <f t="shared" si="4"/>
        <v>34.142840776954486</v>
      </c>
      <c r="L24">
        <f t="shared" si="5"/>
        <v>5.8063826995266035E-2</v>
      </c>
      <c r="M24">
        <f t="shared" si="32"/>
        <v>1.5044517984643905E-2</v>
      </c>
      <c r="N24">
        <f t="shared" si="33"/>
        <v>0.80130154357848637</v>
      </c>
      <c r="O24">
        <f t="shared" si="6"/>
        <v>0.68850927419248997</v>
      </c>
      <c r="P24">
        <f t="shared" si="7"/>
        <v>0.59364364976539974</v>
      </c>
      <c r="Q24">
        <f t="shared" si="8"/>
        <v>6.5103732245499559</v>
      </c>
      <c r="R24">
        <f t="shared" si="9"/>
        <v>-2.275203663292924E-2</v>
      </c>
      <c r="S24">
        <f t="shared" si="10"/>
        <v>6.8732117062568898</v>
      </c>
      <c r="T24">
        <f t="shared" si="11"/>
        <v>2.715832682126214</v>
      </c>
      <c r="U24">
        <f t="shared" si="12"/>
        <v>6.4193959655916508</v>
      </c>
      <c r="V24">
        <f t="shared" si="13"/>
        <v>3.1226096129698075</v>
      </c>
      <c r="W24">
        <f t="shared" si="14"/>
        <v>268.28365618330525</v>
      </c>
      <c r="X24">
        <f t="shared" si="15"/>
        <v>63.480636272708274</v>
      </c>
      <c r="Y24">
        <f t="shared" si="16"/>
        <v>307.5567964408437</v>
      </c>
      <c r="Z24">
        <f t="shared" si="17"/>
        <v>165.13375442668689</v>
      </c>
      <c r="AA24">
        <f t="shared" si="18"/>
        <v>48.018866803968052</v>
      </c>
      <c r="AB24">
        <f t="shared" si="19"/>
        <v>12.493376693779318</v>
      </c>
      <c r="AC24">
        <f t="shared" si="20"/>
        <v>304.65352625379296</v>
      </c>
      <c r="AD24">
        <f t="shared" si="21"/>
        <v>161.31469040585341</v>
      </c>
      <c r="AE24">
        <f t="shared" si="22"/>
        <v>48.58803856707803</v>
      </c>
      <c r="AF24">
        <f t="shared" si="23"/>
        <v>0.18270611974038786</v>
      </c>
      <c r="AG24">
        <f t="shared" si="24"/>
        <v>-2.9032701870507367</v>
      </c>
      <c r="AH24">
        <f t="shared" si="25"/>
        <v>-3.8190640208334798</v>
      </c>
      <c r="AI24">
        <f t="shared" si="26"/>
        <v>0.56917176310997775</v>
      </c>
      <c r="AJ24">
        <f t="shared" si="27"/>
        <v>0</v>
      </c>
      <c r="AK24">
        <f t="shared" si="28"/>
        <v>209.0943023551666</v>
      </c>
      <c r="AL24">
        <f t="shared" si="29"/>
        <v>57.820590309834735</v>
      </c>
      <c r="AM24">
        <f t="shared" si="30"/>
        <v>55.772761433335283</v>
      </c>
      <c r="AN24">
        <f t="shared" si="31"/>
        <v>56.796675871585009</v>
      </c>
    </row>
    <row r="25" spans="1:42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0.18475088415451557</v>
      </c>
      <c r="F25">
        <f>Align!G25</f>
        <v>0.37990972573080195</v>
      </c>
      <c r="G25">
        <f t="shared" si="0"/>
        <v>7.0489620483868389</v>
      </c>
      <c r="H25">
        <f t="shared" si="1"/>
        <v>2.7780318245128113</v>
      </c>
      <c r="I25">
        <f t="shared" si="2"/>
        <v>6.5710105018208003</v>
      </c>
      <c r="J25">
        <f t="shared" si="3"/>
        <v>3.1954959764842168</v>
      </c>
      <c r="K25">
        <f t="shared" si="4"/>
        <v>34.410450766814996</v>
      </c>
      <c r="L25">
        <f t="shared" si="5"/>
        <v>5.7612264757422559E-2</v>
      </c>
      <c r="M25">
        <f t="shared" si="32"/>
        <v>9.9583934185989466E-3</v>
      </c>
      <c r="N25">
        <f t="shared" si="33"/>
        <v>0.81125993699708532</v>
      </c>
      <c r="O25">
        <f t="shared" si="6"/>
        <v>0.68832104652654014</v>
      </c>
      <c r="P25">
        <f t="shared" si="7"/>
        <v>0.59348135687728676</v>
      </c>
      <c r="Q25">
        <f t="shared" si="8"/>
        <v>6.5157156479680749</v>
      </c>
      <c r="R25">
        <f t="shared" si="9"/>
        <v>-2.3037978345501586E-2</v>
      </c>
      <c r="S25">
        <f t="shared" si="10"/>
        <v>6.8919729177151901</v>
      </c>
      <c r="T25">
        <f t="shared" si="11"/>
        <v>2.7161616089953009</v>
      </c>
      <c r="U25">
        <f t="shared" si="12"/>
        <v>6.4246659450996866</v>
      </c>
      <c r="V25">
        <f t="shared" si="13"/>
        <v>3.1243283163422793</v>
      </c>
      <c r="W25">
        <f t="shared" si="14"/>
        <v>268.94484560088318</v>
      </c>
      <c r="X25">
        <f t="shared" si="15"/>
        <v>63.60268544106723</v>
      </c>
      <c r="Y25">
        <f t="shared" si="16"/>
        <v>309.4918716717288</v>
      </c>
      <c r="Z25">
        <f t="shared" si="17"/>
        <v>166.75372833412445</v>
      </c>
      <c r="AA25">
        <f t="shared" si="18"/>
        <v>48.069912985597369</v>
      </c>
      <c r="AB25">
        <f t="shared" si="19"/>
        <v>12.665122771765169</v>
      </c>
      <c r="AC25">
        <f t="shared" si="20"/>
        <v>305.49744857470967</v>
      </c>
      <c r="AD25">
        <f t="shared" si="21"/>
        <v>161.74626294247551</v>
      </c>
      <c r="AE25">
        <f t="shared" si="22"/>
        <v>48.595431792311196</v>
      </c>
      <c r="AF25">
        <f t="shared" si="23"/>
        <v>0.18227498690052002</v>
      </c>
      <c r="AG25">
        <f t="shared" si="24"/>
        <v>-3.994423097019137</v>
      </c>
      <c r="AH25">
        <f t="shared" si="25"/>
        <v>-5.0074653916489353</v>
      </c>
      <c r="AI25">
        <f t="shared" si="26"/>
        <v>0.52551880671382634</v>
      </c>
      <c r="AJ25">
        <f t="shared" si="27"/>
        <v>0</v>
      </c>
      <c r="AK25">
        <f t="shared" si="28"/>
        <v>209.66332481988692</v>
      </c>
      <c r="AL25">
        <f t="shared" si="29"/>
        <v>57.907496201833553</v>
      </c>
      <c r="AM25">
        <f t="shared" si="30"/>
        <v>55.828460401529675</v>
      </c>
      <c r="AN25">
        <f t="shared" si="31"/>
        <v>56.867978301681617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82CD2-B254-4160-A7AB-433C62BDE082}">
  <dimension ref="A3:AT25"/>
  <sheetViews>
    <sheetView workbookViewId="0"/>
  </sheetViews>
  <sheetFormatPr defaultRowHeight="15" x14ac:dyDescent="0.25"/>
  <sheetData>
    <row r="3" spans="1:46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  <c r="O3" t="s">
        <v>93</v>
      </c>
      <c r="P3" t="s">
        <v>41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94</v>
      </c>
      <c r="Z3" t="s">
        <v>95</v>
      </c>
      <c r="AA3" t="s">
        <v>96</v>
      </c>
      <c r="AB3" t="s">
        <v>54</v>
      </c>
      <c r="AC3" t="s">
        <v>55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65</v>
      </c>
      <c r="AN3" t="s">
        <v>66</v>
      </c>
      <c r="AP3" t="s">
        <v>67</v>
      </c>
      <c r="AS3" t="s">
        <v>80</v>
      </c>
    </row>
    <row r="4" spans="1:46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0.20291614843494321</v>
      </c>
      <c r="F4">
        <f>Align!G4</f>
        <v>0.41955125799861193</v>
      </c>
      <c r="G4">
        <f t="shared" ref="G4:G25" si="0">2*Lfin_100/C4</f>
        <v>6.1431082084309132</v>
      </c>
      <c r="H4">
        <f t="shared" ref="H4:H25" si="1">2*Lfin_100/D4</f>
        <v>2.7557757329741848</v>
      </c>
      <c r="I4">
        <f t="shared" ref="I4:I25" si="2">2*Lfin_111/E4</f>
        <v>5.9827668195132313</v>
      </c>
      <c r="J4">
        <f t="shared" ref="J4:J25" si="3">2*Lfin_111/F4</f>
        <v>2.8935677747485538</v>
      </c>
      <c r="K4">
        <f t="shared" ref="K4:K25" si="4">(1/3)*I4^2-(4/3)*J4^2+(2/3)*G4^2</f>
        <v>25.926039289799263</v>
      </c>
      <c r="L4">
        <f t="shared" ref="L4:L25" si="5">4*Lfin_100^2/K4</f>
        <v>7.6466134215109782E-2</v>
      </c>
      <c r="M4">
        <v>0</v>
      </c>
      <c r="N4">
        <v>0</v>
      </c>
      <c r="O4">
        <f t="shared" ref="O4:O25" si="6">Lfin_100/(1+N4*scal_100)</f>
        <v>0.70399999999999996</v>
      </c>
      <c r="P4">
        <f t="shared" ref="P4:P25" si="7">O4*Lfin_111/Lfin_100</f>
        <v>0.60699999999999998</v>
      </c>
      <c r="Q4">
        <f t="shared" ref="Q4:Q25" si="8">rho_100*(Lfin_100/O4)^3</f>
        <v>6.09</v>
      </c>
      <c r="R4">
        <f t="shared" ref="R4:R25" si="9">0.5*(1-(Lfin_100/O4)^2)</f>
        <v>0</v>
      </c>
      <c r="S4">
        <f t="shared" ref="S4:S25" si="10">2*O4/C4</f>
        <v>6.1431082084309132</v>
      </c>
      <c r="T4">
        <f t="shared" ref="T4:T25" si="11">2*O4/D4</f>
        <v>2.7557757329741848</v>
      </c>
      <c r="U4">
        <f t="shared" ref="U4:U25" si="12">2*P4/E4</f>
        <v>5.9827668195132313</v>
      </c>
      <c r="V4">
        <f t="shared" ref="V4:V25" si="13">2*P4/F4</f>
        <v>2.8935677747485538</v>
      </c>
      <c r="W4">
        <f t="shared" ref="W4:W25" si="14">Q4*U4^2</f>
        <v>217.98240779351096</v>
      </c>
      <c r="X4">
        <f t="shared" ref="X4:X25" si="15">Q4*V4^2</f>
        <v>50.989952904415482</v>
      </c>
      <c r="Y4">
        <f t="shared" ref="Y4:Y25" si="16">Q4*S4^2</f>
        <v>229.82307082439178</v>
      </c>
      <c r="Z4">
        <f t="shared" ref="Z4:Z25" si="17">Y4+AA4-3*X4</f>
        <v>121.92283350012039</v>
      </c>
      <c r="AA4">
        <f t="shared" ref="AA4:AA25" si="18">X4+0.5*W4-0.5*Y4</f>
        <v>45.069621388975065</v>
      </c>
      <c r="AB4">
        <f t="shared" ref="AB4:AB25" si="19">-3*$AP$11*((1-2*R4)^2.5)*(1+1.5*(4-$AP$12)*R4)*R4</f>
        <v>0</v>
      </c>
      <c r="AC4">
        <f t="shared" ref="AC4:AC25" si="20">((1-2*R4)^3.5)*($AP$4-$AP$14*R4)+3*AB4</f>
        <v>240.98565584741851</v>
      </c>
      <c r="AD4">
        <f t="shared" ref="AD4:AD25" si="21">((1-2*R4)^3.5)*($AP$5-$AP$15*R4)+1*AB4</f>
        <v>123.40647219659995</v>
      </c>
      <c r="AE4">
        <f t="shared" ref="AE4:AE25" si="22">((1-2*R4)^3.5)*($AP$6-$AP$16*R4)+1*AB4</f>
        <v>41.158974994648382</v>
      </c>
      <c r="AF4">
        <f t="shared" ref="AF4:AF25" si="23">AB4-B4</f>
        <v>0</v>
      </c>
      <c r="AG4">
        <f t="shared" ref="AG4:AG25" si="24">AC4-Y4</f>
        <v>11.162585023026736</v>
      </c>
      <c r="AH4">
        <f t="shared" ref="AH4:AH25" si="25">AD4-Z4</f>
        <v>1.4836386964795594</v>
      </c>
      <c r="AI4">
        <f t="shared" ref="AI4:AI25" si="26">AE4-AA4</f>
        <v>-3.9106463943266832</v>
      </c>
      <c r="AJ4">
        <f t="shared" ref="AJ4:AJ25" si="27">IF(AND(A4&gt;=CutoffLowBar,A4&lt;=CutoffOilBar),AF4^2+AG4^2+AH4^2+AI4^2,0)</f>
        <v>0</v>
      </c>
      <c r="AK4">
        <f t="shared" ref="AK4:AK25" si="28">(AC4+2*AD4)/3</f>
        <v>162.59953341353946</v>
      </c>
      <c r="AL4">
        <f t="shared" ref="AL4:AL25" si="29">(AC4-AD4+3*AE4)/5</f>
        <v>48.211221726952736</v>
      </c>
      <c r="AM4">
        <f t="shared" ref="AM4:AM25" si="30">5*(AC4-AD4)*AE4/(3*(AC4-AD4)+4*AE4)</f>
        <v>46.76929857017506</v>
      </c>
      <c r="AN4">
        <f t="shared" ref="AN4:AN25" si="31">(AL4+AM4)/2</f>
        <v>47.490260148563898</v>
      </c>
      <c r="AO4" t="s">
        <v>68</v>
      </c>
      <c r="AP4">
        <v>240.98565584741851</v>
      </c>
      <c r="AS4" t="s">
        <v>68</v>
      </c>
      <c r="AT4">
        <f>$AP$4</f>
        <v>240.98565584741851</v>
      </c>
    </row>
    <row r="5" spans="1:46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0.20282185216281789</v>
      </c>
      <c r="F5">
        <f>Align!G5</f>
        <v>0.41875595960981177</v>
      </c>
      <c r="G5">
        <f t="shared" si="0"/>
        <v>6.2648579009706697</v>
      </c>
      <c r="H5">
        <f t="shared" si="1"/>
        <v>2.7758410930082182</v>
      </c>
      <c r="I5">
        <f t="shared" si="2"/>
        <v>5.985548337392391</v>
      </c>
      <c r="J5">
        <f t="shared" si="3"/>
        <v>2.8990632184224441</v>
      </c>
      <c r="K5">
        <f t="shared" si="4"/>
        <v>26.901802586776824</v>
      </c>
      <c r="L5">
        <f t="shared" si="5"/>
        <v>7.3692608278021113E-2</v>
      </c>
      <c r="M5">
        <f t="shared" ref="M5:M25" si="32">0.5*(B5-B4)*(L5+L4)</f>
        <v>9.6952175488356964E-3</v>
      </c>
      <c r="N5">
        <f t="shared" ref="N5:N25" si="33">N4+M5</f>
        <v>9.6952175488356964E-3</v>
      </c>
      <c r="O5">
        <f t="shared" si="6"/>
        <v>0.7038084077215786</v>
      </c>
      <c r="P5">
        <f t="shared" si="7"/>
        <v>0.60683480608948615</v>
      </c>
      <c r="Q5">
        <f t="shared" si="8"/>
        <v>6.094974853751328</v>
      </c>
      <c r="R5">
        <f t="shared" si="9"/>
        <v>-2.7225925998553002E-4</v>
      </c>
      <c r="S5">
        <f t="shared" si="10"/>
        <v>6.2631529316535772</v>
      </c>
      <c r="T5">
        <f t="shared" si="11"/>
        <v>2.7750856530656827</v>
      </c>
      <c r="U5">
        <f t="shared" si="12"/>
        <v>5.9839193816486951</v>
      </c>
      <c r="V5">
        <f t="shared" si="13"/>
        <v>2.8982742438097953</v>
      </c>
      <c r="W5">
        <f t="shared" si="14"/>
        <v>218.24453923815423</v>
      </c>
      <c r="X5">
        <f t="shared" si="15"/>
        <v>51.197749716931192</v>
      </c>
      <c r="Y5">
        <f t="shared" si="16"/>
        <v>239.08809449896128</v>
      </c>
      <c r="Z5">
        <f t="shared" si="17"/>
        <v>126.27081743469537</v>
      </c>
      <c r="AA5">
        <f t="shared" si="18"/>
        <v>40.775972086527659</v>
      </c>
      <c r="AB5">
        <f t="shared" si="19"/>
        <v>0.13297301070752768</v>
      </c>
      <c r="AC5">
        <f t="shared" si="20"/>
        <v>241.69252548486352</v>
      </c>
      <c r="AD5">
        <f t="shared" si="21"/>
        <v>123.79350547047807</v>
      </c>
      <c r="AE5">
        <f t="shared" si="22"/>
        <v>41.224017322901027</v>
      </c>
      <c r="AF5">
        <f t="shared" si="23"/>
        <v>3.8401025882523476E-3</v>
      </c>
      <c r="AG5">
        <f t="shared" si="24"/>
        <v>2.6044309859022405</v>
      </c>
      <c r="AH5">
        <f t="shared" si="25"/>
        <v>-2.4773119642173071</v>
      </c>
      <c r="AI5">
        <f t="shared" si="26"/>
        <v>0.44804523637336757</v>
      </c>
      <c r="AJ5">
        <f t="shared" si="27"/>
        <v>0</v>
      </c>
      <c r="AK5">
        <f t="shared" si="28"/>
        <v>163.09317880860655</v>
      </c>
      <c r="AL5">
        <f t="shared" si="29"/>
        <v>48.314214396617707</v>
      </c>
      <c r="AM5">
        <f t="shared" si="30"/>
        <v>46.860158460455558</v>
      </c>
      <c r="AN5">
        <f t="shared" si="31"/>
        <v>47.587186428536633</v>
      </c>
      <c r="AO5" t="s">
        <v>69</v>
      </c>
      <c r="AP5">
        <v>123.40647219659995</v>
      </c>
      <c r="AS5" t="s">
        <v>69</v>
      </c>
      <c r="AT5">
        <f>$AP$5</f>
        <v>123.40647219659995</v>
      </c>
    </row>
    <row r="6" spans="1:46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0.20068313946370661</v>
      </c>
      <c r="F6">
        <f>Align!G6</f>
        <v>0.41032240249009772</v>
      </c>
      <c r="G6">
        <f t="shared" si="0"/>
        <v>6.3726059035918201</v>
      </c>
      <c r="H6">
        <f t="shared" si="1"/>
        <v>2.7835238115389078</v>
      </c>
      <c r="I6">
        <f t="shared" si="2"/>
        <v>6.0493372948231707</v>
      </c>
      <c r="J6">
        <f t="shared" si="3"/>
        <v>2.9586490833370895</v>
      </c>
      <c r="K6">
        <f t="shared" si="4"/>
        <v>27.600092039399847</v>
      </c>
      <c r="L6">
        <f t="shared" si="5"/>
        <v>7.1828166267343632E-2</v>
      </c>
      <c r="M6">
        <f t="shared" si="32"/>
        <v>0.10961720471808288</v>
      </c>
      <c r="N6">
        <f t="shared" si="33"/>
        <v>0.11931242226691857</v>
      </c>
      <c r="O6">
        <f t="shared" si="6"/>
        <v>0.70164943731777363</v>
      </c>
      <c r="P6">
        <f t="shared" si="7"/>
        <v>0.60497330746006905</v>
      </c>
      <c r="Q6">
        <f t="shared" si="8"/>
        <v>6.1514107356883576</v>
      </c>
      <c r="R6">
        <f t="shared" si="9"/>
        <v>-3.3556642556548111E-3</v>
      </c>
      <c r="S6">
        <f t="shared" si="10"/>
        <v>6.3513286171919363</v>
      </c>
      <c r="T6">
        <f t="shared" si="11"/>
        <v>2.7742299944984365</v>
      </c>
      <c r="U6">
        <f t="shared" si="12"/>
        <v>6.0291393594575293</v>
      </c>
      <c r="V6">
        <f t="shared" si="13"/>
        <v>2.9487705462275793</v>
      </c>
      <c r="W6">
        <f t="shared" si="14"/>
        <v>223.60698768477531</v>
      </c>
      <c r="X6">
        <f t="shared" si="15"/>
        <v>53.488040262238563</v>
      </c>
      <c r="Y6">
        <f t="shared" si="16"/>
        <v>248.1440656981473</v>
      </c>
      <c r="Z6">
        <f t="shared" si="17"/>
        <v>128.89944616698421</v>
      </c>
      <c r="AA6">
        <f t="shared" si="18"/>
        <v>41.219501255552558</v>
      </c>
      <c r="AB6">
        <f t="shared" si="19"/>
        <v>1.6620937580814641</v>
      </c>
      <c r="AC6">
        <f t="shared" si="20"/>
        <v>249.77067120655613</v>
      </c>
      <c r="AD6">
        <f t="shared" si="21"/>
        <v>128.22736250216184</v>
      </c>
      <c r="AE6">
        <f t="shared" si="22"/>
        <v>41.952052948173367</v>
      </c>
      <c r="AF6">
        <f t="shared" si="23"/>
        <v>2.6410255237162117E-2</v>
      </c>
      <c r="AG6">
        <f t="shared" si="24"/>
        <v>1.6266055084088293</v>
      </c>
      <c r="AH6">
        <f t="shared" si="25"/>
        <v>-0.6720836648223667</v>
      </c>
      <c r="AI6">
        <f t="shared" si="26"/>
        <v>0.73255169262080955</v>
      </c>
      <c r="AJ6">
        <f t="shared" si="27"/>
        <v>0</v>
      </c>
      <c r="AK6">
        <f t="shared" si="28"/>
        <v>168.74179873695994</v>
      </c>
      <c r="AL6">
        <f t="shared" si="29"/>
        <v>49.479893509782883</v>
      </c>
      <c r="AM6">
        <f t="shared" si="30"/>
        <v>47.883415548684106</v>
      </c>
      <c r="AN6">
        <f t="shared" si="31"/>
        <v>48.681654529233498</v>
      </c>
      <c r="AO6" t="s">
        <v>70</v>
      </c>
      <c r="AP6">
        <v>41.158974994648382</v>
      </c>
      <c r="AS6" t="s">
        <v>70</v>
      </c>
      <c r="AT6">
        <f>$AP$6</f>
        <v>41.158974994648382</v>
      </c>
    </row>
    <row r="7" spans="1:46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0.19907985057124322</v>
      </c>
      <c r="F7">
        <f>Align!G7</f>
        <v>0.40614708298662372</v>
      </c>
      <c r="G7">
        <f t="shared" si="0"/>
        <v>6.4366973655154416</v>
      </c>
      <c r="H7">
        <f t="shared" si="1"/>
        <v>2.7835238115389078</v>
      </c>
      <c r="I7">
        <f t="shared" si="2"/>
        <v>6.098055611939265</v>
      </c>
      <c r="J7">
        <f t="shared" si="3"/>
        <v>2.9890649246395857</v>
      </c>
      <c r="K7">
        <f t="shared" si="4"/>
        <v>28.103463900642737</v>
      </c>
      <c r="L7">
        <f t="shared" si="5"/>
        <v>7.054162458438655E-2</v>
      </c>
      <c r="M7">
        <f t="shared" si="32"/>
        <v>6.1282083736729651E-2</v>
      </c>
      <c r="N7">
        <f t="shared" si="33"/>
        <v>0.18059450600364824</v>
      </c>
      <c r="O7">
        <f t="shared" si="6"/>
        <v>0.70044821588527983</v>
      </c>
      <c r="P7">
        <f t="shared" si="7"/>
        <v>0.60393759523063184</v>
      </c>
      <c r="Q7">
        <f t="shared" si="8"/>
        <v>6.1831128036596406</v>
      </c>
      <c r="R7">
        <f t="shared" si="9"/>
        <v>-5.083586629164194E-3</v>
      </c>
      <c r="S7">
        <f t="shared" si="10"/>
        <v>6.4042232753817787</v>
      </c>
      <c r="T7">
        <f t="shared" si="11"/>
        <v>2.7694805222537244</v>
      </c>
      <c r="U7">
        <f t="shared" si="12"/>
        <v>6.067290019534199</v>
      </c>
      <c r="V7">
        <f t="shared" si="13"/>
        <v>2.9739846500412868</v>
      </c>
      <c r="W7">
        <f t="shared" si="14"/>
        <v>227.61279911322583</v>
      </c>
      <c r="X7">
        <f t="shared" si="15"/>
        <v>54.687064893467834</v>
      </c>
      <c r="Y7">
        <f t="shared" si="16"/>
        <v>253.59465696774524</v>
      </c>
      <c r="Z7">
        <f t="shared" si="17"/>
        <v>131.22959825354985</v>
      </c>
      <c r="AA7">
        <f t="shared" si="18"/>
        <v>41.696135966208132</v>
      </c>
      <c r="AB7">
        <f t="shared" si="19"/>
        <v>2.5377294987745449</v>
      </c>
      <c r="AC7">
        <f t="shared" si="20"/>
        <v>254.35610026614862</v>
      </c>
      <c r="AD7">
        <f t="shared" si="21"/>
        <v>130.75298571230834</v>
      </c>
      <c r="AE7">
        <f t="shared" si="22"/>
        <v>42.352882078289831</v>
      </c>
      <c r="AF7">
        <f t="shared" si="23"/>
        <v>4.115994180164817E-2</v>
      </c>
      <c r="AG7">
        <f t="shared" si="24"/>
        <v>0.76144329840337832</v>
      </c>
      <c r="AH7">
        <f t="shared" si="25"/>
        <v>-0.47661254124150787</v>
      </c>
      <c r="AI7">
        <f t="shared" si="26"/>
        <v>0.65674611208169864</v>
      </c>
      <c r="AJ7">
        <f t="shared" si="27"/>
        <v>0</v>
      </c>
      <c r="AK7">
        <f t="shared" si="28"/>
        <v>171.95402389692177</v>
      </c>
      <c r="AL7">
        <f t="shared" si="29"/>
        <v>50.132352157741948</v>
      </c>
      <c r="AM7">
        <f t="shared" si="30"/>
        <v>48.451924081281199</v>
      </c>
      <c r="AN7">
        <f t="shared" si="31"/>
        <v>49.292138119511577</v>
      </c>
      <c r="AO7" t="s">
        <v>71</v>
      </c>
      <c r="AP7">
        <v>5.3185898519142603</v>
      </c>
      <c r="AS7" t="s">
        <v>71</v>
      </c>
      <c r="AT7">
        <f>$AP$7</f>
        <v>5.3185898519142603</v>
      </c>
    </row>
    <row r="8" spans="1:46" x14ac:dyDescent="0.25">
      <c r="A8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0.19731088611066464</v>
      </c>
      <c r="F8">
        <f>Align!G8</f>
        <v>0.40204930534036237</v>
      </c>
      <c r="G8">
        <f t="shared" si="0"/>
        <v>6.5020911040778779</v>
      </c>
      <c r="H8">
        <f t="shared" si="1"/>
        <v>2.7868294391394235</v>
      </c>
      <c r="I8">
        <f t="shared" si="2"/>
        <v>6.1527269170496286</v>
      </c>
      <c r="J8">
        <f t="shared" si="3"/>
        <v>3.0195301518361424</v>
      </c>
      <c r="K8">
        <f t="shared" si="4"/>
        <v>28.646725538618</v>
      </c>
      <c r="L8">
        <f t="shared" si="5"/>
        <v>6.9203860571341216E-2</v>
      </c>
      <c r="M8">
        <f t="shared" si="32"/>
        <v>6.6167716613900293E-2</v>
      </c>
      <c r="N8">
        <f t="shared" si="33"/>
        <v>0.24676222261754854</v>
      </c>
      <c r="O8">
        <f t="shared" si="6"/>
        <v>0.69915583804312165</v>
      </c>
      <c r="P8">
        <f t="shared" si="7"/>
        <v>0.60282328649456651</v>
      </c>
      <c r="Q8">
        <f t="shared" si="8"/>
        <v>6.2174643647565482</v>
      </c>
      <c r="R8">
        <f t="shared" si="9"/>
        <v>-6.9525895241605573E-3</v>
      </c>
      <c r="S8">
        <f t="shared" si="10"/>
        <v>6.4573507882163286</v>
      </c>
      <c r="T8">
        <f t="shared" si="11"/>
        <v>2.7676535113704066</v>
      </c>
      <c r="U8">
        <f t="shared" si="12"/>
        <v>6.1103905453697518</v>
      </c>
      <c r="V8">
        <f t="shared" si="13"/>
        <v>2.9987530309708417</v>
      </c>
      <c r="W8">
        <f t="shared" si="14"/>
        <v>232.14067498730418</v>
      </c>
      <c r="X8">
        <f t="shared" si="15"/>
        <v>55.910671037525262</v>
      </c>
      <c r="Y8">
        <f t="shared" si="16"/>
        <v>259.25196929266104</v>
      </c>
      <c r="Z8">
        <f t="shared" si="17"/>
        <v>133.87498006493212</v>
      </c>
      <c r="AA8">
        <f t="shared" si="18"/>
        <v>42.355023884846815</v>
      </c>
      <c r="AB8">
        <f t="shared" si="19"/>
        <v>3.5001176548116071</v>
      </c>
      <c r="AC8">
        <f t="shared" si="20"/>
        <v>259.36330679429824</v>
      </c>
      <c r="AD8">
        <f t="shared" si="21"/>
        <v>133.51817439842719</v>
      </c>
      <c r="AE8">
        <f t="shared" si="22"/>
        <v>42.780370839354418</v>
      </c>
      <c r="AF8">
        <f t="shared" si="23"/>
        <v>5.6573438297256473E-2</v>
      </c>
      <c r="AG8">
        <f t="shared" si="24"/>
        <v>0.11133750163719469</v>
      </c>
      <c r="AH8">
        <f t="shared" si="25"/>
        <v>-0.35680566650492551</v>
      </c>
      <c r="AI8">
        <f t="shared" si="26"/>
        <v>0.42534695450760296</v>
      </c>
      <c r="AJ8">
        <f t="shared" si="27"/>
        <v>0.32382690855050278</v>
      </c>
      <c r="AK8">
        <f t="shared" si="28"/>
        <v>175.46655186371754</v>
      </c>
      <c r="AL8">
        <f t="shared" si="29"/>
        <v>50.837248982786861</v>
      </c>
      <c r="AM8">
        <f t="shared" si="30"/>
        <v>49.062552782304458</v>
      </c>
      <c r="AN8">
        <f t="shared" si="31"/>
        <v>49.949900882545663</v>
      </c>
      <c r="AO8" t="s">
        <v>72</v>
      </c>
      <c r="AP8">
        <v>2.9115198162145375</v>
      </c>
      <c r="AS8" t="s">
        <v>72</v>
      </c>
      <c r="AT8">
        <f>$AP$8</f>
        <v>2.9115198162145375</v>
      </c>
    </row>
    <row r="9" spans="1:46" x14ac:dyDescent="0.25">
      <c r="A9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0.19557221353453599</v>
      </c>
      <c r="F9">
        <f>Align!G9</f>
        <v>0.3982834977610536</v>
      </c>
      <c r="G9">
        <f t="shared" si="0"/>
        <v>6.5565916733293026</v>
      </c>
      <c r="H9">
        <f t="shared" si="1"/>
        <v>2.7868294391394235</v>
      </c>
      <c r="I9">
        <f t="shared" si="2"/>
        <v>6.2074257792537608</v>
      </c>
      <c r="J9">
        <f t="shared" si="3"/>
        <v>3.0480800907506538</v>
      </c>
      <c r="K9">
        <f t="shared" si="4"/>
        <v>29.115584862654792</v>
      </c>
      <c r="L9">
        <f t="shared" si="5"/>
        <v>6.8089444514055228E-2</v>
      </c>
      <c r="M9">
        <f t="shared" si="32"/>
        <v>6.7961487712116034E-2</v>
      </c>
      <c r="N9">
        <f t="shared" si="33"/>
        <v>0.31472371032966456</v>
      </c>
      <c r="O9">
        <f t="shared" si="6"/>
        <v>0.69783337988858418</v>
      </c>
      <c r="P9">
        <f t="shared" si="7"/>
        <v>0.60168304203461731</v>
      </c>
      <c r="Q9">
        <f t="shared" si="8"/>
        <v>6.2528793876435484</v>
      </c>
      <c r="R9">
        <f t="shared" si="9"/>
        <v>-8.8758533357308211E-3</v>
      </c>
      <c r="S9">
        <f t="shared" si="10"/>
        <v>6.4991598408362714</v>
      </c>
      <c r="T9">
        <f t="shared" si="11"/>
        <v>2.7624184754086238</v>
      </c>
      <c r="U9">
        <f t="shared" si="12"/>
        <v>6.1530524317388924</v>
      </c>
      <c r="V9">
        <f t="shared" si="13"/>
        <v>3.0213807271301576</v>
      </c>
      <c r="W9">
        <f t="shared" si="14"/>
        <v>236.73435269562677</v>
      </c>
      <c r="X9">
        <f t="shared" si="15"/>
        <v>57.08091954968102</v>
      </c>
      <c r="Y9">
        <f t="shared" si="16"/>
        <v>264.11586416071992</v>
      </c>
      <c r="Z9">
        <f t="shared" si="17"/>
        <v>136.26326932881133</v>
      </c>
      <c r="AA9">
        <f t="shared" si="18"/>
        <v>43.390163817134436</v>
      </c>
      <c r="AB9">
        <f t="shared" si="19"/>
        <v>4.5071053679976414</v>
      </c>
      <c r="AC9">
        <f t="shared" si="20"/>
        <v>264.56737939513749</v>
      </c>
      <c r="AD9">
        <f t="shared" si="21"/>
        <v>136.4000709068188</v>
      </c>
      <c r="AE9">
        <f t="shared" si="22"/>
        <v>43.213434750126453</v>
      </c>
      <c r="AF9">
        <f t="shared" si="23"/>
        <v>7.354218923536493E-2</v>
      </c>
      <c r="AG9">
        <f t="shared" si="24"/>
        <v>0.45151523441757035</v>
      </c>
      <c r="AH9">
        <f t="shared" si="25"/>
        <v>0.13680157800746429</v>
      </c>
      <c r="AI9">
        <f t="shared" si="26"/>
        <v>-0.17672906700798308</v>
      </c>
      <c r="AJ9">
        <f t="shared" si="27"/>
        <v>0.25922229537952823</v>
      </c>
      <c r="AK9">
        <f t="shared" si="28"/>
        <v>179.12250706959171</v>
      </c>
      <c r="AL9">
        <f t="shared" si="29"/>
        <v>51.561522547739607</v>
      </c>
      <c r="AM9">
        <f t="shared" si="30"/>
        <v>49.685954369649174</v>
      </c>
      <c r="AN9">
        <f t="shared" si="31"/>
        <v>50.62373845869439</v>
      </c>
      <c r="AO9" t="s">
        <v>73</v>
      </c>
      <c r="AP9">
        <v>0.49019991408747371</v>
      </c>
      <c r="AS9" t="s">
        <v>73</v>
      </c>
      <c r="AT9">
        <f>$AP$9</f>
        <v>0.49019991408747371</v>
      </c>
    </row>
    <row r="10" spans="1:46" x14ac:dyDescent="0.25">
      <c r="A10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0.19444588691824252</v>
      </c>
      <c r="F10">
        <f>Align!G10</f>
        <v>0.39595434052709966</v>
      </c>
      <c r="G10">
        <f t="shared" si="0"/>
        <v>6.5996168080274185</v>
      </c>
      <c r="H10">
        <f t="shared" si="1"/>
        <v>2.7868294391394235</v>
      </c>
      <c r="I10">
        <f t="shared" si="2"/>
        <v>6.2433822552926674</v>
      </c>
      <c r="J10">
        <f t="shared" si="3"/>
        <v>3.0660100818288973</v>
      </c>
      <c r="K10">
        <f t="shared" si="4"/>
        <v>29.496011574597865</v>
      </c>
      <c r="L10">
        <f t="shared" si="5"/>
        <v>6.721125651128064E-2</v>
      </c>
      <c r="M10">
        <f t="shared" si="32"/>
        <v>4.6591394650611712E-2</v>
      </c>
      <c r="N10">
        <f t="shared" si="33"/>
        <v>0.3613151049802763</v>
      </c>
      <c r="O10">
        <f t="shared" si="6"/>
        <v>0.69692964775629362</v>
      </c>
      <c r="P10">
        <f t="shared" si="7"/>
        <v>0.60090382981259971</v>
      </c>
      <c r="Q10">
        <f t="shared" si="8"/>
        <v>6.2772359017742838</v>
      </c>
      <c r="R10">
        <f t="shared" si="9"/>
        <v>-1.0196461914407928E-2</v>
      </c>
      <c r="S10">
        <f t="shared" si="10"/>
        <v>6.5333361041833298</v>
      </c>
      <c r="T10">
        <f t="shared" si="11"/>
        <v>2.7588409934322553</v>
      </c>
      <c r="U10">
        <f t="shared" si="12"/>
        <v>6.1806792556662113</v>
      </c>
      <c r="V10">
        <f t="shared" si="13"/>
        <v>3.0352177931054807</v>
      </c>
      <c r="W10">
        <f t="shared" si="14"/>
        <v>239.79540851311978</v>
      </c>
      <c r="X10">
        <f t="shared" si="15"/>
        <v>57.829331098988568</v>
      </c>
      <c r="Y10">
        <f t="shared" si="16"/>
        <v>267.94055438618466</v>
      </c>
      <c r="Z10">
        <f t="shared" si="17"/>
        <v>138.20931925167505</v>
      </c>
      <c r="AA10">
        <f t="shared" si="18"/>
        <v>43.756758162456123</v>
      </c>
      <c r="AB10">
        <f t="shared" si="19"/>
        <v>5.208395188289126</v>
      </c>
      <c r="AC10">
        <f t="shared" si="20"/>
        <v>268.1710455167127</v>
      </c>
      <c r="AD10">
        <f t="shared" si="21"/>
        <v>138.40045273282178</v>
      </c>
      <c r="AE10">
        <f t="shared" si="22"/>
        <v>43.506643651567487</v>
      </c>
      <c r="AF10">
        <f t="shared" si="23"/>
        <v>8.612316622400229E-2</v>
      </c>
      <c r="AG10">
        <f t="shared" si="24"/>
        <v>0.23049113052803705</v>
      </c>
      <c r="AH10">
        <f t="shared" si="25"/>
        <v>0.19113348114672135</v>
      </c>
      <c r="AI10">
        <f t="shared" si="26"/>
        <v>-0.25011451088863623</v>
      </c>
      <c r="AJ10">
        <f t="shared" si="27"/>
        <v>0.15963263718486556</v>
      </c>
      <c r="AK10">
        <f t="shared" si="28"/>
        <v>181.65731699411876</v>
      </c>
      <c r="AL10">
        <f t="shared" si="29"/>
        <v>52.058104747718673</v>
      </c>
      <c r="AM10">
        <f t="shared" si="30"/>
        <v>50.110940494787549</v>
      </c>
      <c r="AN10">
        <f t="shared" si="31"/>
        <v>51.084522621253114</v>
      </c>
      <c r="AS10" t="s">
        <v>74</v>
      </c>
      <c r="AT10">
        <f>$AP$11</f>
        <v>162.59953341353946</v>
      </c>
    </row>
    <row r="11" spans="1:46" x14ac:dyDescent="0.25">
      <c r="A11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0.19344570800055366</v>
      </c>
      <c r="F11">
        <f>Align!G11</f>
        <v>0.39397038293851272</v>
      </c>
      <c r="G11">
        <f t="shared" si="0"/>
        <v>6.6494850504177183</v>
      </c>
      <c r="H11">
        <f t="shared" si="1"/>
        <v>2.7923563004623602</v>
      </c>
      <c r="I11">
        <f t="shared" si="2"/>
        <v>6.2756626267279367</v>
      </c>
      <c r="J11">
        <f t="shared" si="3"/>
        <v>3.0814499073385169</v>
      </c>
      <c r="K11">
        <f t="shared" si="4"/>
        <v>29.944636716740334</v>
      </c>
      <c r="L11">
        <f t="shared" si="5"/>
        <v>6.620430959817647E-2</v>
      </c>
      <c r="M11">
        <f t="shared" si="32"/>
        <v>4.307085010023963E-2</v>
      </c>
      <c r="N11">
        <f t="shared" si="33"/>
        <v>0.40438595508051595</v>
      </c>
      <c r="O11">
        <f t="shared" si="6"/>
        <v>0.69609628318719585</v>
      </c>
      <c r="P11">
        <f t="shared" si="7"/>
        <v>0.60018528962305095</v>
      </c>
      <c r="Q11">
        <f t="shared" si="8"/>
        <v>6.2998081727128801</v>
      </c>
      <c r="R11">
        <f t="shared" si="9"/>
        <v>-1.1418804791031856E-2</v>
      </c>
      <c r="S11">
        <f t="shared" si="10"/>
        <v>6.5748321430463035</v>
      </c>
      <c r="T11">
        <f t="shared" si="11"/>
        <v>2.7610068779633488</v>
      </c>
      <c r="U11">
        <f t="shared" si="12"/>
        <v>6.2052065752870895</v>
      </c>
      <c r="V11">
        <f t="shared" si="13"/>
        <v>3.0468548683606116</v>
      </c>
      <c r="W11">
        <f t="shared" si="14"/>
        <v>242.57152221373178</v>
      </c>
      <c r="X11">
        <f t="shared" si="15"/>
        <v>58.483164114801049</v>
      </c>
      <c r="Y11">
        <f t="shared" si="16"/>
        <v>272.33073917808389</v>
      </c>
      <c r="Z11">
        <f t="shared" si="17"/>
        <v>140.48480246630572</v>
      </c>
      <c r="AA11">
        <f t="shared" si="18"/>
        <v>43.603555632624989</v>
      </c>
      <c r="AB11">
        <f t="shared" si="19"/>
        <v>5.8646797863487485</v>
      </c>
      <c r="AC11">
        <f t="shared" si="20"/>
        <v>271.52857112169295</v>
      </c>
      <c r="AD11">
        <f t="shared" si="21"/>
        <v>140.26769178488689</v>
      </c>
      <c r="AE11">
        <f t="shared" si="22"/>
        <v>43.774931542852954</v>
      </c>
      <c r="AF11">
        <f t="shared" si="23"/>
        <v>9.6743223687164814E-2</v>
      </c>
      <c r="AG11">
        <f t="shared" si="24"/>
        <v>-0.80216805639093991</v>
      </c>
      <c r="AH11">
        <f t="shared" si="25"/>
        <v>-0.21711068141883061</v>
      </c>
      <c r="AI11">
        <f t="shared" si="26"/>
        <v>0.17137591022796528</v>
      </c>
      <c r="AJ11">
        <f t="shared" si="27"/>
        <v>0.72933959261601544</v>
      </c>
      <c r="AK11">
        <f t="shared" si="28"/>
        <v>184.0213182304889</v>
      </c>
      <c r="AL11">
        <f t="shared" si="29"/>
        <v>52.517134793072977</v>
      </c>
      <c r="AM11">
        <f t="shared" si="30"/>
        <v>50.501969906267057</v>
      </c>
      <c r="AN11">
        <f t="shared" si="31"/>
        <v>51.509552349670017</v>
      </c>
      <c r="AO11" t="s">
        <v>74</v>
      </c>
      <c r="AP11">
        <f>($AP$4+2*$AP$5)/3</f>
        <v>162.59953341353946</v>
      </c>
      <c r="AS11" t="s">
        <v>75</v>
      </c>
      <c r="AT11">
        <f>$AP$12</f>
        <v>3.7138764947811116</v>
      </c>
    </row>
    <row r="12" spans="1:46" x14ac:dyDescent="0.25">
      <c r="A1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0.19224001764408633</v>
      </c>
      <c r="F12">
        <f>Align!G12</f>
        <v>0.39170885995096172</v>
      </c>
      <c r="G12">
        <f t="shared" si="0"/>
        <v>6.6810372216725451</v>
      </c>
      <c r="H12">
        <f t="shared" si="1"/>
        <v>2.7923563004623602</v>
      </c>
      <c r="I12">
        <f t="shared" si="2"/>
        <v>6.3150223084540222</v>
      </c>
      <c r="J12">
        <f t="shared" si="3"/>
        <v>3.0992405945374362</v>
      </c>
      <c r="K12">
        <f t="shared" si="4"/>
        <v>30.243618139901642</v>
      </c>
      <c r="L12">
        <f t="shared" si="5"/>
        <v>6.5549829085576702E-2</v>
      </c>
      <c r="M12">
        <f t="shared" si="32"/>
        <v>5.3877017769120697E-2</v>
      </c>
      <c r="N12">
        <f t="shared" si="33"/>
        <v>0.45826297284963663</v>
      </c>
      <c r="O12">
        <f t="shared" si="6"/>
        <v>0.69505663502427595</v>
      </c>
      <c r="P12">
        <f t="shared" si="7"/>
        <v>0.59928888843712436</v>
      </c>
      <c r="Q12">
        <f t="shared" si="8"/>
        <v>6.3281197602147206</v>
      </c>
      <c r="R12">
        <f t="shared" si="9"/>
        <v>-1.2949883677306318E-2</v>
      </c>
      <c r="S12">
        <f t="shared" si="10"/>
        <v>6.5961637070563306</v>
      </c>
      <c r="T12">
        <f t="shared" si="11"/>
        <v>2.7568832016877898</v>
      </c>
      <c r="U12">
        <f t="shared" si="12"/>
        <v>6.2347985167859212</v>
      </c>
      <c r="V12">
        <f t="shared" si="13"/>
        <v>3.0598689471162319</v>
      </c>
      <c r="W12">
        <f t="shared" si="14"/>
        <v>245.99118038862909</v>
      </c>
      <c r="X12">
        <f t="shared" si="15"/>
        <v>59.248906867169467</v>
      </c>
      <c r="Y12">
        <f t="shared" si="16"/>
        <v>275.33253980718706</v>
      </c>
      <c r="Z12">
        <f t="shared" si="17"/>
        <v>142.16404636356913</v>
      </c>
      <c r="AA12">
        <f t="shared" si="18"/>
        <v>44.578227157890495</v>
      </c>
      <c r="AB12">
        <f t="shared" si="19"/>
        <v>6.6965057768543002</v>
      </c>
      <c r="AC12">
        <f t="shared" si="20"/>
        <v>275.7640096846734</v>
      </c>
      <c r="AD12">
        <f t="shared" si="21"/>
        <v>142.62795567658821</v>
      </c>
      <c r="AE12">
        <f t="shared" si="22"/>
        <v>44.106662410972469</v>
      </c>
      <c r="AF12">
        <f t="shared" si="23"/>
        <v>0.11072746277053724</v>
      </c>
      <c r="AG12">
        <f t="shared" si="24"/>
        <v>0.43146987748633592</v>
      </c>
      <c r="AH12">
        <f t="shared" si="25"/>
        <v>0.46390931301908722</v>
      </c>
      <c r="AI12">
        <f t="shared" si="26"/>
        <v>-0.47156474691802686</v>
      </c>
      <c r="AJ12">
        <f t="shared" si="27"/>
        <v>0.63601198743137866</v>
      </c>
      <c r="AK12">
        <f t="shared" si="28"/>
        <v>187.00664034594993</v>
      </c>
      <c r="AL12">
        <f t="shared" si="29"/>
        <v>53.091208248200516</v>
      </c>
      <c r="AM12">
        <f t="shared" si="30"/>
        <v>50.988468132487299</v>
      </c>
      <c r="AN12">
        <f t="shared" si="31"/>
        <v>52.039838190343907</v>
      </c>
      <c r="AO12" t="s">
        <v>75</v>
      </c>
      <c r="AP12">
        <f>($AP$7+2*$AP$8)/3</f>
        <v>3.7138764947811116</v>
      </c>
      <c r="AS12" t="s">
        <v>81</v>
      </c>
      <c r="AT12">
        <f>AL4</f>
        <v>48.211221726952736</v>
      </c>
    </row>
    <row r="13" spans="1:46" x14ac:dyDescent="0.25">
      <c r="A13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0.19126401652995695</v>
      </c>
      <c r="F13">
        <f>Align!G13</f>
        <v>0.3899965242098074</v>
      </c>
      <c r="G13">
        <f t="shared" si="0"/>
        <v>6.7321482821897369</v>
      </c>
      <c r="H13">
        <f t="shared" si="1"/>
        <v>2.7901429273991463</v>
      </c>
      <c r="I13">
        <f t="shared" si="2"/>
        <v>6.3472472346091084</v>
      </c>
      <c r="J13">
        <f t="shared" si="3"/>
        <v>3.1128482554036849</v>
      </c>
      <c r="K13">
        <f t="shared" si="4"/>
        <v>30.723963799784791</v>
      </c>
      <c r="L13">
        <f t="shared" si="5"/>
        <v>6.4525007675405671E-2</v>
      </c>
      <c r="M13">
        <f t="shared" si="32"/>
        <v>4.4791845184231474E-2</v>
      </c>
      <c r="N13">
        <f t="shared" si="33"/>
        <v>0.50305481803386809</v>
      </c>
      <c r="O13">
        <f t="shared" si="6"/>
        <v>0.69419466184962153</v>
      </c>
      <c r="P13">
        <f t="shared" si="7"/>
        <v>0.59854568145272768</v>
      </c>
      <c r="Q13">
        <f t="shared" si="8"/>
        <v>6.3517216931321601</v>
      </c>
      <c r="R13">
        <f t="shared" si="9"/>
        <v>-1.4224521958359659E-2</v>
      </c>
      <c r="S13">
        <f t="shared" si="10"/>
        <v>6.6383826708468963</v>
      </c>
      <c r="T13">
        <f t="shared" si="11"/>
        <v>2.7512817130652891</v>
      </c>
      <c r="U13">
        <f t="shared" si="12"/>
        <v>6.2588425393542835</v>
      </c>
      <c r="V13">
        <f t="shared" si="13"/>
        <v>3.0694923892743544</v>
      </c>
      <c r="W13">
        <f t="shared" si="14"/>
        <v>248.81669214527145</v>
      </c>
      <c r="X13">
        <f t="shared" si="15"/>
        <v>59.844546821606258</v>
      </c>
      <c r="Y13">
        <f t="shared" si="16"/>
        <v>279.90846226448468</v>
      </c>
      <c r="Z13">
        <f t="shared" si="17"/>
        <v>144.67348356166556</v>
      </c>
      <c r="AA13">
        <f t="shared" si="18"/>
        <v>44.298661761999654</v>
      </c>
      <c r="AB13">
        <f t="shared" si="19"/>
        <v>7.397342073463995</v>
      </c>
      <c r="AC13">
        <f t="shared" si="20"/>
        <v>279.31542707238083</v>
      </c>
      <c r="AD13">
        <f t="shared" si="21"/>
        <v>144.61114203784561</v>
      </c>
      <c r="AE13">
        <f t="shared" si="22"/>
        <v>44.379072392243728</v>
      </c>
      <c r="AF13">
        <f t="shared" si="23"/>
        <v>0.12285491607738397</v>
      </c>
      <c r="AG13">
        <f t="shared" si="24"/>
        <v>-0.59303519210385502</v>
      </c>
      <c r="AH13">
        <f t="shared" si="25"/>
        <v>-6.2341523819952727E-2</v>
      </c>
      <c r="AI13">
        <f t="shared" si="26"/>
        <v>8.0410630244074355E-2</v>
      </c>
      <c r="AJ13">
        <f t="shared" si="27"/>
        <v>0.37713640452648023</v>
      </c>
      <c r="AK13">
        <f t="shared" si="28"/>
        <v>189.51257038269068</v>
      </c>
      <c r="AL13">
        <f t="shared" si="29"/>
        <v>53.568300442253282</v>
      </c>
      <c r="AM13">
        <f t="shared" si="30"/>
        <v>51.390574834917594</v>
      </c>
      <c r="AN13">
        <f t="shared" si="31"/>
        <v>52.479437638585438</v>
      </c>
      <c r="AS13" t="s">
        <v>82</v>
      </c>
      <c r="AT13">
        <f>AM4</f>
        <v>46.76929857017506</v>
      </c>
    </row>
    <row r="14" spans="1:46" x14ac:dyDescent="0.25">
      <c r="A14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0.19049120618688217</v>
      </c>
      <c r="F14">
        <f>Align!G14</f>
        <v>0.38871581605483574</v>
      </c>
      <c r="G14">
        <f t="shared" si="0"/>
        <v>6.7644917206250303</v>
      </c>
      <c r="H14">
        <f t="shared" si="1"/>
        <v>2.7945731879761522</v>
      </c>
      <c r="I14">
        <f t="shared" si="2"/>
        <v>6.3729976007868849</v>
      </c>
      <c r="J14">
        <f t="shared" si="3"/>
        <v>3.1231042058467264</v>
      </c>
      <c r="K14">
        <f t="shared" si="4"/>
        <v>31.038891791378177</v>
      </c>
      <c r="L14">
        <f t="shared" si="5"/>
        <v>6.3870321573487307E-2</v>
      </c>
      <c r="M14">
        <f t="shared" si="32"/>
        <v>3.5923468218829552E-2</v>
      </c>
      <c r="N14">
        <f t="shared" si="33"/>
        <v>0.53897828625269761</v>
      </c>
      <c r="O14">
        <f t="shared" si="6"/>
        <v>0.69350489488108269</v>
      </c>
      <c r="P14">
        <f t="shared" si="7"/>
        <v>0.59795095339888804</v>
      </c>
      <c r="Q14">
        <f t="shared" si="8"/>
        <v>6.3706930092160059</v>
      </c>
      <c r="R14">
        <f t="shared" si="9"/>
        <v>-1.5247936454600763E-2</v>
      </c>
      <c r="S14">
        <f t="shared" si="10"/>
        <v>6.6636478972102502</v>
      </c>
      <c r="T14">
        <f t="shared" si="11"/>
        <v>2.7529121945524055</v>
      </c>
      <c r="U14">
        <f t="shared" si="12"/>
        <v>6.277990101152132</v>
      </c>
      <c r="V14">
        <f t="shared" si="13"/>
        <v>3.07654553121932</v>
      </c>
      <c r="W14">
        <f t="shared" si="14"/>
        <v>251.08914103665674</v>
      </c>
      <c r="X14">
        <f t="shared" si="15"/>
        <v>60.299452848077507</v>
      </c>
      <c r="Y14">
        <f t="shared" si="16"/>
        <v>282.88554753034043</v>
      </c>
      <c r="Z14">
        <f t="shared" si="17"/>
        <v>146.38843858734361</v>
      </c>
      <c r="AA14">
        <f t="shared" si="18"/>
        <v>44.401249601235662</v>
      </c>
      <c r="AB14">
        <f t="shared" si="19"/>
        <v>7.965550939900039</v>
      </c>
      <c r="AC14">
        <f t="shared" si="20"/>
        <v>282.18358290453517</v>
      </c>
      <c r="AD14">
        <f t="shared" si="21"/>
        <v>146.2155057242106</v>
      </c>
      <c r="AE14">
        <f t="shared" si="22"/>
        <v>44.595260487797667</v>
      </c>
      <c r="AF14">
        <f t="shared" si="23"/>
        <v>0.13148784732980001</v>
      </c>
      <c r="AG14">
        <f t="shared" si="24"/>
        <v>-0.70196462580526031</v>
      </c>
      <c r="AH14">
        <f t="shared" si="25"/>
        <v>-0.17293286313301337</v>
      </c>
      <c r="AI14">
        <f t="shared" si="26"/>
        <v>0.19401088656200471</v>
      </c>
      <c r="AJ14">
        <f t="shared" si="27"/>
        <v>0.57758938913330049</v>
      </c>
      <c r="AK14">
        <f t="shared" si="28"/>
        <v>191.53819811765212</v>
      </c>
      <c r="AL14">
        <f t="shared" si="29"/>
        <v>53.950771728743504</v>
      </c>
      <c r="AM14">
        <f t="shared" si="30"/>
        <v>51.711445724745722</v>
      </c>
      <c r="AN14">
        <f t="shared" si="31"/>
        <v>52.831108726744617</v>
      </c>
      <c r="AO14" t="s">
        <v>76</v>
      </c>
      <c r="AP14">
        <f>3*$AP$11*($AP$7-3)-7*$AP$4</f>
        <v>-555.89470663605084</v>
      </c>
      <c r="AS14" t="s">
        <v>83</v>
      </c>
      <c r="AT14">
        <f>AN4</f>
        <v>47.490260148563898</v>
      </c>
    </row>
    <row r="15" spans="1:46" x14ac:dyDescent="0.25">
      <c r="A15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0.18956204408307292</v>
      </c>
      <c r="F15">
        <f>Align!G15</f>
        <v>0.38725209804704125</v>
      </c>
      <c r="G15">
        <f t="shared" si="0"/>
        <v>6.7905910940533678</v>
      </c>
      <c r="H15">
        <f t="shared" si="1"/>
        <v>2.7934643043899849</v>
      </c>
      <c r="I15">
        <f t="shared" si="2"/>
        <v>6.4042356468153585</v>
      </c>
      <c r="J15">
        <f t="shared" si="3"/>
        <v>3.1349087742128385</v>
      </c>
      <c r="K15">
        <f t="shared" si="4"/>
        <v>31.309292314222596</v>
      </c>
      <c r="L15">
        <f t="shared" si="5"/>
        <v>6.3318709988837513E-2</v>
      </c>
      <c r="M15">
        <f t="shared" si="32"/>
        <v>4.379810540404902E-2</v>
      </c>
      <c r="N15">
        <f t="shared" si="33"/>
        <v>0.58277639165674666</v>
      </c>
      <c r="O15">
        <f t="shared" si="6"/>
        <v>0.69266577903807924</v>
      </c>
      <c r="P15">
        <f t="shared" si="7"/>
        <v>0.59722745436948022</v>
      </c>
      <c r="Q15">
        <f t="shared" si="8"/>
        <v>6.3938740073735909</v>
      </c>
      <c r="R15">
        <f t="shared" si="9"/>
        <v>-1.6497065838739333E-2</v>
      </c>
      <c r="S15">
        <f t="shared" si="10"/>
        <v>6.6812643043913624</v>
      </c>
      <c r="T15">
        <f t="shared" si="11"/>
        <v>2.7484902395104478</v>
      </c>
      <c r="U15">
        <f t="shared" si="12"/>
        <v>6.3011290815977237</v>
      </c>
      <c r="V15">
        <f t="shared" si="13"/>
        <v>3.084437540203758</v>
      </c>
      <c r="W15">
        <f t="shared" si="14"/>
        <v>253.86382949277649</v>
      </c>
      <c r="X15">
        <f t="shared" si="15"/>
        <v>60.829750419668201</v>
      </c>
      <c r="Y15">
        <f t="shared" si="16"/>
        <v>285.41801333489906</v>
      </c>
      <c r="Z15">
        <f t="shared" si="17"/>
        <v>147.98142057450139</v>
      </c>
      <c r="AA15">
        <f t="shared" si="18"/>
        <v>45.052658498606917</v>
      </c>
      <c r="AB15">
        <f t="shared" si="19"/>
        <v>8.665747325149086</v>
      </c>
      <c r="AC15">
        <f t="shared" si="20"/>
        <v>285.70448984717734</v>
      </c>
      <c r="AD15">
        <f t="shared" si="21"/>
        <v>148.18832061586292</v>
      </c>
      <c r="AE15">
        <f t="shared" si="22"/>
        <v>44.856006774074174</v>
      </c>
      <c r="AF15">
        <f t="shared" si="23"/>
        <v>0.14297538927599973</v>
      </c>
      <c r="AG15">
        <f t="shared" si="24"/>
        <v>0.28647651227828419</v>
      </c>
      <c r="AH15">
        <f t="shared" si="25"/>
        <v>0.20690004136153561</v>
      </c>
      <c r="AI15">
        <f t="shared" si="26"/>
        <v>-0.19665172453274238</v>
      </c>
      <c r="AJ15">
        <f t="shared" si="27"/>
        <v>0.18399028190286032</v>
      </c>
      <c r="AK15">
        <f t="shared" si="28"/>
        <v>194.02704369296771</v>
      </c>
      <c r="AL15">
        <f t="shared" si="29"/>
        <v>54.416837910707386</v>
      </c>
      <c r="AM15">
        <f t="shared" si="30"/>
        <v>52.100611566128613</v>
      </c>
      <c r="AN15">
        <f t="shared" si="31"/>
        <v>53.258724738417996</v>
      </c>
      <c r="AO15" t="s">
        <v>77</v>
      </c>
      <c r="AP15">
        <f>3*$AP$11*($AP$8-1)-7*$AP$5</f>
        <v>68.591385305455788</v>
      </c>
      <c r="AS15" t="s">
        <v>84</v>
      </c>
      <c r="AT15">
        <f>$AP$18</f>
        <v>3.5899280017322237</v>
      </c>
    </row>
    <row r="16" spans="1:46" x14ac:dyDescent="0.25">
      <c r="A16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0.18876987732243708</v>
      </c>
      <c r="F16">
        <f>Align!G16</f>
        <v>0.38605195687015897</v>
      </c>
      <c r="G16">
        <f t="shared" si="0"/>
        <v>6.8234998991995166</v>
      </c>
      <c r="H16">
        <f t="shared" si="1"/>
        <v>2.791249175146965</v>
      </c>
      <c r="I16">
        <f t="shared" si="2"/>
        <v>6.4311108171478617</v>
      </c>
      <c r="J16">
        <f t="shared" si="3"/>
        <v>3.1446544393720175</v>
      </c>
      <c r="K16">
        <f t="shared" si="4"/>
        <v>31.641360639646436</v>
      </c>
      <c r="L16">
        <f t="shared" si="5"/>
        <v>6.2654195645303071E-2</v>
      </c>
      <c r="M16">
        <f t="shared" si="32"/>
        <v>3.795691118047291E-2</v>
      </c>
      <c r="N16">
        <f t="shared" si="33"/>
        <v>0.62073330283721961</v>
      </c>
      <c r="O16">
        <f t="shared" si="6"/>
        <v>0.6919402137443873</v>
      </c>
      <c r="P16">
        <f t="shared" si="7"/>
        <v>0.59660186043017482</v>
      </c>
      <c r="Q16">
        <f t="shared" si="8"/>
        <v>6.4140088656839449</v>
      </c>
      <c r="R16">
        <f t="shared" si="9"/>
        <v>-1.7580826601888311E-2</v>
      </c>
      <c r="S16">
        <f t="shared" si="10"/>
        <v>6.7066107652513054</v>
      </c>
      <c r="T16">
        <f t="shared" si="11"/>
        <v>2.7434340211151076</v>
      </c>
      <c r="U16">
        <f t="shared" si="12"/>
        <v>6.3209434565783136</v>
      </c>
      <c r="V16">
        <f t="shared" si="13"/>
        <v>3.0907853195047017</v>
      </c>
      <c r="W16">
        <f t="shared" si="14"/>
        <v>256.2674023490311</v>
      </c>
      <c r="X16">
        <f t="shared" si="15"/>
        <v>61.272730952048661</v>
      </c>
      <c r="Y16">
        <f t="shared" si="16"/>
        <v>288.49331847983404</v>
      </c>
      <c r="Z16">
        <f t="shared" si="17"/>
        <v>149.83489851033528</v>
      </c>
      <c r="AA16">
        <f t="shared" si="18"/>
        <v>45.159772886647175</v>
      </c>
      <c r="AB16">
        <f t="shared" si="19"/>
        <v>9.2792080940176795</v>
      </c>
      <c r="AC16">
        <f t="shared" si="20"/>
        <v>288.7772592079192</v>
      </c>
      <c r="AD16">
        <f t="shared" si="21"/>
        <v>149.91302187303071</v>
      </c>
      <c r="AE16">
        <f t="shared" si="22"/>
        <v>45.07939609589647</v>
      </c>
      <c r="AF16">
        <f t="shared" si="23"/>
        <v>0.15381592025454971</v>
      </c>
      <c r="AG16">
        <f t="shared" si="24"/>
        <v>0.28394072808515602</v>
      </c>
      <c r="AH16">
        <f t="shared" si="25"/>
        <v>7.8123362695436072E-2</v>
      </c>
      <c r="AI16">
        <f t="shared" si="26"/>
        <v>-8.037679075070514E-2</v>
      </c>
      <c r="AJ16">
        <f t="shared" si="27"/>
        <v>0.11684536267950781</v>
      </c>
      <c r="AK16">
        <f t="shared" si="28"/>
        <v>196.2011009846602</v>
      </c>
      <c r="AL16">
        <f t="shared" si="29"/>
        <v>54.820485124515585</v>
      </c>
      <c r="AM16">
        <f t="shared" si="30"/>
        <v>52.435985744014907</v>
      </c>
      <c r="AN16">
        <f t="shared" si="31"/>
        <v>53.62823543426525</v>
      </c>
      <c r="AO16" t="s">
        <v>78</v>
      </c>
      <c r="AP16">
        <f>3*$AP$11*($AP$9-1)-7*$AP$6</f>
        <v>-536.79259327321597</v>
      </c>
    </row>
    <row r="17" spans="1:42" x14ac:dyDescent="0.25">
      <c r="A17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0.18821761319213962</v>
      </c>
      <c r="F17">
        <f>Align!G17</f>
        <v>0.38522940940047751</v>
      </c>
      <c r="G17">
        <f t="shared" si="0"/>
        <v>6.8500574938693628</v>
      </c>
      <c r="H17">
        <f t="shared" si="1"/>
        <v>2.7945731879761522</v>
      </c>
      <c r="I17">
        <f t="shared" si="2"/>
        <v>6.4499808461639727</v>
      </c>
      <c r="J17">
        <f t="shared" si="3"/>
        <v>3.1513689515276533</v>
      </c>
      <c r="K17">
        <f t="shared" si="4"/>
        <v>31.908107726634579</v>
      </c>
      <c r="L17">
        <f t="shared" si="5"/>
        <v>6.2130415785991044E-2</v>
      </c>
      <c r="M17">
        <f t="shared" si="32"/>
        <v>2.6856332937765983E-2</v>
      </c>
      <c r="N17">
        <f t="shared" si="33"/>
        <v>0.64758963577498563</v>
      </c>
      <c r="O17">
        <f t="shared" si="6"/>
        <v>0.6914277591055813</v>
      </c>
      <c r="P17">
        <f t="shared" si="7"/>
        <v>0.59616001388790885</v>
      </c>
      <c r="Q17">
        <f t="shared" si="8"/>
        <v>6.4282807483786248</v>
      </c>
      <c r="R17">
        <f t="shared" si="9"/>
        <v>-1.8348325397561926E-2</v>
      </c>
      <c r="S17">
        <f t="shared" si="10"/>
        <v>6.727727134560352</v>
      </c>
      <c r="T17">
        <f t="shared" si="11"/>
        <v>2.7446668707654704</v>
      </c>
      <c r="U17">
        <f t="shared" si="12"/>
        <v>6.334795174342438</v>
      </c>
      <c r="V17">
        <f t="shared" si="13"/>
        <v>3.0950908697012367</v>
      </c>
      <c r="W17">
        <f t="shared" si="14"/>
        <v>257.96452733133623</v>
      </c>
      <c r="X17">
        <f t="shared" si="15"/>
        <v>61.580277850354946</v>
      </c>
      <c r="Y17">
        <f t="shared" si="16"/>
        <v>290.9588514093748</v>
      </c>
      <c r="Z17">
        <f t="shared" si="17"/>
        <v>151.30113366964565</v>
      </c>
      <c r="AA17">
        <f t="shared" si="18"/>
        <v>45.083115811335659</v>
      </c>
      <c r="AB17">
        <f t="shared" si="19"/>
        <v>9.7170108879984696</v>
      </c>
      <c r="AC17">
        <f t="shared" si="20"/>
        <v>290.96345058117896</v>
      </c>
      <c r="AD17">
        <f t="shared" si="21"/>
        <v>151.14178957596775</v>
      </c>
      <c r="AE17">
        <f t="shared" si="22"/>
        <v>45.235971961391265</v>
      </c>
      <c r="AF17">
        <f t="shared" si="23"/>
        <v>0.16117568717101349</v>
      </c>
      <c r="AG17">
        <f t="shared" si="24"/>
        <v>4.5991718041591412E-3</v>
      </c>
      <c r="AH17">
        <f t="shared" si="25"/>
        <v>-0.15934409367790181</v>
      </c>
      <c r="AI17">
        <f t="shared" si="26"/>
        <v>0.15285615005560516</v>
      </c>
      <c r="AJ17">
        <f t="shared" si="27"/>
        <v>7.47542973161862E-2</v>
      </c>
      <c r="AK17">
        <f t="shared" si="28"/>
        <v>197.74900991103814</v>
      </c>
      <c r="AL17">
        <f t="shared" si="29"/>
        <v>55.105915377876997</v>
      </c>
      <c r="AM17">
        <f t="shared" si="30"/>
        <v>52.672179274721962</v>
      </c>
      <c r="AN17">
        <f t="shared" si="31"/>
        <v>53.889047326299476</v>
      </c>
    </row>
    <row r="18" spans="1:42" x14ac:dyDescent="0.25">
      <c r="A18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0.18751881685054153</v>
      </c>
      <c r="F18">
        <f>Align!G18</f>
        <v>0.38419063426876759</v>
      </c>
      <c r="G18">
        <f t="shared" si="0"/>
        <v>6.8768226247527133</v>
      </c>
      <c r="H18">
        <f t="shared" si="1"/>
        <v>2.7979051271739794</v>
      </c>
      <c r="I18">
        <f t="shared" si="2"/>
        <v>6.4740169567494474</v>
      </c>
      <c r="J18">
        <f t="shared" si="3"/>
        <v>3.1598896269572361</v>
      </c>
      <c r="K18">
        <f t="shared" si="4"/>
        <v>32.184888187564404</v>
      </c>
      <c r="L18">
        <f t="shared" si="5"/>
        <v>6.1596112698815715E-2</v>
      </c>
      <c r="M18">
        <f t="shared" si="32"/>
        <v>3.4617193941951306E-2</v>
      </c>
      <c r="N18">
        <f t="shared" si="33"/>
        <v>0.68220682971693691</v>
      </c>
      <c r="O18">
        <f t="shared" si="6"/>
        <v>0.69076833559373096</v>
      </c>
      <c r="P18">
        <f t="shared" si="7"/>
        <v>0.59559144844516299</v>
      </c>
      <c r="Q18">
        <f t="shared" si="8"/>
        <v>6.44670808708773</v>
      </c>
      <c r="R18">
        <f t="shared" si="9"/>
        <v>-1.9338452494802927E-2</v>
      </c>
      <c r="S18">
        <f t="shared" si="10"/>
        <v>6.7475728958433869</v>
      </c>
      <c r="T18">
        <f t="shared" si="11"/>
        <v>2.745318562282864</v>
      </c>
      <c r="U18">
        <f t="shared" si="12"/>
        <v>6.3523379514480229</v>
      </c>
      <c r="V18">
        <f t="shared" si="13"/>
        <v>3.1004995714107184</v>
      </c>
      <c r="W18">
        <f t="shared" si="14"/>
        <v>260.13883762885212</v>
      </c>
      <c r="X18">
        <f t="shared" si="15"/>
        <v>61.97283399036035</v>
      </c>
      <c r="Y18">
        <f t="shared" si="16"/>
        <v>293.51694296249798</v>
      </c>
      <c r="Z18">
        <f t="shared" si="17"/>
        <v>152.88222231495436</v>
      </c>
      <c r="AA18">
        <f t="shared" si="18"/>
        <v>45.283781323537426</v>
      </c>
      <c r="AB18">
        <f t="shared" si="19"/>
        <v>10.285937136981262</v>
      </c>
      <c r="AC18">
        <f t="shared" si="20"/>
        <v>293.79618662292336</v>
      </c>
      <c r="AD18">
        <f t="shared" si="21"/>
        <v>152.73603909351243</v>
      </c>
      <c r="AE18">
        <f t="shared" si="22"/>
        <v>45.435942987190899</v>
      </c>
      <c r="AF18">
        <f t="shared" si="23"/>
        <v>0.17052600097023429</v>
      </c>
      <c r="AG18">
        <f t="shared" si="24"/>
        <v>0.2792436604253794</v>
      </c>
      <c r="AH18">
        <f t="shared" si="25"/>
        <v>-0.1461832214419303</v>
      </c>
      <c r="AI18">
        <f t="shared" si="26"/>
        <v>0.15216166365347306</v>
      </c>
      <c r="AJ18">
        <f t="shared" si="27"/>
        <v>0.15157884501159805</v>
      </c>
      <c r="AK18">
        <f t="shared" si="28"/>
        <v>199.75608826998277</v>
      </c>
      <c r="AL18">
        <f t="shared" si="29"/>
        <v>55.47359529819672</v>
      </c>
      <c r="AM18">
        <f t="shared" si="30"/>
        <v>52.975237780955723</v>
      </c>
      <c r="AN18">
        <f t="shared" si="31"/>
        <v>54.224416539576225</v>
      </c>
      <c r="AO18" t="s">
        <v>79</v>
      </c>
      <c r="AP18">
        <f>SUM(AJ4:AJ25)</f>
        <v>3.5899280017322237</v>
      </c>
    </row>
    <row r="19" spans="1:42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0.18689416907287151</v>
      </c>
      <c r="F19">
        <f>Align!G19</f>
        <v>0.3832512269076177</v>
      </c>
      <c r="G19">
        <f t="shared" si="0"/>
        <v>6.9037977341019108</v>
      </c>
      <c r="H19">
        <f t="shared" si="1"/>
        <v>2.791249175146965</v>
      </c>
      <c r="I19">
        <f t="shared" si="2"/>
        <v>6.4956547655943817</v>
      </c>
      <c r="J19">
        <f t="shared" si="3"/>
        <v>3.167634999620323</v>
      </c>
      <c r="K19">
        <f t="shared" si="4"/>
        <v>32.460910392430591</v>
      </c>
      <c r="L19">
        <f t="shared" si="5"/>
        <v>6.1072347510693396E-2</v>
      </c>
      <c r="M19">
        <f t="shared" si="32"/>
        <v>3.168107000273674E-2</v>
      </c>
      <c r="N19">
        <f t="shared" si="33"/>
        <v>0.7138878997196737</v>
      </c>
      <c r="O19">
        <f t="shared" si="6"/>
        <v>0.69016594369639594</v>
      </c>
      <c r="P19">
        <f t="shared" si="7"/>
        <v>0.59507205656777318</v>
      </c>
      <c r="Q19">
        <f t="shared" si="8"/>
        <v>6.4636033075478352</v>
      </c>
      <c r="R19">
        <f t="shared" si="9"/>
        <v>-2.0245428006150479E-2</v>
      </c>
      <c r="S19">
        <f t="shared" si="10"/>
        <v>6.7681336338714289</v>
      </c>
      <c r="T19">
        <f t="shared" si="11"/>
        <v>2.7363993196833691</v>
      </c>
      <c r="U19">
        <f t="shared" si="12"/>
        <v>6.3680109392364175</v>
      </c>
      <c r="V19">
        <f t="shared" si="13"/>
        <v>3.1053889187481434</v>
      </c>
      <c r="W19">
        <f t="shared" si="14"/>
        <v>262.10921881583153</v>
      </c>
      <c r="X19">
        <f t="shared" si="15"/>
        <v>62.331372856329381</v>
      </c>
      <c r="Y19">
        <f t="shared" si="16"/>
        <v>296.08236743250956</v>
      </c>
      <c r="Z19">
        <f t="shared" si="17"/>
        <v>154.43304741151178</v>
      </c>
      <c r="AA19">
        <f t="shared" si="18"/>
        <v>45.344798547990365</v>
      </c>
      <c r="AB19">
        <f t="shared" si="19"/>
        <v>10.811179802956712</v>
      </c>
      <c r="AC19">
        <f t="shared" si="20"/>
        <v>296.40329105507192</v>
      </c>
      <c r="AD19">
        <f t="shared" si="21"/>
        <v>154.20538131484099</v>
      </c>
      <c r="AE19">
        <f t="shared" si="22"/>
        <v>45.61708919769778</v>
      </c>
      <c r="AF19">
        <f t="shared" si="23"/>
        <v>0.17923703446855477</v>
      </c>
      <c r="AG19">
        <f t="shared" si="24"/>
        <v>0.32092362256236129</v>
      </c>
      <c r="AH19">
        <f t="shared" si="25"/>
        <v>-0.22766609667078797</v>
      </c>
      <c r="AI19">
        <f t="shared" si="26"/>
        <v>0.2722906497074149</v>
      </c>
      <c r="AJ19">
        <f t="shared" si="27"/>
        <v>0</v>
      </c>
      <c r="AK19">
        <f t="shared" si="28"/>
        <v>201.60468456158461</v>
      </c>
      <c r="AL19">
        <f t="shared" si="29"/>
        <v>55.809835466664843</v>
      </c>
      <c r="AM19">
        <f t="shared" si="30"/>
        <v>53.251178174830486</v>
      </c>
      <c r="AN19">
        <f t="shared" si="31"/>
        <v>54.530506820747661</v>
      </c>
    </row>
    <row r="20" spans="1:42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0.18653850947206904</v>
      </c>
      <c r="F20">
        <f>Align!G20</f>
        <v>0.38270781210782145</v>
      </c>
      <c r="G20">
        <f t="shared" si="0"/>
        <v>6.9241683553243671</v>
      </c>
      <c r="H20">
        <f t="shared" si="1"/>
        <v>2.7868294391394235</v>
      </c>
      <c r="I20">
        <f t="shared" si="2"/>
        <v>6.5080395647836768</v>
      </c>
      <c r="J20">
        <f t="shared" si="3"/>
        <v>3.1721327905843113</v>
      </c>
      <c r="K20">
        <f t="shared" si="4"/>
        <v>32.664362679379856</v>
      </c>
      <c r="L20">
        <f t="shared" si="5"/>
        <v>6.0691954086447758E-2</v>
      </c>
      <c r="M20">
        <f t="shared" si="32"/>
        <v>1.8344408098746056E-2</v>
      </c>
      <c r="N20">
        <f t="shared" si="33"/>
        <v>0.73223230781841975</v>
      </c>
      <c r="O20">
        <f t="shared" si="6"/>
        <v>0.6898176185368261</v>
      </c>
      <c r="P20">
        <f t="shared" si="7"/>
        <v>0.59477172507365539</v>
      </c>
      <c r="Q20">
        <f t="shared" si="8"/>
        <v>6.4733996913417968</v>
      </c>
      <c r="R20">
        <f t="shared" si="9"/>
        <v>-2.0770959158832425E-2</v>
      </c>
      <c r="S20">
        <f t="shared" si="10"/>
        <v>6.7846780187754359</v>
      </c>
      <c r="T20">
        <f t="shared" si="11"/>
        <v>2.730687566726528</v>
      </c>
      <c r="U20">
        <f t="shared" si="12"/>
        <v>6.3769323209126672</v>
      </c>
      <c r="V20">
        <f t="shared" si="13"/>
        <v>3.1082288171639858</v>
      </c>
      <c r="W20">
        <f t="shared" si="14"/>
        <v>263.24251924312784</v>
      </c>
      <c r="X20">
        <f t="shared" si="15"/>
        <v>62.540073589338562</v>
      </c>
      <c r="Y20">
        <f t="shared" si="16"/>
        <v>297.98260124707394</v>
      </c>
      <c r="Z20">
        <f t="shared" si="17"/>
        <v>155.5324130664238</v>
      </c>
      <c r="AA20">
        <f t="shared" si="18"/>
        <v>45.170032587365512</v>
      </c>
      <c r="AB20">
        <f t="shared" si="19"/>
        <v>11.117319018272122</v>
      </c>
      <c r="AC20">
        <f t="shared" si="20"/>
        <v>297.91930079147295</v>
      </c>
      <c r="AD20">
        <f t="shared" si="21"/>
        <v>155.06070569987938</v>
      </c>
      <c r="AE20">
        <f t="shared" si="22"/>
        <v>45.721150090001636</v>
      </c>
      <c r="AF20">
        <f t="shared" si="23"/>
        <v>0.18406613083894285</v>
      </c>
      <c r="AG20">
        <f t="shared" si="24"/>
        <v>-6.3300455600995065E-2</v>
      </c>
      <c r="AH20">
        <f t="shared" si="25"/>
        <v>-0.4717073665444218</v>
      </c>
      <c r="AI20">
        <f t="shared" si="26"/>
        <v>0.55111750263612436</v>
      </c>
      <c r="AJ20">
        <f t="shared" si="27"/>
        <v>0</v>
      </c>
      <c r="AK20">
        <f t="shared" si="28"/>
        <v>202.68023739707724</v>
      </c>
      <c r="AL20">
        <f t="shared" si="29"/>
        <v>56.004409072319696</v>
      </c>
      <c r="AM20">
        <f t="shared" si="30"/>
        <v>53.410322412372487</v>
      </c>
      <c r="AN20">
        <f t="shared" si="31"/>
        <v>54.707365742346092</v>
      </c>
    </row>
    <row r="21" spans="1:42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0.18628790984322882</v>
      </c>
      <c r="F21">
        <f>Align!G21</f>
        <v>0.38232053933053556</v>
      </c>
      <c r="G21">
        <f t="shared" si="0"/>
        <v>6.9583878503224321</v>
      </c>
      <c r="H21">
        <f t="shared" si="1"/>
        <v>2.7846248157265188</v>
      </c>
      <c r="I21">
        <f t="shared" si="2"/>
        <v>6.5167943589127466</v>
      </c>
      <c r="J21">
        <f t="shared" si="3"/>
        <v>3.1753460123428923</v>
      </c>
      <c r="K21">
        <f t="shared" si="4"/>
        <v>32.991880824993018</v>
      </c>
      <c r="L21">
        <f t="shared" si="5"/>
        <v>6.0089450811127536E-2</v>
      </c>
      <c r="M21">
        <f t="shared" si="32"/>
        <v>1.2997378384296925E-2</v>
      </c>
      <c r="N21">
        <f t="shared" si="33"/>
        <v>0.74522968620271668</v>
      </c>
      <c r="O21">
        <f t="shared" si="6"/>
        <v>0.68957103595802782</v>
      </c>
      <c r="P21">
        <f t="shared" si="7"/>
        <v>0.59455911765131098</v>
      </c>
      <c r="Q21">
        <f t="shared" si="8"/>
        <v>6.480346612108475</v>
      </c>
      <c r="R21">
        <f t="shared" si="9"/>
        <v>-2.1143469020415528E-2</v>
      </c>
      <c r="S21">
        <f t="shared" si="10"/>
        <v>6.8157709070235715</v>
      </c>
      <c r="T21">
        <f t="shared" si="11"/>
        <v>2.7275520155326252</v>
      </c>
      <c r="U21">
        <f t="shared" si="12"/>
        <v>6.3832281778421809</v>
      </c>
      <c r="V21">
        <f t="shared" si="13"/>
        <v>3.1102651125802288</v>
      </c>
      <c r="W21">
        <f t="shared" si="14"/>
        <v>264.04562368719172</v>
      </c>
      <c r="X21">
        <f t="shared" si="15"/>
        <v>62.689247015620587</v>
      </c>
      <c r="Y21">
        <f t="shared" si="16"/>
        <v>301.04277198252095</v>
      </c>
      <c r="Z21">
        <f t="shared" si="17"/>
        <v>157.16570380361517</v>
      </c>
      <c r="AA21">
        <f t="shared" si="18"/>
        <v>44.190672867955982</v>
      </c>
      <c r="AB21">
        <f t="shared" si="19"/>
        <v>11.335118149308748</v>
      </c>
      <c r="AC21">
        <f t="shared" si="20"/>
        <v>298.99627357695869</v>
      </c>
      <c r="AD21">
        <f t="shared" si="21"/>
        <v>155.66873570974488</v>
      </c>
      <c r="AE21">
        <f t="shared" si="22"/>
        <v>45.794506534714415</v>
      </c>
      <c r="AF21">
        <f t="shared" si="23"/>
        <v>0.18664374834343356</v>
      </c>
      <c r="AG21">
        <f t="shared" si="24"/>
        <v>-2.0464984055622608</v>
      </c>
      <c r="AH21">
        <f t="shared" si="25"/>
        <v>-1.4969680938702936</v>
      </c>
      <c r="AI21">
        <f t="shared" si="26"/>
        <v>1.6038336667584332</v>
      </c>
      <c r="AJ21">
        <f t="shared" si="27"/>
        <v>0</v>
      </c>
      <c r="AK21">
        <f t="shared" si="28"/>
        <v>203.44458166548281</v>
      </c>
      <c r="AL21">
        <f t="shared" si="29"/>
        <v>56.142211494271422</v>
      </c>
      <c r="AM21">
        <f t="shared" si="30"/>
        <v>53.522791941133832</v>
      </c>
      <c r="AN21">
        <f t="shared" si="31"/>
        <v>54.832501717702627</v>
      </c>
    </row>
    <row r="22" spans="1:42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0.18584227706986439</v>
      </c>
      <c r="F22">
        <f>Align!G22</f>
        <v>0.38162352074308936</v>
      </c>
      <c r="G22">
        <f t="shared" si="0"/>
        <v>6.9790823795993937</v>
      </c>
      <c r="H22">
        <f t="shared" si="1"/>
        <v>2.7868294391394235</v>
      </c>
      <c r="I22">
        <f t="shared" si="2"/>
        <v>6.5324210354117449</v>
      </c>
      <c r="J22">
        <f t="shared" si="3"/>
        <v>3.1811456422710123</v>
      </c>
      <c r="K22">
        <f t="shared" si="4"/>
        <v>33.202985305666644</v>
      </c>
      <c r="L22">
        <f t="shared" si="5"/>
        <v>5.9707402263665103E-2</v>
      </c>
      <c r="M22">
        <f t="shared" si="32"/>
        <v>2.3204574031631602E-2</v>
      </c>
      <c r="N22">
        <f t="shared" si="33"/>
        <v>0.76843426023434824</v>
      </c>
      <c r="O22">
        <f t="shared" si="6"/>
        <v>0.68913124339015319</v>
      </c>
      <c r="P22">
        <f t="shared" si="7"/>
        <v>0.59417992150258947</v>
      </c>
      <c r="Q22">
        <f t="shared" si="8"/>
        <v>6.4927614932563769</v>
      </c>
      <c r="R22">
        <f t="shared" si="9"/>
        <v>-2.1808852170505211E-2</v>
      </c>
      <c r="S22">
        <f t="shared" si="10"/>
        <v>6.8316814175790341</v>
      </c>
      <c r="T22">
        <f t="shared" si="11"/>
        <v>2.7279705064068667</v>
      </c>
      <c r="U22">
        <f t="shared" si="12"/>
        <v>6.3944537364791021</v>
      </c>
      <c r="V22">
        <f t="shared" si="13"/>
        <v>3.113958596396861</v>
      </c>
      <c r="W22">
        <f t="shared" si="14"/>
        <v>265.48277524025576</v>
      </c>
      <c r="X22">
        <f t="shared" si="15"/>
        <v>62.958608006062327</v>
      </c>
      <c r="Y22">
        <f t="shared" si="16"/>
        <v>303.02932679050741</v>
      </c>
      <c r="Z22">
        <f t="shared" si="17"/>
        <v>158.33883500325695</v>
      </c>
      <c r="AA22">
        <f t="shared" si="18"/>
        <v>44.185332230936496</v>
      </c>
      <c r="AB22">
        <f t="shared" si="19"/>
        <v>11.725808489345091</v>
      </c>
      <c r="AC22">
        <f t="shared" si="20"/>
        <v>300.92490804017058</v>
      </c>
      <c r="AD22">
        <f t="shared" si="21"/>
        <v>156.7584369007933</v>
      </c>
      <c r="AE22">
        <f t="shared" si="22"/>
        <v>45.924694399589598</v>
      </c>
      <c r="AF22">
        <f t="shared" si="23"/>
        <v>0.18993536402189548</v>
      </c>
      <c r="AG22">
        <f t="shared" si="24"/>
        <v>-2.1044187503368335</v>
      </c>
      <c r="AH22">
        <f t="shared" si="25"/>
        <v>-1.5803981024636471</v>
      </c>
      <c r="AI22">
        <f t="shared" si="26"/>
        <v>1.739362168653102</v>
      </c>
      <c r="AJ22">
        <f t="shared" si="27"/>
        <v>0</v>
      </c>
      <c r="AK22">
        <f t="shared" si="28"/>
        <v>204.81392728058572</v>
      </c>
      <c r="AL22">
        <f t="shared" si="29"/>
        <v>56.388110867629209</v>
      </c>
      <c r="AM22">
        <f t="shared" si="30"/>
        <v>53.722984149153199</v>
      </c>
      <c r="AN22">
        <f t="shared" si="31"/>
        <v>55.0555475083912</v>
      </c>
    </row>
    <row r="23" spans="1:42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0.18525167989688088</v>
      </c>
      <c r="F23">
        <f>Align!G23</f>
        <v>0.38069110863859346</v>
      </c>
      <c r="G23">
        <f t="shared" si="0"/>
        <v>7.0068673252162164</v>
      </c>
      <c r="H23">
        <f t="shared" si="1"/>
        <v>2.7835238115389078</v>
      </c>
      <c r="I23">
        <f t="shared" si="2"/>
        <v>6.5532469161724469</v>
      </c>
      <c r="J23">
        <f t="shared" si="3"/>
        <v>3.1889371000584696</v>
      </c>
      <c r="K23">
        <f t="shared" si="4"/>
        <v>33.486715086057238</v>
      </c>
      <c r="L23">
        <f t="shared" si="5"/>
        <v>5.9201507072439971E-2</v>
      </c>
      <c r="M23">
        <f t="shared" si="32"/>
        <v>3.071010652772822E-2</v>
      </c>
      <c r="N23">
        <f t="shared" si="33"/>
        <v>0.79914436676207645</v>
      </c>
      <c r="O23">
        <f t="shared" si="6"/>
        <v>0.68855006143958308</v>
      </c>
      <c r="P23">
        <f t="shared" si="7"/>
        <v>0.5936788171787315</v>
      </c>
      <c r="Q23">
        <f t="shared" si="8"/>
        <v>6.5092163392910383</v>
      </c>
      <c r="R23">
        <f t="shared" si="9"/>
        <v>-2.2690106539033694E-2</v>
      </c>
      <c r="S23">
        <f t="shared" si="10"/>
        <v>6.8530950671543085</v>
      </c>
      <c r="T23">
        <f t="shared" si="11"/>
        <v>2.7224367776330363</v>
      </c>
      <c r="U23">
        <f t="shared" si="12"/>
        <v>6.409429782328548</v>
      </c>
      <c r="V23">
        <f t="shared" si="13"/>
        <v>3.1189528922900926</v>
      </c>
      <c r="W23">
        <f t="shared" si="14"/>
        <v>267.40375037512558</v>
      </c>
      <c r="X23">
        <f t="shared" si="15"/>
        <v>63.320791762291016</v>
      </c>
      <c r="Y23">
        <f t="shared" si="16"/>
        <v>305.70477256021638</v>
      </c>
      <c r="Z23">
        <f t="shared" si="17"/>
        <v>159.91267794308891</v>
      </c>
      <c r="AA23">
        <f t="shared" si="18"/>
        <v>44.170280669745608</v>
      </c>
      <c r="AB23">
        <f t="shared" si="19"/>
        <v>12.246522192817357</v>
      </c>
      <c r="AC23">
        <f t="shared" si="20"/>
        <v>303.48898247885063</v>
      </c>
      <c r="AD23">
        <f t="shared" si="21"/>
        <v>158.2088479469962</v>
      </c>
      <c r="AE23">
        <f t="shared" si="22"/>
        <v>46.095438255022842</v>
      </c>
      <c r="AF23">
        <f t="shared" si="23"/>
        <v>0.19411743501700585</v>
      </c>
      <c r="AG23">
        <f t="shared" si="24"/>
        <v>-2.2157900813657534</v>
      </c>
      <c r="AH23">
        <f t="shared" si="25"/>
        <v>-1.7038299960927077</v>
      </c>
      <c r="AI23">
        <f t="shared" si="26"/>
        <v>1.9251575852772334</v>
      </c>
      <c r="AJ23">
        <f t="shared" si="27"/>
        <v>0</v>
      </c>
      <c r="AK23">
        <f t="shared" si="28"/>
        <v>206.63555945761436</v>
      </c>
      <c r="AL23">
        <f t="shared" si="29"/>
        <v>56.713289859384602</v>
      </c>
      <c r="AM23">
        <f t="shared" si="30"/>
        <v>53.98671588529217</v>
      </c>
      <c r="AN23">
        <f t="shared" si="31"/>
        <v>55.350002872338386</v>
      </c>
    </row>
    <row r="24" spans="1:42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0.18495311800280445</v>
      </c>
      <c r="F24">
        <f>Align!G24</f>
        <v>0.38022277732041276</v>
      </c>
      <c r="G24">
        <f t="shared" si="0"/>
        <v>7.0278516536758504</v>
      </c>
      <c r="H24">
        <f t="shared" si="1"/>
        <v>2.7769360266922449</v>
      </c>
      <c r="I24">
        <f t="shared" si="2"/>
        <v>6.5638255418953904</v>
      </c>
      <c r="J24">
        <f t="shared" si="3"/>
        <v>3.1928650054990402</v>
      </c>
      <c r="K24">
        <f t="shared" si="4"/>
        <v>33.695885234408514</v>
      </c>
      <c r="L24">
        <f t="shared" si="5"/>
        <v>5.8834008550563588E-2</v>
      </c>
      <c r="M24">
        <f t="shared" si="32"/>
        <v>1.5242269393758261E-2</v>
      </c>
      <c r="N24">
        <f t="shared" si="33"/>
        <v>0.81438663615583473</v>
      </c>
      <c r="O24">
        <f t="shared" si="6"/>
        <v>0.68826196873500711</v>
      </c>
      <c r="P24">
        <f t="shared" si="7"/>
        <v>0.59343041906555305</v>
      </c>
      <c r="Q24">
        <f t="shared" si="8"/>
        <v>6.517393644793926</v>
      </c>
      <c r="R24">
        <f t="shared" si="9"/>
        <v>-2.3127773383491368E-2</v>
      </c>
      <c r="S24">
        <f t="shared" si="10"/>
        <v>6.8707429192280065</v>
      </c>
      <c r="T24">
        <f t="shared" si="11"/>
        <v>2.714857182929507</v>
      </c>
      <c r="U24">
        <f t="shared" si="12"/>
        <v>6.4170901845142705</v>
      </c>
      <c r="V24">
        <f t="shared" si="13"/>
        <v>3.1214880036788051</v>
      </c>
      <c r="W24">
        <f t="shared" si="14"/>
        <v>268.38005554189471</v>
      </c>
      <c r="X24">
        <f t="shared" si="15"/>
        <v>63.503446058092152</v>
      </c>
      <c r="Y24">
        <f t="shared" si="16"/>
        <v>307.66730737665137</v>
      </c>
      <c r="Z24">
        <f t="shared" si="17"/>
        <v>161.01678934308876</v>
      </c>
      <c r="AA24">
        <f t="shared" si="18"/>
        <v>43.859820140713822</v>
      </c>
      <c r="AB24">
        <f t="shared" si="19"/>
        <v>12.506518181968854</v>
      </c>
      <c r="AC24">
        <f t="shared" si="20"/>
        <v>304.76652898341388</v>
      </c>
      <c r="AD24">
        <f t="shared" si="21"/>
        <v>158.93222756891885</v>
      </c>
      <c r="AE24">
        <f t="shared" si="22"/>
        <v>46.179516725267604</v>
      </c>
      <c r="AF24">
        <f t="shared" si="23"/>
        <v>0.19584760792992384</v>
      </c>
      <c r="AG24">
        <f t="shared" si="24"/>
        <v>-2.9007783932374878</v>
      </c>
      <c r="AH24">
        <f t="shared" si="25"/>
        <v>-2.084561774169913</v>
      </c>
      <c r="AI24">
        <f t="shared" si="26"/>
        <v>2.3196965845537818</v>
      </c>
      <c r="AJ24">
        <f t="shared" si="27"/>
        <v>0</v>
      </c>
      <c r="AK24">
        <f t="shared" si="28"/>
        <v>207.54366137375052</v>
      </c>
      <c r="AL24">
        <f t="shared" si="29"/>
        <v>56.874570318059568</v>
      </c>
      <c r="AM24">
        <f t="shared" si="30"/>
        <v>54.117089214305871</v>
      </c>
      <c r="AN24">
        <f t="shared" si="31"/>
        <v>55.495829766182723</v>
      </c>
    </row>
    <row r="25" spans="1:42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0.18475088415451557</v>
      </c>
      <c r="F25">
        <f>Align!G25</f>
        <v>0.37990972573080195</v>
      </c>
      <c r="G25">
        <f t="shared" si="0"/>
        <v>7.0489620483868389</v>
      </c>
      <c r="H25">
        <f t="shared" si="1"/>
        <v>2.7780318245128113</v>
      </c>
      <c r="I25">
        <f t="shared" si="2"/>
        <v>6.5710105018208003</v>
      </c>
      <c r="J25">
        <f t="shared" si="3"/>
        <v>3.1954959764842168</v>
      </c>
      <c r="K25">
        <f t="shared" si="4"/>
        <v>33.903044263775975</v>
      </c>
      <c r="L25">
        <f t="shared" si="5"/>
        <v>5.8474512925029039E-2</v>
      </c>
      <c r="M25">
        <f t="shared" si="32"/>
        <v>1.0098927016878255E-2</v>
      </c>
      <c r="N25">
        <f t="shared" si="33"/>
        <v>0.82448556317271293</v>
      </c>
      <c r="O25">
        <f t="shared" si="6"/>
        <v>0.68807122260543951</v>
      </c>
      <c r="P25">
        <f t="shared" si="7"/>
        <v>0.59326595471804233</v>
      </c>
      <c r="Q25">
        <f t="shared" si="8"/>
        <v>6.5228153754205085</v>
      </c>
      <c r="R25">
        <f t="shared" si="9"/>
        <v>-2.34178550664218E-2</v>
      </c>
      <c r="S25">
        <f t="shared" si="10"/>
        <v>6.8894714982001082</v>
      </c>
      <c r="T25">
        <f t="shared" si="11"/>
        <v>2.715175786831463</v>
      </c>
      <c r="U25">
        <f t="shared" si="12"/>
        <v>6.4223341331548598</v>
      </c>
      <c r="V25">
        <f t="shared" si="13"/>
        <v>3.1231943513782072</v>
      </c>
      <c r="W25">
        <f t="shared" si="14"/>
        <v>269.04249371299778</v>
      </c>
      <c r="X25">
        <f t="shared" si="15"/>
        <v>63.62577821365732</v>
      </c>
      <c r="Y25">
        <f t="shared" si="16"/>
        <v>309.60424154041334</v>
      </c>
      <c r="Z25">
        <f t="shared" si="17"/>
        <v>162.07181119939096</v>
      </c>
      <c r="AA25">
        <f t="shared" si="18"/>
        <v>43.344904299949548</v>
      </c>
      <c r="AB25">
        <f t="shared" si="19"/>
        <v>12.679349811997357</v>
      </c>
      <c r="AC25">
        <f t="shared" si="20"/>
        <v>305.61478358609878</v>
      </c>
      <c r="AD25">
        <f t="shared" si="21"/>
        <v>159.41279329764313</v>
      </c>
      <c r="AE25">
        <f t="shared" si="22"/>
        <v>46.234977553452516</v>
      </c>
      <c r="AF25">
        <f t="shared" si="23"/>
        <v>0.19650202713270737</v>
      </c>
      <c r="AG25">
        <f t="shared" si="24"/>
        <v>-3.9894579543145596</v>
      </c>
      <c r="AH25">
        <f t="shared" si="25"/>
        <v>-2.6590179017478306</v>
      </c>
      <c r="AI25">
        <f t="shared" si="26"/>
        <v>2.890073253502969</v>
      </c>
      <c r="AJ25">
        <f t="shared" si="27"/>
        <v>0</v>
      </c>
      <c r="AK25">
        <f t="shared" si="28"/>
        <v>208.14679006046171</v>
      </c>
      <c r="AL25">
        <f t="shared" si="29"/>
        <v>56.981384589762641</v>
      </c>
      <c r="AM25">
        <f t="shared" si="30"/>
        <v>54.203274725813635</v>
      </c>
      <c r="AN25">
        <f t="shared" si="31"/>
        <v>55.592329657788142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6633-3BBB-4D28-8D52-4A5EB310F0DD}">
  <dimension ref="A3:AT25"/>
  <sheetViews>
    <sheetView workbookViewId="0"/>
  </sheetViews>
  <sheetFormatPr defaultRowHeight="15" x14ac:dyDescent="0.25"/>
  <sheetData>
    <row r="3" spans="1:46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  <c r="O3" t="s">
        <v>93</v>
      </c>
      <c r="P3" t="s">
        <v>41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94</v>
      </c>
      <c r="Z3" t="s">
        <v>95</v>
      </c>
      <c r="AA3" t="s">
        <v>96</v>
      </c>
      <c r="AB3" t="s">
        <v>54</v>
      </c>
      <c r="AC3" t="s">
        <v>55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65</v>
      </c>
      <c r="AN3" t="s">
        <v>66</v>
      </c>
      <c r="AP3" t="s">
        <v>67</v>
      </c>
      <c r="AS3" t="s">
        <v>80</v>
      </c>
    </row>
    <row r="4" spans="1:46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0.20291614843494321</v>
      </c>
      <c r="F4">
        <f>Align!G4</f>
        <v>0.41955125799861193</v>
      </c>
      <c r="G4">
        <f t="shared" ref="G4:G25" si="0">2*Lfin_100/C4</f>
        <v>6.1431082084309132</v>
      </c>
      <c r="H4">
        <f t="shared" ref="H4:H25" si="1">2*Lfin_100/D4</f>
        <v>2.7557757329741848</v>
      </c>
      <c r="I4">
        <f t="shared" ref="I4:I25" si="2">2*Lfin_111/E4</f>
        <v>5.9827668195132313</v>
      </c>
      <c r="J4">
        <f t="shared" ref="J4:J25" si="3">2*Lfin_111/F4</f>
        <v>2.8935677747485538</v>
      </c>
      <c r="K4">
        <f t="shared" ref="K4:K25" si="4">I4^2-(4/3)*H4^2</f>
        <v>25.667765629402595</v>
      </c>
      <c r="L4">
        <f t="shared" ref="L4:L25" si="5">4*Lfin_100^2/K4</f>
        <v>7.7235550169161366E-2</v>
      </c>
      <c r="M4">
        <v>0</v>
      </c>
      <c r="N4">
        <v>0</v>
      </c>
      <c r="O4">
        <f t="shared" ref="O4:O25" si="6">Lfin_100/(1+N4*scal_100)</f>
        <v>0.70399999999999996</v>
      </c>
      <c r="P4">
        <f t="shared" ref="P4:P25" si="7">O4*Lfin_111/Lfin_100</f>
        <v>0.60699999999999998</v>
      </c>
      <c r="Q4">
        <f t="shared" ref="Q4:Q25" si="8">rho_100*(Lfin_100/O4)^3</f>
        <v>6.09</v>
      </c>
      <c r="R4">
        <f t="shared" ref="R4:R25" si="9">0.5*(1-(Lfin_100/O4)^2)</f>
        <v>0</v>
      </c>
      <c r="S4">
        <f t="shared" ref="S4:S25" si="10">2*O4/C4</f>
        <v>6.1431082084309132</v>
      </c>
      <c r="T4">
        <f t="shared" ref="T4:T25" si="11">2*O4/D4</f>
        <v>2.7557757329741848</v>
      </c>
      <c r="U4">
        <f t="shared" ref="U4:U25" si="12">2*P4/E4</f>
        <v>5.9827668195132313</v>
      </c>
      <c r="V4">
        <f t="shared" ref="V4:V25" si="13">2*P4/F4</f>
        <v>2.8935677747485538</v>
      </c>
      <c r="W4">
        <f t="shared" ref="W4:W25" si="14">Q4*U4^2</f>
        <v>217.98240779351096</v>
      </c>
      <c r="X4">
        <f t="shared" ref="X4:X25" si="15">Q4*V4^2</f>
        <v>50.989952904415482</v>
      </c>
      <c r="Y4">
        <f t="shared" ref="Y4:Y25" si="16">3*X4+Z4-AA4</f>
        <v>227.46374093666819</v>
      </c>
      <c r="Z4">
        <f t="shared" ref="Z4:Z25" si="17">W4-X4-AA4</f>
        <v>120.74316855625861</v>
      </c>
      <c r="AA4">
        <f t="shared" ref="AA4:AA25" si="18">Q4*T4^2</f>
        <v>46.249286332836874</v>
      </c>
      <c r="AB4">
        <f t="shared" ref="AB4:AB25" si="19">-3*$AP$11*((1-2*R4)^2.5)*(1+1.5*(4-$AP$12)*R4)*R4</f>
        <v>0</v>
      </c>
      <c r="AC4">
        <f t="shared" ref="AC4:AC25" si="20">((1-2*R4)^3.5)*($AP$4-$AP$14*R4)+3*AB4</f>
        <v>229.51816057834182</v>
      </c>
      <c r="AD4">
        <f t="shared" ref="AD4:AD25" si="21">((1-2*R4)^3.5)*($AP$5-$AP$15*R4)+1*AB4</f>
        <v>117.64262325144692</v>
      </c>
      <c r="AE4">
        <f t="shared" ref="AE4:AE25" si="22">((1-2*R4)^3.5)*($AP$6-$AP$16*R4)+1*AB4</f>
        <v>46.790182446566121</v>
      </c>
      <c r="AF4">
        <f t="shared" ref="AF4:AF25" si="23">AB4-B4</f>
        <v>0</v>
      </c>
      <c r="AG4">
        <f t="shared" ref="AG4:AG25" si="24">AC4-Y4</f>
        <v>2.0544196416736327</v>
      </c>
      <c r="AH4">
        <f t="shared" ref="AH4:AH25" si="25">AD4-Z4</f>
        <v>-3.1005453048116891</v>
      </c>
      <c r="AI4">
        <f t="shared" ref="AI4:AI25" si="26">AE4-AA4</f>
        <v>0.54089611372924651</v>
      </c>
      <c r="AJ4">
        <f t="shared" ref="AJ4:AJ25" si="27">IF(AND(A4&gt;=CutoffLowBar,A4&lt;=CutoffOilBar),AF4^2+AG4^2+AH4^2+AI4^2,0)</f>
        <v>0</v>
      </c>
      <c r="AK4">
        <f t="shared" ref="AK4:AK25" si="28">(AC4+2*AD4)/3</f>
        <v>154.93446902707856</v>
      </c>
      <c r="AL4">
        <f t="shared" ref="AL4:AL25" si="29">(AC4-AD4+3*AE4)/5</f>
        <v>50.449216933318652</v>
      </c>
      <c r="AM4">
        <f t="shared" ref="AM4:AM25" si="30">5*(AC4-AD4)*AE4/(3*(AC4-AD4)+4*AE4)</f>
        <v>50.065068380773575</v>
      </c>
      <c r="AN4">
        <f t="shared" ref="AN4:AN25" si="31">(AL4+AM4)/2</f>
        <v>50.257142657046117</v>
      </c>
      <c r="AO4" t="s">
        <v>68</v>
      </c>
      <c r="AP4">
        <v>229.51816057834182</v>
      </c>
      <c r="AS4" t="s">
        <v>68</v>
      </c>
      <c r="AT4">
        <f>$AP$4</f>
        <v>229.51816057834182</v>
      </c>
    </row>
    <row r="5" spans="1:46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0.20282185216281789</v>
      </c>
      <c r="F5">
        <f>Align!G5</f>
        <v>0.41875595960981177</v>
      </c>
      <c r="G5">
        <f t="shared" si="0"/>
        <v>6.2648579009706697</v>
      </c>
      <c r="H5">
        <f t="shared" si="1"/>
        <v>2.7758410930082182</v>
      </c>
      <c r="I5">
        <f t="shared" si="2"/>
        <v>5.985548337392391</v>
      </c>
      <c r="J5">
        <f t="shared" si="3"/>
        <v>2.8990632184224441</v>
      </c>
      <c r="K5">
        <f t="shared" si="4"/>
        <v>25.553063867750073</v>
      </c>
      <c r="L5">
        <f t="shared" si="5"/>
        <v>7.7582242593696227E-2</v>
      </c>
      <c r="M5">
        <f t="shared" ref="M5:M25" si="32">0.5*(B5-B4)*(L5+L4)</f>
        <v>9.99603590403755E-3</v>
      </c>
      <c r="N5">
        <f t="shared" ref="N5:N25" si="33">N4+M5</f>
        <v>9.99603590403755E-3</v>
      </c>
      <c r="O5">
        <f t="shared" si="6"/>
        <v>0.7038024647603065</v>
      </c>
      <c r="P5">
        <f t="shared" si="7"/>
        <v>0.60682968197373022</v>
      </c>
      <c r="Q5">
        <f t="shared" si="8"/>
        <v>6.0951292543417823</v>
      </c>
      <c r="R5">
        <f t="shared" si="9"/>
        <v>-2.8070796928592046E-4</v>
      </c>
      <c r="S5">
        <f t="shared" si="10"/>
        <v>6.2631000455628376</v>
      </c>
      <c r="T5">
        <f t="shared" si="11"/>
        <v>2.7750622202302946</v>
      </c>
      <c r="U5">
        <f t="shared" si="12"/>
        <v>5.9838688534072721</v>
      </c>
      <c r="V5">
        <f t="shared" si="13"/>
        <v>2.8982497707694082</v>
      </c>
      <c r="W5">
        <f t="shared" si="14"/>
        <v>218.24638211155897</v>
      </c>
      <c r="X5">
        <f t="shared" si="15"/>
        <v>51.198182034604145</v>
      </c>
      <c r="Y5">
        <f t="shared" si="16"/>
        <v>226.76592713730375</v>
      </c>
      <c r="Z5">
        <f t="shared" si="17"/>
        <v>120.10979055522307</v>
      </c>
      <c r="AA5">
        <f t="shared" si="18"/>
        <v>46.938409521731749</v>
      </c>
      <c r="AB5">
        <f t="shared" si="19"/>
        <v>0.13066178029352205</v>
      </c>
      <c r="AC5">
        <f t="shared" si="20"/>
        <v>230.28379645615684</v>
      </c>
      <c r="AD5">
        <f t="shared" si="21"/>
        <v>118.05968308000962</v>
      </c>
      <c r="AE5">
        <f t="shared" si="22"/>
        <v>46.823452901954518</v>
      </c>
      <c r="AF5">
        <f t="shared" si="23"/>
        <v>1.5288721742467148E-3</v>
      </c>
      <c r="AG5">
        <f t="shared" si="24"/>
        <v>3.5178693188530872</v>
      </c>
      <c r="AH5">
        <f t="shared" si="25"/>
        <v>-2.0501074752134514</v>
      </c>
      <c r="AI5">
        <f t="shared" si="26"/>
        <v>-0.11495661977723159</v>
      </c>
      <c r="AJ5">
        <f t="shared" si="27"/>
        <v>0</v>
      </c>
      <c r="AK5">
        <f t="shared" si="28"/>
        <v>155.46772087205869</v>
      </c>
      <c r="AL5">
        <f t="shared" si="29"/>
        <v>50.538894416402158</v>
      </c>
      <c r="AM5">
        <f t="shared" si="30"/>
        <v>50.143701742174905</v>
      </c>
      <c r="AN5">
        <f t="shared" si="31"/>
        <v>50.341298079288535</v>
      </c>
      <c r="AO5" t="s">
        <v>69</v>
      </c>
      <c r="AP5">
        <v>117.64262325144692</v>
      </c>
      <c r="AS5" t="s">
        <v>69</v>
      </c>
      <c r="AT5">
        <f>$AP$5</f>
        <v>117.64262325144692</v>
      </c>
    </row>
    <row r="6" spans="1:46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0.20068313946370661</v>
      </c>
      <c r="F6">
        <f>Align!G6</f>
        <v>0.41032240249009772</v>
      </c>
      <c r="G6">
        <f t="shared" si="0"/>
        <v>6.3726059035918201</v>
      </c>
      <c r="H6">
        <f t="shared" si="1"/>
        <v>2.7835238115389078</v>
      </c>
      <c r="I6">
        <f t="shared" si="2"/>
        <v>6.0493372948231707</v>
      </c>
      <c r="J6">
        <f t="shared" si="3"/>
        <v>2.9586490833370895</v>
      </c>
      <c r="K6">
        <f t="shared" si="4"/>
        <v>26.263808627333063</v>
      </c>
      <c r="L6">
        <f t="shared" si="5"/>
        <v>7.5482730937082201E-2</v>
      </c>
      <c r="M6">
        <f t="shared" si="32"/>
        <v>0.11530006345218234</v>
      </c>
      <c r="N6">
        <f t="shared" si="33"/>
        <v>0.12529609935621988</v>
      </c>
      <c r="O6">
        <f t="shared" si="6"/>
        <v>0.70153196673344875</v>
      </c>
      <c r="P6">
        <f t="shared" si="7"/>
        <v>0.60487202245341387</v>
      </c>
      <c r="Q6">
        <f t="shared" si="8"/>
        <v>6.1545013895200187</v>
      </c>
      <c r="R6">
        <f t="shared" si="9"/>
        <v>-3.5242508272832485E-3</v>
      </c>
      <c r="S6">
        <f t="shared" si="10"/>
        <v>6.3502652738124379</v>
      </c>
      <c r="T6">
        <f t="shared" si="11"/>
        <v>2.7737655311907328</v>
      </c>
      <c r="U6">
        <f t="shared" si="12"/>
        <v>6.02812995720355</v>
      </c>
      <c r="V6">
        <f t="shared" si="13"/>
        <v>2.9482768612323631</v>
      </c>
      <c r="W6">
        <f t="shared" si="14"/>
        <v>223.64443037412954</v>
      </c>
      <c r="X6">
        <f t="shared" si="15"/>
        <v>53.496996762643313</v>
      </c>
      <c r="Y6">
        <f t="shared" si="16"/>
        <v>235.93572331024035</v>
      </c>
      <c r="Z6">
        <f t="shared" si="17"/>
        <v>122.79608331689833</v>
      </c>
      <c r="AA6">
        <f t="shared" si="18"/>
        <v>47.351350294587903</v>
      </c>
      <c r="AB6">
        <f t="shared" si="19"/>
        <v>1.6678316761216643</v>
      </c>
      <c r="AC6">
        <f t="shared" si="20"/>
        <v>239.2365717241087</v>
      </c>
      <c r="AD6">
        <f t="shared" si="21"/>
        <v>122.94558490005569</v>
      </c>
      <c r="AE6">
        <f t="shared" si="22"/>
        <v>47.190277871759399</v>
      </c>
      <c r="AF6">
        <f t="shared" si="23"/>
        <v>3.2148173277362302E-2</v>
      </c>
      <c r="AG6">
        <f t="shared" si="24"/>
        <v>3.3008484138683514</v>
      </c>
      <c r="AH6">
        <f t="shared" si="25"/>
        <v>0.14950158315735962</v>
      </c>
      <c r="AI6">
        <f t="shared" si="26"/>
        <v>-0.16107242282850365</v>
      </c>
      <c r="AJ6">
        <f t="shared" si="27"/>
        <v>0</v>
      </c>
      <c r="AK6">
        <f t="shared" si="28"/>
        <v>161.70924717474003</v>
      </c>
      <c r="AL6">
        <f t="shared" si="29"/>
        <v>51.572364087866241</v>
      </c>
      <c r="AM6">
        <f t="shared" si="30"/>
        <v>51.036608991409551</v>
      </c>
      <c r="AN6">
        <f t="shared" si="31"/>
        <v>51.304486539637892</v>
      </c>
      <c r="AO6" t="s">
        <v>70</v>
      </c>
      <c r="AP6">
        <v>46.790182446566121</v>
      </c>
      <c r="AS6" t="s">
        <v>70</v>
      </c>
      <c r="AT6">
        <f>$AP$6</f>
        <v>46.790182446566121</v>
      </c>
    </row>
    <row r="7" spans="1:46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0.19907985057124322</v>
      </c>
      <c r="F7">
        <f>Align!G7</f>
        <v>0.40614708298662372</v>
      </c>
      <c r="G7">
        <f t="shared" si="0"/>
        <v>6.4366973655154416</v>
      </c>
      <c r="H7">
        <f t="shared" si="1"/>
        <v>2.7835238115389078</v>
      </c>
      <c r="I7">
        <f t="shared" si="2"/>
        <v>6.098055611939265</v>
      </c>
      <c r="J7">
        <f t="shared" si="3"/>
        <v>2.9890649246395857</v>
      </c>
      <c r="K7">
        <f t="shared" si="4"/>
        <v>26.855609167098514</v>
      </c>
      <c r="L7">
        <f t="shared" si="5"/>
        <v>7.3819364426436718E-2</v>
      </c>
      <c r="M7">
        <f t="shared" si="32"/>
        <v>6.4266045875315481E-2</v>
      </c>
      <c r="N7">
        <f t="shared" si="33"/>
        <v>0.18956214523153536</v>
      </c>
      <c r="O7">
        <f t="shared" si="6"/>
        <v>0.70027278149104633</v>
      </c>
      <c r="P7">
        <f t="shared" si="7"/>
        <v>0.60378633290492201</v>
      </c>
      <c r="Q7">
        <f t="shared" si="8"/>
        <v>6.1877610026920769</v>
      </c>
      <c r="R7">
        <f t="shared" si="9"/>
        <v>-5.3366883766475803E-3</v>
      </c>
      <c r="S7">
        <f t="shared" si="10"/>
        <v>6.4026192723943023</v>
      </c>
      <c r="T7">
        <f t="shared" si="11"/>
        <v>2.7687868776319746</v>
      </c>
      <c r="U7">
        <f t="shared" si="12"/>
        <v>6.0657704049144794</v>
      </c>
      <c r="V7">
        <f t="shared" si="13"/>
        <v>2.9732397852765446</v>
      </c>
      <c r="W7">
        <f t="shared" si="14"/>
        <v>227.66982134026034</v>
      </c>
      <c r="X7">
        <f t="shared" si="15"/>
        <v>54.700765257605347</v>
      </c>
      <c r="Y7">
        <f t="shared" si="16"/>
        <v>242.19836299271191</v>
      </c>
      <c r="Z7">
        <f t="shared" si="17"/>
        <v>125.53256165127542</v>
      </c>
      <c r="AA7">
        <f t="shared" si="18"/>
        <v>47.436494431379579</v>
      </c>
      <c r="AB7">
        <f t="shared" si="19"/>
        <v>2.5489193616595438</v>
      </c>
      <c r="AC7">
        <f t="shared" si="20"/>
        <v>244.32468604939785</v>
      </c>
      <c r="AD7">
        <f t="shared" si="21"/>
        <v>125.7297756947294</v>
      </c>
      <c r="AE7">
        <f t="shared" si="22"/>
        <v>47.380779911963401</v>
      </c>
      <c r="AF7">
        <f t="shared" si="23"/>
        <v>5.2349804686647072E-2</v>
      </c>
      <c r="AG7">
        <f t="shared" si="24"/>
        <v>2.1263230566859477</v>
      </c>
      <c r="AH7">
        <f t="shared" si="25"/>
        <v>0.19721404345398241</v>
      </c>
      <c r="AI7">
        <f t="shared" si="26"/>
        <v>-5.5714519416177666E-2</v>
      </c>
      <c r="AJ7">
        <f t="shared" si="27"/>
        <v>0</v>
      </c>
      <c r="AK7">
        <f t="shared" si="28"/>
        <v>165.26141247961888</v>
      </c>
      <c r="AL7">
        <f t="shared" si="29"/>
        <v>52.147450018111726</v>
      </c>
      <c r="AM7">
        <f t="shared" si="30"/>
        <v>51.522450473234812</v>
      </c>
      <c r="AN7">
        <f t="shared" si="31"/>
        <v>51.834950245673269</v>
      </c>
      <c r="AO7" t="s">
        <v>71</v>
      </c>
      <c r="AP7">
        <v>5.8625342988227631</v>
      </c>
      <c r="AS7" t="s">
        <v>71</v>
      </c>
      <c r="AT7">
        <f>$AP$7</f>
        <v>5.8625342988227631</v>
      </c>
    </row>
    <row r="8" spans="1:46" x14ac:dyDescent="0.25">
      <c r="A8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0.19731088611066464</v>
      </c>
      <c r="F8">
        <f>Align!G8</f>
        <v>0.40204930534036237</v>
      </c>
      <c r="G8">
        <f t="shared" si="0"/>
        <v>6.5020911040778779</v>
      </c>
      <c r="H8">
        <f t="shared" si="1"/>
        <v>2.7868294391394235</v>
      </c>
      <c r="I8">
        <f t="shared" si="2"/>
        <v>6.1527269170496286</v>
      </c>
      <c r="J8">
        <f t="shared" si="3"/>
        <v>3.0195301518361424</v>
      </c>
      <c r="K8">
        <f t="shared" si="4"/>
        <v>27.500824085314825</v>
      </c>
      <c r="L8">
        <f t="shared" si="5"/>
        <v>7.2087439774527209E-2</v>
      </c>
      <c r="M8">
        <f t="shared" si="32"/>
        <v>6.9085023116494684E-2</v>
      </c>
      <c r="N8">
        <f t="shared" si="33"/>
        <v>0.25864716834803003</v>
      </c>
      <c r="O8">
        <f t="shared" si="6"/>
        <v>0.69892420814921685</v>
      </c>
      <c r="P8">
        <f t="shared" si="7"/>
        <v>0.60262357151502077</v>
      </c>
      <c r="Q8">
        <f t="shared" si="8"/>
        <v>6.2236479877855526</v>
      </c>
      <c r="R8">
        <f t="shared" si="9"/>
        <v>-7.2886626808205124E-3</v>
      </c>
      <c r="S8">
        <f t="shared" si="10"/>
        <v>6.455211471920026</v>
      </c>
      <c r="T8">
        <f t="shared" si="11"/>
        <v>2.7667365894850109</v>
      </c>
      <c r="U8">
        <f t="shared" si="12"/>
        <v>6.108366176785915</v>
      </c>
      <c r="V8">
        <f t="shared" si="13"/>
        <v>2.9977595459584663</v>
      </c>
      <c r="W8">
        <f t="shared" si="14"/>
        <v>232.2176085364521</v>
      </c>
      <c r="X8">
        <f t="shared" si="15"/>
        <v>55.929200346783055</v>
      </c>
      <c r="Y8">
        <f t="shared" si="16"/>
        <v>248.79405770384318</v>
      </c>
      <c r="Z8">
        <f t="shared" si="17"/>
        <v>128.64743242658153</v>
      </c>
      <c r="AA8">
        <f t="shared" si="18"/>
        <v>47.640975763087503</v>
      </c>
      <c r="AB8">
        <f t="shared" si="19"/>
        <v>3.5157919774365807</v>
      </c>
      <c r="AC8">
        <f t="shared" si="20"/>
        <v>249.87359045045494</v>
      </c>
      <c r="AD8">
        <f t="shared" si="21"/>
        <v>128.77212388097868</v>
      </c>
      <c r="AE8">
        <f t="shared" si="22"/>
        <v>47.573963719252539</v>
      </c>
      <c r="AF8">
        <f t="shared" si="23"/>
        <v>7.2247760922230064E-2</v>
      </c>
      <c r="AG8">
        <f t="shared" si="24"/>
        <v>1.0795327466117612</v>
      </c>
      <c r="AH8">
        <f t="shared" si="25"/>
        <v>0.12469145439715135</v>
      </c>
      <c r="AI8">
        <f t="shared" si="26"/>
        <v>-6.7012043834964174E-2</v>
      </c>
      <c r="AJ8">
        <f t="shared" si="27"/>
        <v>1.1906492627840251</v>
      </c>
      <c r="AK8">
        <f t="shared" si="28"/>
        <v>169.13927940413745</v>
      </c>
      <c r="AL8">
        <f t="shared" si="29"/>
        <v>52.764671545446774</v>
      </c>
      <c r="AM8">
        <f t="shared" si="30"/>
        <v>52.034629041480876</v>
      </c>
      <c r="AN8">
        <f t="shared" si="31"/>
        <v>52.399650293463822</v>
      </c>
      <c r="AO8" t="s">
        <v>72</v>
      </c>
      <c r="AP8">
        <v>3.1929859964847416</v>
      </c>
      <c r="AS8" t="s">
        <v>72</v>
      </c>
      <c r="AT8">
        <f>$AP$8</f>
        <v>3.1929859964847416</v>
      </c>
    </row>
    <row r="9" spans="1:46" x14ac:dyDescent="0.25">
      <c r="A9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0.19557221353453599</v>
      </c>
      <c r="F9">
        <f>Align!G9</f>
        <v>0.3982834977610536</v>
      </c>
      <c r="G9">
        <f t="shared" si="0"/>
        <v>6.5565916733293026</v>
      </c>
      <c r="H9">
        <f t="shared" si="1"/>
        <v>2.7868294391394235</v>
      </c>
      <c r="I9">
        <f t="shared" si="2"/>
        <v>6.2074257792537608</v>
      </c>
      <c r="J9">
        <f t="shared" si="3"/>
        <v>3.0480800907506538</v>
      </c>
      <c r="K9">
        <f t="shared" si="4"/>
        <v>28.176910374471952</v>
      </c>
      <c r="L9">
        <f t="shared" si="5"/>
        <v>7.0357749435725772E-2</v>
      </c>
      <c r="M9">
        <f t="shared" si="32"/>
        <v>7.0511719199572054E-2</v>
      </c>
      <c r="N9">
        <f t="shared" si="33"/>
        <v>0.32915888754760209</v>
      </c>
      <c r="O9">
        <f t="shared" si="6"/>
        <v>0.69755313062154523</v>
      </c>
      <c r="P9">
        <f t="shared" si="7"/>
        <v>0.60144140665806523</v>
      </c>
      <c r="Q9">
        <f t="shared" si="8"/>
        <v>6.2604188950165884</v>
      </c>
      <c r="R9">
        <f t="shared" si="9"/>
        <v>-9.2848278685596641E-3</v>
      </c>
      <c r="S9">
        <f t="shared" si="10"/>
        <v>6.4965497840028563</v>
      </c>
      <c r="T9">
        <f t="shared" si="11"/>
        <v>2.7613090905965767</v>
      </c>
      <c r="U9">
        <f t="shared" si="12"/>
        <v>6.1505813713342974</v>
      </c>
      <c r="V9">
        <f t="shared" si="13"/>
        <v>3.0201673433072753</v>
      </c>
      <c r="W9">
        <f t="shared" si="14"/>
        <v>236.82946319820132</v>
      </c>
      <c r="X9">
        <f t="shared" si="15"/>
        <v>57.103852406209747</v>
      </c>
      <c r="Y9">
        <f t="shared" si="16"/>
        <v>255.56793477528933</v>
      </c>
      <c r="Z9">
        <f t="shared" si="17"/>
        <v>131.99099417432583</v>
      </c>
      <c r="AA9">
        <f t="shared" si="18"/>
        <v>47.734616617665758</v>
      </c>
      <c r="AB9">
        <f t="shared" si="19"/>
        <v>4.523980640546319</v>
      </c>
      <c r="AC9">
        <f t="shared" si="20"/>
        <v>255.6226697447303</v>
      </c>
      <c r="AD9">
        <f t="shared" si="21"/>
        <v>131.93075988888214</v>
      </c>
      <c r="AE9">
        <f t="shared" si="22"/>
        <v>47.758328802115678</v>
      </c>
      <c r="AF9">
        <f t="shared" si="23"/>
        <v>9.041746178404253E-2</v>
      </c>
      <c r="AG9">
        <f t="shared" si="24"/>
        <v>5.4734969440971781E-2</v>
      </c>
      <c r="AH9">
        <f t="shared" si="25"/>
        <v>-6.0234285443698354E-2</v>
      </c>
      <c r="AI9">
        <f t="shared" si="26"/>
        <v>2.371218444991996E-2</v>
      </c>
      <c r="AJ9">
        <f t="shared" si="27"/>
        <v>1.5361671109472863E-2</v>
      </c>
      <c r="AK9">
        <f t="shared" si="28"/>
        <v>173.16139650749821</v>
      </c>
      <c r="AL9">
        <f t="shared" si="29"/>
        <v>53.393379252439033</v>
      </c>
      <c r="AM9">
        <f t="shared" si="30"/>
        <v>52.546022484046986</v>
      </c>
      <c r="AN9">
        <f t="shared" si="31"/>
        <v>52.969700868243009</v>
      </c>
      <c r="AO9" t="s">
        <v>73</v>
      </c>
      <c r="AP9">
        <v>0.25591180780639855</v>
      </c>
      <c r="AS9" t="s">
        <v>73</v>
      </c>
      <c r="AT9">
        <f>$AP$9</f>
        <v>0.25591180780639855</v>
      </c>
    </row>
    <row r="10" spans="1:46" x14ac:dyDescent="0.25">
      <c r="A10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0.19444588691824252</v>
      </c>
      <c r="F10">
        <f>Align!G10</f>
        <v>0.39595434052709966</v>
      </c>
      <c r="G10">
        <f t="shared" si="0"/>
        <v>6.5996168080274185</v>
      </c>
      <c r="H10">
        <f t="shared" si="1"/>
        <v>2.7868294391394235</v>
      </c>
      <c r="I10">
        <f t="shared" si="2"/>
        <v>6.2433822552926674</v>
      </c>
      <c r="J10">
        <f t="shared" si="3"/>
        <v>3.0660100818288973</v>
      </c>
      <c r="K10">
        <f t="shared" si="4"/>
        <v>28.624597555231148</v>
      </c>
      <c r="L10">
        <f t="shared" si="5"/>
        <v>6.9257357982931866E-2</v>
      </c>
      <c r="M10">
        <f t="shared" si="32"/>
        <v>4.8077079568953227E-2</v>
      </c>
      <c r="N10">
        <f t="shared" si="33"/>
        <v>0.37723596711655533</v>
      </c>
      <c r="O10">
        <f t="shared" si="6"/>
        <v>0.69662136754572157</v>
      </c>
      <c r="P10">
        <f t="shared" si="7"/>
        <v>0.60063802571058666</v>
      </c>
      <c r="Q10">
        <f t="shared" si="8"/>
        <v>6.2855733036762444</v>
      </c>
      <c r="R10">
        <f t="shared" si="9"/>
        <v>-1.0648122692732187E-2</v>
      </c>
      <c r="S10">
        <f t="shared" si="10"/>
        <v>6.5304461450082254</v>
      </c>
      <c r="T10">
        <f t="shared" si="11"/>
        <v>2.7576206463209965</v>
      </c>
      <c r="U10">
        <f t="shared" si="12"/>
        <v>6.1779452908986787</v>
      </c>
      <c r="V10">
        <f t="shared" si="13"/>
        <v>3.0338751933417849</v>
      </c>
      <c r="W10">
        <f t="shared" si="14"/>
        <v>239.90152667497165</v>
      </c>
      <c r="X10">
        <f t="shared" si="15"/>
        <v>57.854922674554587</v>
      </c>
      <c r="Y10">
        <f t="shared" si="16"/>
        <v>260.01444430427017</v>
      </c>
      <c r="Z10">
        <f t="shared" si="17"/>
        <v>134.24814014051177</v>
      </c>
      <c r="AA10">
        <f t="shared" si="18"/>
        <v>47.798463859905304</v>
      </c>
      <c r="AB10">
        <f t="shared" si="19"/>
        <v>5.2239126548212917</v>
      </c>
      <c r="AC10">
        <f t="shared" si="20"/>
        <v>259.59262419275268</v>
      </c>
      <c r="AD10">
        <f t="shared" si="21"/>
        <v>134.11575413974685</v>
      </c>
      <c r="AE10">
        <f t="shared" si="22"/>
        <v>47.876392987173674</v>
      </c>
      <c r="AF10">
        <f t="shared" si="23"/>
        <v>0.10164063275616808</v>
      </c>
      <c r="AG10">
        <f t="shared" si="24"/>
        <v>-0.42182011151749066</v>
      </c>
      <c r="AH10">
        <f t="shared" si="25"/>
        <v>-0.13238600076491025</v>
      </c>
      <c r="AI10">
        <f t="shared" si="26"/>
        <v>7.7929127268369314E-2</v>
      </c>
      <c r="AJ10">
        <f t="shared" si="27"/>
        <v>0.21186202678303903</v>
      </c>
      <c r="AK10">
        <f t="shared" si="28"/>
        <v>175.94137749074881</v>
      </c>
      <c r="AL10">
        <f t="shared" si="29"/>
        <v>53.821209802905365</v>
      </c>
      <c r="AM10">
        <f t="shared" si="30"/>
        <v>52.88780791500001</v>
      </c>
      <c r="AN10">
        <f t="shared" si="31"/>
        <v>53.354508858952684</v>
      </c>
      <c r="AS10" t="s">
        <v>74</v>
      </c>
      <c r="AT10">
        <f>$AP$11</f>
        <v>154.93446902707856</v>
      </c>
    </row>
    <row r="11" spans="1:46" x14ac:dyDescent="0.25">
      <c r="A11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0.19344570800055366</v>
      </c>
      <c r="F11">
        <f>Align!G11</f>
        <v>0.39397038293851272</v>
      </c>
      <c r="G11">
        <f t="shared" si="0"/>
        <v>6.6494850504177183</v>
      </c>
      <c r="H11">
        <f t="shared" si="1"/>
        <v>2.7923563004623602</v>
      </c>
      <c r="I11">
        <f t="shared" si="2"/>
        <v>6.2756626267279367</v>
      </c>
      <c r="J11">
        <f t="shared" si="3"/>
        <v>3.0814499073385169</v>
      </c>
      <c r="K11">
        <f t="shared" si="4"/>
        <v>28.987603126200668</v>
      </c>
      <c r="L11">
        <f t="shared" si="5"/>
        <v>6.8390062861324832E-2</v>
      </c>
      <c r="M11">
        <f t="shared" si="32"/>
        <v>4.4437029371847299E-2</v>
      </c>
      <c r="N11">
        <f t="shared" si="33"/>
        <v>0.42167299648840262</v>
      </c>
      <c r="O11">
        <f t="shared" si="6"/>
        <v>0.69576236178748108</v>
      </c>
      <c r="P11">
        <f t="shared" si="7"/>
        <v>0.59989737727983106</v>
      </c>
      <c r="Q11">
        <f t="shared" si="8"/>
        <v>6.3088830407410734</v>
      </c>
      <c r="R11">
        <f t="shared" si="9"/>
        <v>-1.1909819173919867E-2</v>
      </c>
      <c r="S11">
        <f t="shared" si="10"/>
        <v>6.5716781581664483</v>
      </c>
      <c r="T11">
        <f t="shared" si="11"/>
        <v>2.759682407048075</v>
      </c>
      <c r="U11">
        <f t="shared" si="12"/>
        <v>6.2022299019228084</v>
      </c>
      <c r="V11">
        <f t="shared" si="13"/>
        <v>3.0453932745165644</v>
      </c>
      <c r="W11">
        <f t="shared" si="14"/>
        <v>242.68794101802095</v>
      </c>
      <c r="X11">
        <f t="shared" si="15"/>
        <v>58.51123229022064</v>
      </c>
      <c r="Y11">
        <f t="shared" si="16"/>
        <v>263.61542979441163</v>
      </c>
      <c r="Z11">
        <f t="shared" si="17"/>
        <v>136.12922082577501</v>
      </c>
      <c r="AA11">
        <f t="shared" si="18"/>
        <v>48.047487902025289</v>
      </c>
      <c r="AB11">
        <f t="shared" si="19"/>
        <v>5.879972809120237</v>
      </c>
      <c r="AC11">
        <f t="shared" si="20"/>
        <v>263.29839790314116</v>
      </c>
      <c r="AD11">
        <f t="shared" si="21"/>
        <v>136.15814895791053</v>
      </c>
      <c r="AE11">
        <f t="shared" si="22"/>
        <v>47.979866362533826</v>
      </c>
      <c r="AF11">
        <f t="shared" si="23"/>
        <v>0.11203624645865329</v>
      </c>
      <c r="AG11">
        <f t="shared" si="24"/>
        <v>-0.31703189127046016</v>
      </c>
      <c r="AH11">
        <f t="shared" si="25"/>
        <v>2.8928132135519036E-2</v>
      </c>
      <c r="AI11">
        <f t="shared" si="26"/>
        <v>-6.7621539491462102E-2</v>
      </c>
      <c r="AJ11">
        <f t="shared" si="27"/>
        <v>0.11847085003511439</v>
      </c>
      <c r="AK11">
        <f t="shared" si="28"/>
        <v>178.53823193965408</v>
      </c>
      <c r="AL11">
        <f t="shared" si="29"/>
        <v>54.215969606566432</v>
      </c>
      <c r="AM11">
        <f t="shared" si="30"/>
        <v>53.198537473683515</v>
      </c>
      <c r="AN11">
        <f t="shared" si="31"/>
        <v>53.707253540124974</v>
      </c>
      <c r="AO11" t="s">
        <v>74</v>
      </c>
      <c r="AP11">
        <f>($AP$4+2*$AP$5)/3</f>
        <v>154.93446902707856</v>
      </c>
      <c r="AS11" t="s">
        <v>75</v>
      </c>
      <c r="AT11">
        <f>$AP$12</f>
        <v>4.0828354305974157</v>
      </c>
    </row>
    <row r="12" spans="1:46" x14ac:dyDescent="0.25">
      <c r="A1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0.19224001764408633</v>
      </c>
      <c r="F12">
        <f>Align!G12</f>
        <v>0.39170885995096172</v>
      </c>
      <c r="G12">
        <f t="shared" si="0"/>
        <v>6.6810372216725451</v>
      </c>
      <c r="H12">
        <f t="shared" si="1"/>
        <v>2.7923563004623602</v>
      </c>
      <c r="I12">
        <f t="shared" si="2"/>
        <v>6.3150223084540222</v>
      </c>
      <c r="J12">
        <f t="shared" si="3"/>
        <v>3.0992405945374362</v>
      </c>
      <c r="K12">
        <f t="shared" si="4"/>
        <v>29.483168477962849</v>
      </c>
      <c r="L12">
        <f t="shared" si="5"/>
        <v>6.724053425539353E-2</v>
      </c>
      <c r="M12">
        <f t="shared" si="32"/>
        <v>5.5462182546186463E-2</v>
      </c>
      <c r="N12">
        <f t="shared" si="33"/>
        <v>0.47713517903458907</v>
      </c>
      <c r="O12">
        <f t="shared" si="6"/>
        <v>0.69469319793427875</v>
      </c>
      <c r="P12">
        <f t="shared" si="7"/>
        <v>0.59897552719617497</v>
      </c>
      <c r="Q12">
        <f t="shared" si="8"/>
        <v>6.3380568526774663</v>
      </c>
      <c r="R12">
        <f t="shared" si="9"/>
        <v>-1.3486735855605669E-2</v>
      </c>
      <c r="S12">
        <f t="shared" si="10"/>
        <v>6.5927146492068882</v>
      </c>
      <c r="T12">
        <f t="shared" si="11"/>
        <v>2.7554416592899558</v>
      </c>
      <c r="U12">
        <f t="shared" si="12"/>
        <v>6.231538412622494</v>
      </c>
      <c r="V12">
        <f t="shared" si="13"/>
        <v>3.058268976970095</v>
      </c>
      <c r="W12">
        <f t="shared" si="14"/>
        <v>246.11987362908579</v>
      </c>
      <c r="X12">
        <f t="shared" si="15"/>
        <v>59.279903644396214</v>
      </c>
      <c r="Y12">
        <f t="shared" si="16"/>
        <v>268.43681065493621</v>
      </c>
      <c r="Z12">
        <f t="shared" si="17"/>
        <v>138.71853485321856</v>
      </c>
      <c r="AA12">
        <f t="shared" si="18"/>
        <v>48.121435131471003</v>
      </c>
      <c r="AB12">
        <f t="shared" si="19"/>
        <v>6.7112186144491774</v>
      </c>
      <c r="AC12">
        <f t="shared" si="20"/>
        <v>267.9730270680987</v>
      </c>
      <c r="AD12">
        <f t="shared" si="21"/>
        <v>138.73834036157277</v>
      </c>
      <c r="AE12">
        <f t="shared" si="22"/>
        <v>48.101219099368365</v>
      </c>
      <c r="AF12">
        <f t="shared" si="23"/>
        <v>0.12544030036541454</v>
      </c>
      <c r="AG12">
        <f t="shared" si="24"/>
        <v>-0.46378358683750776</v>
      </c>
      <c r="AH12">
        <f t="shared" si="25"/>
        <v>1.9805508354210133E-2</v>
      </c>
      <c r="AI12">
        <f t="shared" si="26"/>
        <v>-2.0216032102638337E-2</v>
      </c>
      <c r="AJ12">
        <f t="shared" si="27"/>
        <v>0.23163143049077309</v>
      </c>
      <c r="AK12">
        <f t="shared" si="28"/>
        <v>181.81656926374808</v>
      </c>
      <c r="AL12">
        <f t="shared" si="29"/>
        <v>54.707668800926207</v>
      </c>
      <c r="AM12">
        <f t="shared" si="30"/>
        <v>53.579126170952499</v>
      </c>
      <c r="AN12">
        <f t="shared" si="31"/>
        <v>54.143397485939353</v>
      </c>
      <c r="AO12" t="s">
        <v>75</v>
      </c>
      <c r="AP12">
        <f>($AP$7+2*$AP$8)/3</f>
        <v>4.0828354305974157</v>
      </c>
      <c r="AS12" t="s">
        <v>81</v>
      </c>
      <c r="AT12">
        <f>AL4</f>
        <v>50.449216933318652</v>
      </c>
    </row>
    <row r="13" spans="1:46" x14ac:dyDescent="0.25">
      <c r="A13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0.19126401652995695</v>
      </c>
      <c r="F13">
        <f>Align!G13</f>
        <v>0.3899965242098074</v>
      </c>
      <c r="G13">
        <f t="shared" si="0"/>
        <v>6.7321482821897369</v>
      </c>
      <c r="H13">
        <f t="shared" si="1"/>
        <v>2.7901429273991463</v>
      </c>
      <c r="I13">
        <f t="shared" si="2"/>
        <v>6.3472472346091084</v>
      </c>
      <c r="J13">
        <f t="shared" si="3"/>
        <v>3.1128482554036849</v>
      </c>
      <c r="K13">
        <f t="shared" si="4"/>
        <v>29.907684050165674</v>
      </c>
      <c r="L13">
        <f t="shared" si="5"/>
        <v>6.6286108836602409E-2</v>
      </c>
      <c r="M13">
        <f t="shared" si="32"/>
        <v>4.5980489957000374E-2</v>
      </c>
      <c r="N13">
        <f t="shared" si="33"/>
        <v>0.52311566899158946</v>
      </c>
      <c r="O13">
        <f t="shared" si="6"/>
        <v>0.69380930412021513</v>
      </c>
      <c r="P13">
        <f t="shared" si="7"/>
        <v>0.59821341988774235</v>
      </c>
      <c r="Q13">
        <f t="shared" si="8"/>
        <v>6.3623112519093903</v>
      </c>
      <c r="R13">
        <f t="shared" si="9"/>
        <v>-1.4795904972228713E-2</v>
      </c>
      <c r="S13">
        <f t="shared" si="10"/>
        <v>6.6346976063922778</v>
      </c>
      <c r="T13">
        <f t="shared" si="11"/>
        <v>2.7497544358732124</v>
      </c>
      <c r="U13">
        <f t="shared" si="12"/>
        <v>6.2553681632430473</v>
      </c>
      <c r="V13">
        <f t="shared" si="13"/>
        <v>3.0677884686270689</v>
      </c>
      <c r="W13">
        <f t="shared" si="14"/>
        <v>248.95489068909907</v>
      </c>
      <c r="X13">
        <f t="shared" si="15"/>
        <v>59.877785866605478</v>
      </c>
      <c r="Y13">
        <f t="shared" si="16"/>
        <v>272.49768987933976</v>
      </c>
      <c r="Z13">
        <f t="shared" si="17"/>
        <v>140.97071855100847</v>
      </c>
      <c r="AA13">
        <f t="shared" si="18"/>
        <v>48.106386271485114</v>
      </c>
      <c r="AB13">
        <f t="shared" si="19"/>
        <v>7.4109046339374069</v>
      </c>
      <c r="AC13">
        <f t="shared" si="20"/>
        <v>271.89041305065024</v>
      </c>
      <c r="AD13">
        <f t="shared" si="21"/>
        <v>140.90382206388409</v>
      </c>
      <c r="AE13">
        <f t="shared" si="22"/>
        <v>48.195117084665696</v>
      </c>
      <c r="AF13">
        <f t="shared" si="23"/>
        <v>0.13641747655079595</v>
      </c>
      <c r="AG13">
        <f t="shared" si="24"/>
        <v>-0.60727682868952115</v>
      </c>
      <c r="AH13">
        <f t="shared" si="25"/>
        <v>-6.6896487124381565E-2</v>
      </c>
      <c r="AI13">
        <f t="shared" si="26"/>
        <v>8.8730813180582402E-2</v>
      </c>
      <c r="AJ13">
        <f t="shared" si="27"/>
        <v>0.39974317176895896</v>
      </c>
      <c r="AK13">
        <f t="shared" si="28"/>
        <v>184.56601905947278</v>
      </c>
      <c r="AL13">
        <f t="shared" si="29"/>
        <v>55.114388448152646</v>
      </c>
      <c r="AM13">
        <f t="shared" si="30"/>
        <v>53.888341998909254</v>
      </c>
      <c r="AN13">
        <f t="shared" si="31"/>
        <v>54.501365223530954</v>
      </c>
      <c r="AS13" t="s">
        <v>82</v>
      </c>
      <c r="AT13">
        <f>AM4</f>
        <v>50.065068380773575</v>
      </c>
    </row>
    <row r="14" spans="1:46" x14ac:dyDescent="0.25">
      <c r="A14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0.19049120618688217</v>
      </c>
      <c r="F14">
        <f>Align!G14</f>
        <v>0.38871581605483574</v>
      </c>
      <c r="G14">
        <f t="shared" si="0"/>
        <v>6.7644917206250303</v>
      </c>
      <c r="H14">
        <f t="shared" si="1"/>
        <v>2.7945731879761522</v>
      </c>
      <c r="I14">
        <f t="shared" si="2"/>
        <v>6.3729976007868849</v>
      </c>
      <c r="J14">
        <f t="shared" si="3"/>
        <v>3.1231042058467264</v>
      </c>
      <c r="K14">
        <f t="shared" si="4"/>
        <v>30.202246015695138</v>
      </c>
      <c r="L14">
        <f t="shared" si="5"/>
        <v>6.5639621601975451E-2</v>
      </c>
      <c r="M14">
        <f t="shared" si="32"/>
        <v>3.6911231992475216E-2</v>
      </c>
      <c r="N14">
        <f t="shared" si="33"/>
        <v>0.56002690098406471</v>
      </c>
      <c r="O14">
        <f t="shared" si="6"/>
        <v>0.69310137666497817</v>
      </c>
      <c r="P14">
        <f t="shared" si="7"/>
        <v>0.59760303357335476</v>
      </c>
      <c r="Q14">
        <f t="shared" si="8"/>
        <v>6.3818263918272748</v>
      </c>
      <c r="R14">
        <f t="shared" si="9"/>
        <v>-1.5848057757264944E-2</v>
      </c>
      <c r="S14">
        <f t="shared" si="10"/>
        <v>6.6597706306875786</v>
      </c>
      <c r="T14">
        <f t="shared" si="11"/>
        <v>2.7513104030927669</v>
      </c>
      <c r="U14">
        <f t="shared" si="12"/>
        <v>6.2743372309488539</v>
      </c>
      <c r="V14">
        <f t="shared" si="13"/>
        <v>3.074755432586008</v>
      </c>
      <c r="W14">
        <f t="shared" si="14"/>
        <v>251.23532317636312</v>
      </c>
      <c r="X14">
        <f t="shared" si="15"/>
        <v>60.334558719259618</v>
      </c>
      <c r="Y14">
        <f t="shared" si="16"/>
        <v>275.28730410585354</v>
      </c>
      <c r="Z14">
        <f t="shared" si="17"/>
        <v>142.59219620258912</v>
      </c>
      <c r="AA14">
        <f t="shared" si="18"/>
        <v>48.308568254514377</v>
      </c>
      <c r="AB14">
        <f t="shared" si="19"/>
        <v>7.9795646138187832</v>
      </c>
      <c r="AC14">
        <f t="shared" si="20"/>
        <v>275.06282166793079</v>
      </c>
      <c r="AD14">
        <f t="shared" si="21"/>
        <v>142.65964692047839</v>
      </c>
      <c r="AE14">
        <f t="shared" si="22"/>
        <v>48.266000856708743</v>
      </c>
      <c r="AF14">
        <f t="shared" si="23"/>
        <v>0.14550152124854421</v>
      </c>
      <c r="AG14">
        <f t="shared" si="24"/>
        <v>-0.22448243792274525</v>
      </c>
      <c r="AH14">
        <f t="shared" si="25"/>
        <v>6.7450717889272482E-2</v>
      </c>
      <c r="AI14">
        <f t="shared" si="26"/>
        <v>-4.2567397805633789E-2</v>
      </c>
      <c r="AJ14">
        <f t="shared" si="27"/>
        <v>7.7924640321101024E-2</v>
      </c>
      <c r="AK14">
        <f t="shared" si="28"/>
        <v>186.79403850296254</v>
      </c>
      <c r="AL14">
        <f t="shared" si="29"/>
        <v>55.440235463515727</v>
      </c>
      <c r="AM14">
        <f t="shared" si="30"/>
        <v>54.13229160916201</v>
      </c>
      <c r="AN14">
        <f t="shared" si="31"/>
        <v>54.786263536338865</v>
      </c>
      <c r="AO14" t="s">
        <v>76</v>
      </c>
      <c r="AP14">
        <f>3*$AP$11*($AP$7-3)-7*$AP$4</f>
        <v>-276.11142906867622</v>
      </c>
      <c r="AS14" t="s">
        <v>83</v>
      </c>
      <c r="AT14">
        <f>AN4</f>
        <v>50.257142657046117</v>
      </c>
    </row>
    <row r="15" spans="1:46" x14ac:dyDescent="0.25">
      <c r="A15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0.18956204408307292</v>
      </c>
      <c r="F15">
        <f>Align!G15</f>
        <v>0.38725209804704125</v>
      </c>
      <c r="G15">
        <f t="shared" si="0"/>
        <v>6.7905910940533678</v>
      </c>
      <c r="H15">
        <f t="shared" si="1"/>
        <v>2.7934643043899849</v>
      </c>
      <c r="I15">
        <f t="shared" si="2"/>
        <v>6.4042356468153585</v>
      </c>
      <c r="J15">
        <f t="shared" si="3"/>
        <v>3.1349087742128385</v>
      </c>
      <c r="K15">
        <f t="shared" si="4"/>
        <v>30.609643793405837</v>
      </c>
      <c r="L15">
        <f t="shared" si="5"/>
        <v>6.4765993795297849E-2</v>
      </c>
      <c r="M15">
        <f t="shared" si="32"/>
        <v>4.490575027022603E-2</v>
      </c>
      <c r="N15">
        <f t="shared" si="33"/>
        <v>0.60493265125429074</v>
      </c>
      <c r="O15">
        <f t="shared" si="6"/>
        <v>0.69224206632205632</v>
      </c>
      <c r="P15">
        <f t="shared" si="7"/>
        <v>0.59686212252484117</v>
      </c>
      <c r="Q15">
        <f t="shared" si="8"/>
        <v>6.4056220263322521</v>
      </c>
      <c r="R15">
        <f t="shared" si="9"/>
        <v>-1.7129542140888132E-2</v>
      </c>
      <c r="S15">
        <f t="shared" si="10"/>
        <v>6.6771772876358755</v>
      </c>
      <c r="T15">
        <f t="shared" si="11"/>
        <v>2.7468089520849843</v>
      </c>
      <c r="U15">
        <f t="shared" si="12"/>
        <v>6.2972745985295946</v>
      </c>
      <c r="V15">
        <f t="shared" si="13"/>
        <v>3.0825507494207955</v>
      </c>
      <c r="W15">
        <f t="shared" si="14"/>
        <v>254.01921636960395</v>
      </c>
      <c r="X15">
        <f t="shared" si="15"/>
        <v>60.866983549550454</v>
      </c>
      <c r="Y15">
        <f t="shared" si="16"/>
        <v>279.09286698118933</v>
      </c>
      <c r="Z15">
        <f t="shared" si="17"/>
        <v>144.82207457629573</v>
      </c>
      <c r="AA15">
        <f t="shared" si="18"/>
        <v>48.330158243757765</v>
      </c>
      <c r="AB15">
        <f t="shared" si="19"/>
        <v>8.6798413626356474</v>
      </c>
      <c r="AC15">
        <f t="shared" si="20"/>
        <v>278.95580700182904</v>
      </c>
      <c r="AD15">
        <f t="shared" si="21"/>
        <v>144.81690538366306</v>
      </c>
      <c r="AE15">
        <f t="shared" si="22"/>
        <v>48.346736627245193</v>
      </c>
      <c r="AF15">
        <f t="shared" si="23"/>
        <v>0.15706942676256119</v>
      </c>
      <c r="AG15">
        <f t="shared" si="24"/>
        <v>-0.1370599793602878</v>
      </c>
      <c r="AH15">
        <f t="shared" si="25"/>
        <v>-5.1691926326782323E-3</v>
      </c>
      <c r="AI15">
        <f t="shared" si="26"/>
        <v>1.6578383487427573E-2</v>
      </c>
      <c r="AJ15">
        <f t="shared" si="27"/>
        <v>4.375780611729204E-2</v>
      </c>
      <c r="AK15">
        <f t="shared" si="28"/>
        <v>189.52987258971839</v>
      </c>
      <c r="AL15">
        <f t="shared" si="29"/>
        <v>55.835822299980308</v>
      </c>
      <c r="AM15">
        <f t="shared" si="30"/>
        <v>54.423786537396076</v>
      </c>
      <c r="AN15">
        <f t="shared" si="31"/>
        <v>55.129804418688195</v>
      </c>
      <c r="AO15" t="s">
        <v>77</v>
      </c>
      <c r="AP15">
        <f>3*$AP$11*($AP$8-1)-7*$AP$5</f>
        <v>195.80900008741833</v>
      </c>
      <c r="AS15" t="s">
        <v>84</v>
      </c>
      <c r="AT15">
        <f>$AP$18</f>
        <v>3.1806578879974174</v>
      </c>
    </row>
    <row r="16" spans="1:46" x14ac:dyDescent="0.25">
      <c r="A16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0.18876987732243708</v>
      </c>
      <c r="F16">
        <f>Align!G16</f>
        <v>0.38605195687015897</v>
      </c>
      <c r="G16">
        <f t="shared" si="0"/>
        <v>6.8234998991995166</v>
      </c>
      <c r="H16">
        <f t="shared" si="1"/>
        <v>2.791249175146965</v>
      </c>
      <c r="I16">
        <f t="shared" si="2"/>
        <v>6.4311108171478617</v>
      </c>
      <c r="J16">
        <f t="shared" si="3"/>
        <v>3.1446544393720175</v>
      </c>
      <c r="K16">
        <f t="shared" si="4"/>
        <v>30.97109039875809</v>
      </c>
      <c r="L16">
        <f t="shared" si="5"/>
        <v>6.4010145412235625E-2</v>
      </c>
      <c r="M16">
        <f t="shared" si="32"/>
        <v>3.8801553821902597E-2</v>
      </c>
      <c r="N16">
        <f t="shared" si="33"/>
        <v>0.64373420507619339</v>
      </c>
      <c r="O16">
        <f t="shared" si="6"/>
        <v>0.6915012791962738</v>
      </c>
      <c r="P16">
        <f t="shared" si="7"/>
        <v>0.59622340407974173</v>
      </c>
      <c r="Q16">
        <f t="shared" si="8"/>
        <v>6.4262306110086245</v>
      </c>
      <c r="R16">
        <f t="shared" si="9"/>
        <v>-1.8238110156683418E-2</v>
      </c>
      <c r="S16">
        <f t="shared" si="10"/>
        <v>6.7023564046762951</v>
      </c>
      <c r="T16">
        <f t="shared" si="11"/>
        <v>2.7416937147296458</v>
      </c>
      <c r="U16">
        <f t="shared" si="12"/>
        <v>6.3169337453277556</v>
      </c>
      <c r="V16">
        <f t="shared" si="13"/>
        <v>3.0888246696818058</v>
      </c>
      <c r="W16">
        <f t="shared" si="14"/>
        <v>256.43006960624422</v>
      </c>
      <c r="X16">
        <f t="shared" si="15"/>
        <v>61.311624182301784</v>
      </c>
      <c r="Y16">
        <f t="shared" si="16"/>
        <v>282.44285238316252</v>
      </c>
      <c r="Z16">
        <f t="shared" si="17"/>
        <v>146.8132126300998</v>
      </c>
      <c r="AA16">
        <f t="shared" si="18"/>
        <v>48.305232793842627</v>
      </c>
      <c r="AB16">
        <f t="shared" si="19"/>
        <v>9.2924568603532833</v>
      </c>
      <c r="AC16">
        <f t="shared" si="20"/>
        <v>282.34937764283967</v>
      </c>
      <c r="AD16">
        <f t="shared" si="21"/>
        <v>146.69975466915588</v>
      </c>
      <c r="AE16">
        <f t="shared" si="22"/>
        <v>48.411546877545561</v>
      </c>
      <c r="AF16">
        <f t="shared" si="23"/>
        <v>0.1670646865901535</v>
      </c>
      <c r="AG16">
        <f t="shared" si="24"/>
        <v>-9.3474740322847083E-2</v>
      </c>
      <c r="AH16">
        <f t="shared" si="25"/>
        <v>-0.11345796094391858</v>
      </c>
      <c r="AI16">
        <f t="shared" si="26"/>
        <v>0.10631408370293371</v>
      </c>
      <c r="AJ16">
        <f t="shared" si="27"/>
        <v>6.0823529879036053E-2</v>
      </c>
      <c r="AK16">
        <f t="shared" si="28"/>
        <v>191.91629566038378</v>
      </c>
      <c r="AL16">
        <f t="shared" si="29"/>
        <v>56.176852721264098</v>
      </c>
      <c r="AM16">
        <f t="shared" si="30"/>
        <v>54.67084694747048</v>
      </c>
      <c r="AN16">
        <f t="shared" si="31"/>
        <v>55.423849834367289</v>
      </c>
      <c r="AO16" t="s">
        <v>78</v>
      </c>
      <c r="AP16">
        <f>3*$AP$11*($AP$9-1)-7*$AP$6</f>
        <v>-673.38600402646614</v>
      </c>
    </row>
    <row r="17" spans="1:42" x14ac:dyDescent="0.25">
      <c r="A17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0.18821761319213962</v>
      </c>
      <c r="F17">
        <f>Align!G17</f>
        <v>0.38522940940047751</v>
      </c>
      <c r="G17">
        <f t="shared" si="0"/>
        <v>6.8500574938693628</v>
      </c>
      <c r="H17">
        <f t="shared" si="1"/>
        <v>2.7945731879761522</v>
      </c>
      <c r="I17">
        <f t="shared" si="2"/>
        <v>6.4499808461639727</v>
      </c>
      <c r="J17">
        <f t="shared" si="3"/>
        <v>3.1513689515276533</v>
      </c>
      <c r="K17">
        <f t="shared" si="4"/>
        <v>31.189400511941862</v>
      </c>
      <c r="L17">
        <f t="shared" si="5"/>
        <v>6.3562106595827325E-2</v>
      </c>
      <c r="M17">
        <f t="shared" si="32"/>
        <v>2.7456293161881841E-2</v>
      </c>
      <c r="N17">
        <f t="shared" si="33"/>
        <v>0.67119049823807519</v>
      </c>
      <c r="O17">
        <f t="shared" si="6"/>
        <v>0.69097804938988994</v>
      </c>
      <c r="P17">
        <f t="shared" si="7"/>
        <v>0.59577226701656705</v>
      </c>
      <c r="Q17">
        <f t="shared" si="8"/>
        <v>6.4408400858816783</v>
      </c>
      <c r="R17">
        <f t="shared" si="9"/>
        <v>-1.9023258948949184E-2</v>
      </c>
      <c r="S17">
        <f t="shared" si="10"/>
        <v>6.7233513711966619</v>
      </c>
      <c r="T17">
        <f t="shared" si="11"/>
        <v>2.7428817191833064</v>
      </c>
      <c r="U17">
        <f t="shared" si="12"/>
        <v>6.3306749768246222</v>
      </c>
      <c r="V17">
        <f t="shared" si="13"/>
        <v>3.0930777997648304</v>
      </c>
      <c r="W17">
        <f t="shared" si="14"/>
        <v>258.13241856080026</v>
      </c>
      <c r="X17">
        <f t="shared" si="15"/>
        <v>61.620356184635945</v>
      </c>
      <c r="Y17">
        <f t="shared" si="16"/>
        <v>284.45909671007894</v>
      </c>
      <c r="Z17">
        <f t="shared" si="17"/>
        <v>148.05504526616772</v>
      </c>
      <c r="AA17">
        <f t="shared" si="18"/>
        <v>48.457017109996599</v>
      </c>
      <c r="AB17">
        <f t="shared" si="19"/>
        <v>9.7301960959978331</v>
      </c>
      <c r="AC17">
        <f t="shared" si="20"/>
        <v>284.76746567287688</v>
      </c>
      <c r="AD17">
        <f t="shared" si="21"/>
        <v>148.04269753645914</v>
      </c>
      <c r="AE17">
        <f t="shared" si="22"/>
        <v>48.454588218654315</v>
      </c>
      <c r="AF17">
        <f t="shared" si="23"/>
        <v>0.17436089517037701</v>
      </c>
      <c r="AG17">
        <f t="shared" si="24"/>
        <v>0.30836896279794246</v>
      </c>
      <c r="AH17">
        <f t="shared" si="25"/>
        <v>-1.2347729708579891E-2</v>
      </c>
      <c r="AI17">
        <f t="shared" si="26"/>
        <v>-2.4288913422836345E-3</v>
      </c>
      <c r="AJ17">
        <f t="shared" si="27"/>
        <v>0.12565150492380278</v>
      </c>
      <c r="AK17">
        <f t="shared" si="28"/>
        <v>193.6176202485984</v>
      </c>
      <c r="AL17">
        <f t="shared" si="29"/>
        <v>56.417706558476127</v>
      </c>
      <c r="AM17">
        <f t="shared" si="30"/>
        <v>54.842904623486618</v>
      </c>
      <c r="AN17">
        <f t="shared" si="31"/>
        <v>55.630305590981372</v>
      </c>
    </row>
    <row r="18" spans="1:42" x14ac:dyDescent="0.25">
      <c r="A18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0.18751881685054153</v>
      </c>
      <c r="F18">
        <f>Align!G18</f>
        <v>0.38419063426876759</v>
      </c>
      <c r="G18">
        <f t="shared" si="0"/>
        <v>6.8768226247527133</v>
      </c>
      <c r="H18">
        <f t="shared" si="1"/>
        <v>2.7979051271739794</v>
      </c>
      <c r="I18">
        <f t="shared" si="2"/>
        <v>6.4740169567494474</v>
      </c>
      <c r="J18">
        <f t="shared" si="3"/>
        <v>3.1598896269572361</v>
      </c>
      <c r="K18">
        <f t="shared" si="4"/>
        <v>31.47519808872412</v>
      </c>
      <c r="L18">
        <f t="shared" si="5"/>
        <v>6.2984957057671723E-2</v>
      </c>
      <c r="M18">
        <f t="shared" si="32"/>
        <v>3.5406345744320875E-2</v>
      </c>
      <c r="N18">
        <f t="shared" si="33"/>
        <v>0.70659684398239608</v>
      </c>
      <c r="O18">
        <f t="shared" si="6"/>
        <v>0.69030448458599902</v>
      </c>
      <c r="P18">
        <f t="shared" si="7"/>
        <v>0.59519150872684856</v>
      </c>
      <c r="Q18">
        <f t="shared" si="8"/>
        <v>6.4597124434423927</v>
      </c>
      <c r="R18">
        <f t="shared" si="9"/>
        <v>-2.0036627300280996E-2</v>
      </c>
      <c r="S18">
        <f t="shared" si="10"/>
        <v>6.7430418999563342</v>
      </c>
      <c r="T18">
        <f t="shared" si="11"/>
        <v>2.7434750805885768</v>
      </c>
      <c r="U18">
        <f t="shared" si="12"/>
        <v>6.3480723558663996</v>
      </c>
      <c r="V18">
        <f t="shared" si="13"/>
        <v>3.098417585632613</v>
      </c>
      <c r="W18">
        <f t="shared" si="14"/>
        <v>260.31363826346865</v>
      </c>
      <c r="X18">
        <f t="shared" si="15"/>
        <v>62.014476717794849</v>
      </c>
      <c r="Y18">
        <f t="shared" si="16"/>
        <v>287.10253108724874</v>
      </c>
      <c r="Z18">
        <f t="shared" si="17"/>
        <v>149.67913123976899</v>
      </c>
      <c r="AA18">
        <f t="shared" si="18"/>
        <v>48.62003030590482</v>
      </c>
      <c r="AB18">
        <f t="shared" si="19"/>
        <v>10.299914661331441</v>
      </c>
      <c r="AC18">
        <f t="shared" si="20"/>
        <v>287.9063420814482</v>
      </c>
      <c r="AD18">
        <f t="shared" si="21"/>
        <v>149.7875746513256</v>
      </c>
      <c r="AE18">
        <f t="shared" si="22"/>
        <v>48.50659153377125</v>
      </c>
      <c r="AF18">
        <f t="shared" si="23"/>
        <v>0.18450352532041236</v>
      </c>
      <c r="AG18">
        <f t="shared" si="24"/>
        <v>0.80381099419946622</v>
      </c>
      <c r="AH18">
        <f t="shared" si="25"/>
        <v>0.10844341155660686</v>
      </c>
      <c r="AI18">
        <f t="shared" si="26"/>
        <v>-0.1134387721335699</v>
      </c>
      <c r="AJ18">
        <f t="shared" si="27"/>
        <v>0.704781993784802</v>
      </c>
      <c r="AK18">
        <f t="shared" si="28"/>
        <v>195.8271637946998</v>
      </c>
      <c r="AL18">
        <f t="shared" si="29"/>
        <v>56.727708406287277</v>
      </c>
      <c r="AM18">
        <f t="shared" si="30"/>
        <v>55.061320634102167</v>
      </c>
      <c r="AN18">
        <f t="shared" si="31"/>
        <v>55.894514520194718</v>
      </c>
      <c r="AO18" t="s">
        <v>79</v>
      </c>
      <c r="AP18">
        <f>SUM(AJ4:AJ25)</f>
        <v>3.1806578879974174</v>
      </c>
    </row>
    <row r="19" spans="1:42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0.18689416907287151</v>
      </c>
      <c r="F19">
        <f>Align!G19</f>
        <v>0.3832512269076177</v>
      </c>
      <c r="G19">
        <f t="shared" si="0"/>
        <v>6.9037977341019108</v>
      </c>
      <c r="H19">
        <f t="shared" si="1"/>
        <v>2.791249175146965</v>
      </c>
      <c r="I19">
        <f t="shared" si="2"/>
        <v>6.4956547655943817</v>
      </c>
      <c r="J19">
        <f t="shared" si="3"/>
        <v>3.167634999620323</v>
      </c>
      <c r="K19">
        <f t="shared" si="4"/>
        <v>31.805434890110856</v>
      </c>
      <c r="L19">
        <f t="shared" si="5"/>
        <v>6.233098232580369E-2</v>
      </c>
      <c r="M19">
        <f t="shared" si="32"/>
        <v>3.2364823372575742E-2</v>
      </c>
      <c r="N19">
        <f t="shared" si="33"/>
        <v>0.73896166735497182</v>
      </c>
      <c r="O19">
        <f t="shared" si="6"/>
        <v>0.68968992902311566</v>
      </c>
      <c r="P19">
        <f t="shared" si="7"/>
        <v>0.59466162914351028</v>
      </c>
      <c r="Q19">
        <f t="shared" si="8"/>
        <v>6.4769958217230323</v>
      </c>
      <c r="R19">
        <f t="shared" si="9"/>
        <v>-2.0963808563681963E-2</v>
      </c>
      <c r="S19">
        <f t="shared" si="10"/>
        <v>6.7634655812822357</v>
      </c>
      <c r="T19">
        <f t="shared" si="11"/>
        <v>2.7345119964388358</v>
      </c>
      <c r="U19">
        <f t="shared" si="12"/>
        <v>6.3636188554566093</v>
      </c>
      <c r="V19">
        <f t="shared" si="13"/>
        <v>3.1032470995160195</v>
      </c>
      <c r="W19">
        <f t="shared" si="14"/>
        <v>262.2901230583152</v>
      </c>
      <c r="X19">
        <f t="shared" si="15"/>
        <v>62.374393127956914</v>
      </c>
      <c r="Y19">
        <f t="shared" si="16"/>
        <v>290.17471320764378</v>
      </c>
      <c r="Z19">
        <f t="shared" si="17"/>
        <v>151.48363187706568</v>
      </c>
      <c r="AA19">
        <f t="shared" si="18"/>
        <v>48.432098053292613</v>
      </c>
      <c r="AB19">
        <f t="shared" si="19"/>
        <v>10.825878522872683</v>
      </c>
      <c r="AC19">
        <f t="shared" si="20"/>
        <v>290.79600090487349</v>
      </c>
      <c r="AD19">
        <f t="shared" si="21"/>
        <v>151.39552959004101</v>
      </c>
      <c r="AE19">
        <f t="shared" si="22"/>
        <v>48.550629341073254</v>
      </c>
      <c r="AF19">
        <f t="shared" si="23"/>
        <v>0.19393575438452615</v>
      </c>
      <c r="AG19">
        <f t="shared" si="24"/>
        <v>0.62128769722971811</v>
      </c>
      <c r="AH19">
        <f t="shared" si="25"/>
        <v>-8.8102287024668158E-2</v>
      </c>
      <c r="AI19">
        <f t="shared" si="26"/>
        <v>0.11853128778064104</v>
      </c>
      <c r="AJ19">
        <f t="shared" si="27"/>
        <v>0</v>
      </c>
      <c r="AK19">
        <f t="shared" si="28"/>
        <v>197.86235336165183</v>
      </c>
      <c r="AL19">
        <f t="shared" si="29"/>
        <v>57.010471867610455</v>
      </c>
      <c r="AM19">
        <f t="shared" si="30"/>
        <v>55.257488291373733</v>
      </c>
      <c r="AN19">
        <f t="shared" si="31"/>
        <v>56.13398007949209</v>
      </c>
    </row>
    <row r="20" spans="1:42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0.18653850947206904</v>
      </c>
      <c r="F20">
        <f>Align!G20</f>
        <v>0.38270781210782145</v>
      </c>
      <c r="G20">
        <f t="shared" si="0"/>
        <v>6.9241683553243671</v>
      </c>
      <c r="H20">
        <f t="shared" si="1"/>
        <v>2.7868294391394235</v>
      </c>
      <c r="I20">
        <f t="shared" si="2"/>
        <v>6.5080395647836768</v>
      </c>
      <c r="J20">
        <f t="shared" si="3"/>
        <v>3.1721327905843113</v>
      </c>
      <c r="K20">
        <f t="shared" si="4"/>
        <v>31.999354546317505</v>
      </c>
      <c r="L20">
        <f t="shared" si="5"/>
        <v>6.1953249623534747E-2</v>
      </c>
      <c r="M20">
        <f t="shared" si="32"/>
        <v>1.872404835582292E-2</v>
      </c>
      <c r="N20">
        <f t="shared" si="33"/>
        <v>0.75768571571079479</v>
      </c>
      <c r="O20">
        <f t="shared" si="6"/>
        <v>0.68933488906631424</v>
      </c>
      <c r="P20">
        <f t="shared" si="7"/>
        <v>0.59435550804439319</v>
      </c>
      <c r="Q20">
        <f t="shared" si="8"/>
        <v>6.4870088514782571</v>
      </c>
      <c r="R20">
        <f t="shared" si="9"/>
        <v>-2.1500588591343406E-2</v>
      </c>
      <c r="S20">
        <f t="shared" si="10"/>
        <v>6.7799301492812587</v>
      </c>
      <c r="T20">
        <f t="shared" si="11"/>
        <v>2.7287766509601039</v>
      </c>
      <c r="U20">
        <f t="shared" si="12"/>
        <v>6.3724697889621318</v>
      </c>
      <c r="V20">
        <f t="shared" si="13"/>
        <v>3.1060537007117253</v>
      </c>
      <c r="W20">
        <f t="shared" si="14"/>
        <v>263.42686349139677</v>
      </c>
      <c r="X20">
        <f t="shared" si="15"/>
        <v>62.583869336642834</v>
      </c>
      <c r="Y20">
        <f t="shared" si="16"/>
        <v>291.98718597609388</v>
      </c>
      <c r="Z20">
        <f t="shared" si="17"/>
        <v>152.53928606045969</v>
      </c>
      <c r="AA20">
        <f t="shared" si="18"/>
        <v>48.303708094294265</v>
      </c>
      <c r="AB20">
        <f t="shared" si="19"/>
        <v>11.132439048750213</v>
      </c>
      <c r="AC20">
        <f t="shared" si="20"/>
        <v>292.47670327456439</v>
      </c>
      <c r="AD20">
        <f t="shared" si="21"/>
        <v>152.33146780605406</v>
      </c>
      <c r="AE20">
        <f t="shared" si="22"/>
        <v>48.574561619947239</v>
      </c>
      <c r="AF20">
        <f t="shared" si="23"/>
        <v>0.19918616131703359</v>
      </c>
      <c r="AG20">
        <f t="shared" si="24"/>
        <v>0.48951729847050274</v>
      </c>
      <c r="AH20">
        <f t="shared" si="25"/>
        <v>-0.20781825440562329</v>
      </c>
      <c r="AI20">
        <f t="shared" si="26"/>
        <v>0.27085352565297427</v>
      </c>
      <c r="AJ20">
        <f t="shared" si="27"/>
        <v>0</v>
      </c>
      <c r="AK20">
        <f t="shared" si="28"/>
        <v>199.0465462955575</v>
      </c>
      <c r="AL20">
        <f t="shared" si="29"/>
        <v>57.173784065670404</v>
      </c>
      <c r="AM20">
        <f t="shared" si="30"/>
        <v>55.369427246172656</v>
      </c>
      <c r="AN20">
        <f t="shared" si="31"/>
        <v>56.271605655921533</v>
      </c>
    </row>
    <row r="21" spans="1:42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0.18628790984322882</v>
      </c>
      <c r="F21">
        <f>Align!G21</f>
        <v>0.38232053933053556</v>
      </c>
      <c r="G21">
        <f t="shared" si="0"/>
        <v>6.9583878503224321</v>
      </c>
      <c r="H21">
        <f t="shared" si="1"/>
        <v>2.7846248157265188</v>
      </c>
      <c r="I21">
        <f t="shared" si="2"/>
        <v>6.5167943589127466</v>
      </c>
      <c r="J21">
        <f t="shared" si="3"/>
        <v>3.1753460123428923</v>
      </c>
      <c r="K21">
        <f t="shared" si="4"/>
        <v>32.129761563877068</v>
      </c>
      <c r="L21">
        <f t="shared" si="5"/>
        <v>6.1701796200966816E-2</v>
      </c>
      <c r="M21">
        <f t="shared" si="32"/>
        <v>1.3306613059117406E-2</v>
      </c>
      <c r="N21">
        <f t="shared" si="33"/>
        <v>0.77099232876991219</v>
      </c>
      <c r="O21">
        <f t="shared" si="6"/>
        <v>0.68908279505515913</v>
      </c>
      <c r="P21">
        <f t="shared" si="7"/>
        <v>0.59413814857738867</v>
      </c>
      <c r="Q21">
        <f t="shared" si="8"/>
        <v>6.4941310773024643</v>
      </c>
      <c r="R21">
        <f t="shared" si="9"/>
        <v>-2.1882229880643811E-2</v>
      </c>
      <c r="S21">
        <f t="shared" si="10"/>
        <v>6.8109450979801736</v>
      </c>
      <c r="T21">
        <f t="shared" si="11"/>
        <v>2.7256208113647542</v>
      </c>
      <c r="U21">
        <f t="shared" si="12"/>
        <v>6.3787086244876274</v>
      </c>
      <c r="V21">
        <f t="shared" si="13"/>
        <v>3.1080629338813837</v>
      </c>
      <c r="W21">
        <f t="shared" si="14"/>
        <v>264.23270987572039</v>
      </c>
      <c r="X21">
        <f t="shared" si="15"/>
        <v>62.733664689059403</v>
      </c>
      <c r="Y21">
        <f t="shared" si="16"/>
        <v>293.21012531517783</v>
      </c>
      <c r="Z21">
        <f t="shared" si="17"/>
        <v>153.25408821733032</v>
      </c>
      <c r="AA21">
        <f t="shared" si="18"/>
        <v>48.24495696933068</v>
      </c>
      <c r="AB21">
        <f t="shared" si="19"/>
        <v>11.351319768871523</v>
      </c>
      <c r="AC21">
        <f t="shared" si="20"/>
        <v>293.67512625931897</v>
      </c>
      <c r="AD21">
        <f t="shared" si="21"/>
        <v>152.99915473812783</v>
      </c>
      <c r="AE21">
        <f t="shared" si="22"/>
        <v>48.590874755239739</v>
      </c>
      <c r="AF21">
        <f t="shared" si="23"/>
        <v>0.20284536790620855</v>
      </c>
      <c r="AG21">
        <f t="shared" si="24"/>
        <v>0.46500094414113846</v>
      </c>
      <c r="AH21">
        <f t="shared" si="25"/>
        <v>-0.25493347920249221</v>
      </c>
      <c r="AI21">
        <f t="shared" si="26"/>
        <v>0.34591778590905875</v>
      </c>
      <c r="AJ21">
        <f t="shared" si="27"/>
        <v>0</v>
      </c>
      <c r="AK21">
        <f t="shared" si="28"/>
        <v>199.89114524519155</v>
      </c>
      <c r="AL21">
        <f t="shared" si="29"/>
        <v>57.289719157382066</v>
      </c>
      <c r="AM21">
        <f t="shared" si="30"/>
        <v>55.448278176902583</v>
      </c>
      <c r="AN21">
        <f t="shared" si="31"/>
        <v>56.368998667142321</v>
      </c>
    </row>
    <row r="22" spans="1:42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0.18584227706986439</v>
      </c>
      <c r="F22">
        <f>Align!G22</f>
        <v>0.38162352074308936</v>
      </c>
      <c r="G22">
        <f t="shared" si="0"/>
        <v>6.9790823795993937</v>
      </c>
      <c r="H22">
        <f t="shared" si="1"/>
        <v>2.7868294391394235</v>
      </c>
      <c r="I22">
        <f t="shared" si="2"/>
        <v>6.5324210354117449</v>
      </c>
      <c r="J22">
        <f t="shared" si="3"/>
        <v>3.1811456422710123</v>
      </c>
      <c r="K22">
        <f t="shared" si="4"/>
        <v>32.317300153417648</v>
      </c>
      <c r="L22">
        <f t="shared" si="5"/>
        <v>6.1343738201792467E-2</v>
      </c>
      <c r="M22">
        <f t="shared" si="32"/>
        <v>2.3833841532781376E-2</v>
      </c>
      <c r="N22">
        <f t="shared" si="33"/>
        <v>0.79482617030269354</v>
      </c>
      <c r="O22">
        <f t="shared" si="6"/>
        <v>0.68863172311342746</v>
      </c>
      <c r="P22">
        <f t="shared" si="7"/>
        <v>0.59374922717308309</v>
      </c>
      <c r="Q22">
        <f t="shared" si="8"/>
        <v>6.5069009196617422</v>
      </c>
      <c r="R22">
        <f t="shared" si="9"/>
        <v>-2.2566147050284036E-2</v>
      </c>
      <c r="S22">
        <f t="shared" si="10"/>
        <v>6.826729438656379</v>
      </c>
      <c r="T22">
        <f t="shared" si="11"/>
        <v>2.7259931231502952</v>
      </c>
      <c r="U22">
        <f t="shared" si="12"/>
        <v>6.3898186842585094</v>
      </c>
      <c r="V22">
        <f t="shared" si="13"/>
        <v>3.1117014277157078</v>
      </c>
      <c r="W22">
        <f t="shared" si="14"/>
        <v>265.6753513660758</v>
      </c>
      <c r="X22">
        <f t="shared" si="15"/>
        <v>63.00427697575671</v>
      </c>
      <c r="Y22">
        <f t="shared" si="16"/>
        <v>294.97784272108748</v>
      </c>
      <c r="Z22">
        <f t="shared" si="17"/>
        <v>154.31804309206822</v>
      </c>
      <c r="AA22">
        <f t="shared" si="18"/>
        <v>48.353031298250862</v>
      </c>
      <c r="AB22">
        <f t="shared" si="19"/>
        <v>11.745483686375222</v>
      </c>
      <c r="AC22">
        <f t="shared" si="20"/>
        <v>295.82998311643104</v>
      </c>
      <c r="AD22">
        <f t="shared" si="21"/>
        <v>154.20036939196547</v>
      </c>
      <c r="AE22">
        <f t="shared" si="22"/>
        <v>48.618638970804334</v>
      </c>
      <c r="AF22">
        <f t="shared" si="23"/>
        <v>0.2096105610520258</v>
      </c>
      <c r="AG22">
        <f t="shared" si="24"/>
        <v>0.85214039534355379</v>
      </c>
      <c r="AH22">
        <f t="shared" si="25"/>
        <v>-0.11767370010275613</v>
      </c>
      <c r="AI22">
        <f t="shared" si="26"/>
        <v>0.26560767255347173</v>
      </c>
      <c r="AJ22">
        <f t="shared" si="27"/>
        <v>0</v>
      </c>
      <c r="AK22">
        <f t="shared" si="28"/>
        <v>201.41024063345398</v>
      </c>
      <c r="AL22">
        <f t="shared" si="29"/>
        <v>57.497106127375716</v>
      </c>
      <c r="AM22">
        <f t="shared" si="30"/>
        <v>55.588036764585013</v>
      </c>
      <c r="AN22">
        <f t="shared" si="31"/>
        <v>56.542571445980364</v>
      </c>
    </row>
    <row r="23" spans="1:42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0.18525167989688088</v>
      </c>
      <c r="F23">
        <f>Align!G23</f>
        <v>0.38069110863859346</v>
      </c>
      <c r="G23">
        <f t="shared" si="0"/>
        <v>7.0068673252162164</v>
      </c>
      <c r="H23">
        <f t="shared" si="1"/>
        <v>2.7835238115389078</v>
      </c>
      <c r="I23">
        <f t="shared" si="2"/>
        <v>6.5532469161724469</v>
      </c>
      <c r="J23">
        <f t="shared" si="3"/>
        <v>3.1889371000584696</v>
      </c>
      <c r="K23">
        <f t="shared" si="4"/>
        <v>32.614372065118232</v>
      </c>
      <c r="L23">
        <f t="shared" si="5"/>
        <v>6.0784981419902531E-2</v>
      </c>
      <c r="M23">
        <f t="shared" si="32"/>
        <v>3.1541673459269469E-2</v>
      </c>
      <c r="N23">
        <f t="shared" si="33"/>
        <v>0.82636784376196304</v>
      </c>
      <c r="O23">
        <f t="shared" si="6"/>
        <v>0.68803568222651923</v>
      </c>
      <c r="P23">
        <f t="shared" si="7"/>
        <v>0.59323531123792206</v>
      </c>
      <c r="Q23">
        <f t="shared" si="8"/>
        <v>6.5238262327542076</v>
      </c>
      <c r="R23">
        <f t="shared" si="9"/>
        <v>-2.3471930603017221E-2</v>
      </c>
      <c r="S23">
        <f t="shared" si="10"/>
        <v>6.8479754834884172</v>
      </c>
      <c r="T23">
        <f t="shared" si="11"/>
        <v>2.7204029895822921</v>
      </c>
      <c r="U23">
        <f t="shared" si="12"/>
        <v>6.4046416374538957</v>
      </c>
      <c r="V23">
        <f t="shared" si="13"/>
        <v>3.1166228880911744</v>
      </c>
      <c r="W23">
        <f t="shared" si="14"/>
        <v>267.60366287129602</v>
      </c>
      <c r="X23">
        <f t="shared" si="15"/>
        <v>63.368130730136215</v>
      </c>
      <c r="Y23">
        <f t="shared" si="16"/>
        <v>297.77956632179212</v>
      </c>
      <c r="Z23">
        <f t="shared" si="17"/>
        <v>155.95535313627161</v>
      </c>
      <c r="AA23">
        <f t="shared" si="18"/>
        <v>48.280179004888197</v>
      </c>
      <c r="AB23">
        <f t="shared" si="19"/>
        <v>12.271322271254025</v>
      </c>
      <c r="AC23">
        <f t="shared" si="20"/>
        <v>298.69820797458596</v>
      </c>
      <c r="AD23">
        <f t="shared" si="21"/>
        <v>155.80056242990432</v>
      </c>
      <c r="AE23">
        <f t="shared" si="22"/>
        <v>48.652483302118796</v>
      </c>
      <c r="AF23">
        <f t="shared" si="23"/>
        <v>0.21891751345367361</v>
      </c>
      <c r="AG23">
        <f t="shared" si="24"/>
        <v>0.91864165279383769</v>
      </c>
      <c r="AH23">
        <f t="shared" si="25"/>
        <v>-0.15479070636729375</v>
      </c>
      <c r="AI23">
        <f t="shared" si="26"/>
        <v>0.37230429723059899</v>
      </c>
      <c r="AJ23">
        <f t="shared" si="27"/>
        <v>0</v>
      </c>
      <c r="AK23">
        <f t="shared" si="28"/>
        <v>203.43311094479819</v>
      </c>
      <c r="AL23">
        <f t="shared" si="29"/>
        <v>57.771019090207595</v>
      </c>
      <c r="AM23">
        <f t="shared" si="30"/>
        <v>55.770040939577619</v>
      </c>
      <c r="AN23">
        <f t="shared" si="31"/>
        <v>56.770530014892607</v>
      </c>
    </row>
    <row r="24" spans="1:42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0.18495311800280445</v>
      </c>
      <c r="F24">
        <f>Align!G24</f>
        <v>0.38022277732041276</v>
      </c>
      <c r="G24">
        <f t="shared" si="0"/>
        <v>7.0278516536758504</v>
      </c>
      <c r="H24">
        <f t="shared" si="1"/>
        <v>2.7769360266922449</v>
      </c>
      <c r="I24">
        <f t="shared" si="2"/>
        <v>6.5638255418953904</v>
      </c>
      <c r="J24">
        <f t="shared" si="3"/>
        <v>3.1928650054990402</v>
      </c>
      <c r="K24">
        <f t="shared" si="4"/>
        <v>32.801974149316564</v>
      </c>
      <c r="L24">
        <f t="shared" si="5"/>
        <v>6.0437338038732184E-2</v>
      </c>
      <c r="M24">
        <f t="shared" si="32"/>
        <v>1.5653790640659016E-2</v>
      </c>
      <c r="N24">
        <f t="shared" si="33"/>
        <v>0.84202163440262201</v>
      </c>
      <c r="O24">
        <f t="shared" si="6"/>
        <v>0.68774025653352366</v>
      </c>
      <c r="P24">
        <f t="shared" si="7"/>
        <v>0.59298059050546714</v>
      </c>
      <c r="Q24">
        <f t="shared" si="8"/>
        <v>6.5322369686948649</v>
      </c>
      <c r="R24">
        <f t="shared" si="9"/>
        <v>-2.3921752382348727E-2</v>
      </c>
      <c r="S24">
        <f t="shared" si="10"/>
        <v>6.8655347999695717</v>
      </c>
      <c r="T24">
        <f t="shared" si="11"/>
        <v>2.7127992832024268</v>
      </c>
      <c r="U24">
        <f t="shared" si="12"/>
        <v>6.4122259403756123</v>
      </c>
      <c r="V24">
        <f t="shared" si="13"/>
        <v>3.1191218721005969</v>
      </c>
      <c r="W24">
        <f t="shared" si="14"/>
        <v>268.583645702978</v>
      </c>
      <c r="X24">
        <f t="shared" si="15"/>
        <v>63.551619074474459</v>
      </c>
      <c r="Y24">
        <f t="shared" si="16"/>
        <v>299.54176273486951</v>
      </c>
      <c r="Z24">
        <f t="shared" si="17"/>
        <v>156.95946606997484</v>
      </c>
      <c r="AA24">
        <f t="shared" si="18"/>
        <v>48.072560558528721</v>
      </c>
      <c r="AB24">
        <f t="shared" si="19"/>
        <v>12.534075878963188</v>
      </c>
      <c r="AC24">
        <f t="shared" si="20"/>
        <v>300.12867685792429</v>
      </c>
      <c r="AD24">
        <f t="shared" si="21"/>
        <v>156.59918502213557</v>
      </c>
      <c r="AE24">
        <f t="shared" si="22"/>
        <v>48.668041234233719</v>
      </c>
      <c r="AF24">
        <f t="shared" si="23"/>
        <v>0.22340530492425792</v>
      </c>
      <c r="AG24">
        <f t="shared" si="24"/>
        <v>0.58691412305478252</v>
      </c>
      <c r="AH24">
        <f t="shared" si="25"/>
        <v>-0.36028104783926551</v>
      </c>
      <c r="AI24">
        <f t="shared" si="26"/>
        <v>0.59548067570499796</v>
      </c>
      <c r="AJ24">
        <f t="shared" si="27"/>
        <v>0</v>
      </c>
      <c r="AK24">
        <f t="shared" si="28"/>
        <v>204.44234896739849</v>
      </c>
      <c r="AL24">
        <f t="shared" si="29"/>
        <v>57.906723107697971</v>
      </c>
      <c r="AM24">
        <f t="shared" si="30"/>
        <v>55.859099191251865</v>
      </c>
      <c r="AN24">
        <f t="shared" si="31"/>
        <v>56.882911149474921</v>
      </c>
    </row>
    <row r="25" spans="1:42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0.18475088415451557</v>
      </c>
      <c r="F25">
        <f>Align!G25</f>
        <v>0.37990972573080195</v>
      </c>
      <c r="G25">
        <f t="shared" si="0"/>
        <v>7.0489620483868389</v>
      </c>
      <c r="H25">
        <f t="shared" si="1"/>
        <v>2.7780318245128113</v>
      </c>
      <c r="I25">
        <f t="shared" si="2"/>
        <v>6.5710105018208003</v>
      </c>
      <c r="J25">
        <f t="shared" si="3"/>
        <v>3.1954959764842168</v>
      </c>
      <c r="K25">
        <f t="shared" si="4"/>
        <v>32.888231257697939</v>
      </c>
      <c r="L25">
        <f t="shared" si="5"/>
        <v>6.0278826929495551E-2</v>
      </c>
      <c r="M25">
        <f t="shared" si="32"/>
        <v>1.0392286292903419E-2</v>
      </c>
      <c r="N25">
        <f t="shared" si="33"/>
        <v>0.85241392069552546</v>
      </c>
      <c r="O25">
        <f t="shared" si="6"/>
        <v>0.68754426850307326</v>
      </c>
      <c r="P25">
        <f t="shared" si="7"/>
        <v>0.59281160650762144</v>
      </c>
      <c r="Q25">
        <f t="shared" si="8"/>
        <v>6.5378247044538922</v>
      </c>
      <c r="R25">
        <f t="shared" si="9"/>
        <v>-2.4220488135481166E-2</v>
      </c>
      <c r="S25">
        <f t="shared" si="10"/>
        <v>6.8841952489546232</v>
      </c>
      <c r="T25">
        <f t="shared" si="11"/>
        <v>2.7130963901461915</v>
      </c>
      <c r="U25">
        <f t="shared" si="12"/>
        <v>6.4174156375005609</v>
      </c>
      <c r="V25">
        <f t="shared" si="13"/>
        <v>3.1208024767845948</v>
      </c>
      <c r="W25">
        <f t="shared" si="14"/>
        <v>269.24869577483963</v>
      </c>
      <c r="X25">
        <f t="shared" si="15"/>
        <v>63.674542877086076</v>
      </c>
      <c r="Y25">
        <f t="shared" si="16"/>
        <v>300.34933810958057</v>
      </c>
      <c r="Z25">
        <f t="shared" si="17"/>
        <v>157.44993118803797</v>
      </c>
      <c r="AA25">
        <f t="shared" si="18"/>
        <v>48.12422170971557</v>
      </c>
      <c r="AB25">
        <f t="shared" si="19"/>
        <v>12.709170151055799</v>
      </c>
      <c r="AC25">
        <f t="shared" si="20"/>
        <v>301.08091300390834</v>
      </c>
      <c r="AD25">
        <f t="shared" si="21"/>
        <v>157.13101850835193</v>
      </c>
      <c r="AE25">
        <f t="shared" si="22"/>
        <v>48.67791232793455</v>
      </c>
      <c r="AF25">
        <f t="shared" si="23"/>
        <v>0.22632236619114998</v>
      </c>
      <c r="AG25">
        <f t="shared" si="24"/>
        <v>0.73157489432776401</v>
      </c>
      <c r="AH25">
        <f t="shared" si="25"/>
        <v>-0.31891267968603643</v>
      </c>
      <c r="AI25">
        <f t="shared" si="26"/>
        <v>0.55369061821897958</v>
      </c>
      <c r="AJ25">
        <f t="shared" si="27"/>
        <v>0</v>
      </c>
      <c r="AK25">
        <f t="shared" si="28"/>
        <v>205.11431667353739</v>
      </c>
      <c r="AL25">
        <f t="shared" si="29"/>
        <v>57.996726295872008</v>
      </c>
      <c r="AM25">
        <f t="shared" si="30"/>
        <v>55.917752796633586</v>
      </c>
      <c r="AN25">
        <f t="shared" si="31"/>
        <v>56.957239546252794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3C4B7-07BF-43B8-9CD7-4AB6107566FB}">
  <dimension ref="A3:AT25"/>
  <sheetViews>
    <sheetView workbookViewId="0"/>
  </sheetViews>
  <sheetFormatPr defaultRowHeight="15" x14ac:dyDescent="0.25"/>
  <sheetData>
    <row r="3" spans="1:46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97</v>
      </c>
      <c r="S3" t="s">
        <v>98</v>
      </c>
      <c r="T3" t="s">
        <v>99</v>
      </c>
      <c r="U3" t="s">
        <v>100</v>
      </c>
      <c r="V3" t="s">
        <v>101</v>
      </c>
      <c r="W3" t="s">
        <v>102</v>
      </c>
      <c r="X3" t="s">
        <v>103</v>
      </c>
      <c r="Y3" t="s">
        <v>104</v>
      </c>
      <c r="Z3" t="s">
        <v>105</v>
      </c>
      <c r="AA3" t="s">
        <v>106</v>
      </c>
      <c r="AB3" t="s">
        <v>107</v>
      </c>
      <c r="AC3" t="s">
        <v>108</v>
      </c>
      <c r="AD3" t="s">
        <v>54</v>
      </c>
      <c r="AE3" t="s">
        <v>55</v>
      </c>
      <c r="AF3" t="s">
        <v>56</v>
      </c>
      <c r="AG3" t="s">
        <v>57</v>
      </c>
      <c r="AH3" t="s">
        <v>58</v>
      </c>
      <c r="AI3" t="s">
        <v>109</v>
      </c>
      <c r="AJ3" t="s">
        <v>63</v>
      </c>
      <c r="AK3" t="s">
        <v>64</v>
      </c>
      <c r="AL3" t="s">
        <v>65</v>
      </c>
      <c r="AM3" t="s">
        <v>66</v>
      </c>
      <c r="AP3" t="s">
        <v>67</v>
      </c>
      <c r="AS3" t="s">
        <v>80</v>
      </c>
    </row>
    <row r="4" spans="1:46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0.20291614843494321</v>
      </c>
      <c r="F4">
        <f>Align!G4</f>
        <v>0.41955125799861193</v>
      </c>
      <c r="G4">
        <f>Lfin_100</f>
        <v>0.70399999999999996</v>
      </c>
      <c r="H4">
        <f t="shared" ref="H4:H25" si="0">G4*Lfin_111/Lfin_100</f>
        <v>0.60699999999999998</v>
      </c>
      <c r="I4">
        <f t="shared" ref="I4:I25" si="1">($G$4/G4)^3</f>
        <v>1</v>
      </c>
      <c r="J4">
        <f t="shared" ref="J4:J25" si="2">rho_100*I4</f>
        <v>6.09</v>
      </c>
      <c r="K4">
        <f t="shared" ref="K4:K25" si="3">0.5*(1-I4^(2/3))</f>
        <v>0</v>
      </c>
      <c r="L4">
        <f t="shared" ref="L4:L25" si="4">2*G4/C4</f>
        <v>6.1431082084309132</v>
      </c>
      <c r="M4">
        <f t="shared" ref="M4:M25" si="5">2*G4/D4</f>
        <v>2.7557757329741848</v>
      </c>
      <c r="N4">
        <f t="shared" ref="N4:N25" si="6">2*H4/E4</f>
        <v>5.9827668195132313</v>
      </c>
      <c r="O4">
        <f t="shared" ref="O4:O25" si="7">2*H4/F4</f>
        <v>2.8935677747485538</v>
      </c>
      <c r="P4">
        <f t="shared" ref="P4:P25" si="8">J4*N4^2</f>
        <v>217.98240779351096</v>
      </c>
      <c r="Q4">
        <f t="shared" ref="Q4:Q25" si="9">J4*O4^2</f>
        <v>50.989952904415482</v>
      </c>
      <c r="R4">
        <f t="shared" ref="R4:R25" si="10">J4*L4^2</f>
        <v>229.82307082439178</v>
      </c>
      <c r="S4">
        <f t="shared" ref="S4:S25" si="11">1.5*P4-0.5*R4-2*T4</f>
        <v>119.56350361239683</v>
      </c>
      <c r="T4">
        <f t="shared" ref="T4:T25" si="12">J4*M4^2</f>
        <v>46.249286332836874</v>
      </c>
      <c r="U4">
        <f t="shared" ref="U4:U25" si="13">J4*L4^2</f>
        <v>229.82307082439178</v>
      </c>
      <c r="V4">
        <f t="shared" ref="V4:V25" si="14">U4+W4-3*Q4</f>
        <v>123.10249844398223</v>
      </c>
      <c r="W4">
        <f t="shared" ref="W4:W25" si="15">J4*M4^2</f>
        <v>46.249286332836874</v>
      </c>
      <c r="X4">
        <f t="shared" ref="X4:X25" si="16">J4*L4^2</f>
        <v>229.82307082439178</v>
      </c>
      <c r="Y4">
        <f t="shared" ref="Y4:Y25" si="17">X4+Z4-3*Q4</f>
        <v>121.92283350012039</v>
      </c>
      <c r="Z4">
        <f t="shared" ref="Z4:Z25" si="18">Q4+0.5*P4-0.5*X4</f>
        <v>45.069621388975065</v>
      </c>
      <c r="AA4">
        <f t="shared" ref="AA4:AA25" si="19">3*Q4+AB4-AC4</f>
        <v>227.46374093666819</v>
      </c>
      <c r="AB4">
        <f t="shared" ref="AB4:AB25" si="20">P4-Q4-AC4</f>
        <v>120.74316855625861</v>
      </c>
      <c r="AC4">
        <f t="shared" ref="AC4:AC25" si="21">J4*M4^2</f>
        <v>46.249286332836874</v>
      </c>
      <c r="AD4">
        <f t="shared" ref="AD4:AD25" si="22">-3*$AP$11*((1-2*K4)^2.5)*(1+1.5*(4-$AP$12)*K4)*K4</f>
        <v>0</v>
      </c>
      <c r="AE4">
        <f t="shared" ref="AE4:AE25" si="23">((1-2*K4)^3.5)*($AP$4-$AP$14*K4)+3*AD4</f>
        <v>239.4992317427654</v>
      </c>
      <c r="AF4">
        <f t="shared" ref="AF4:AF25" si="24">((1-2*K4)^3.5)*($AP$5-$AP$15*K4)+1*AD4</f>
        <v>121.24040751978364</v>
      </c>
      <c r="AG4">
        <f t="shared" ref="AG4:AG25" si="25">((1-2*K4)^3.5)*($AP$6-$AP$16*K4)+1*AD4</f>
        <v>45.464314625666582</v>
      </c>
      <c r="AH4">
        <f t="shared" ref="AH4:AH25" si="26">AD4-B4</f>
        <v>0</v>
      </c>
      <c r="AI4">
        <f t="shared" ref="AI4:AI25" si="27">IF(AND(A4&gt;=CutoffLowBar,A4&lt;=CutoffOilBar),AH4^2+(AE4-R4)^2+(AF4-S4)^2+(AG4-T4)^2+(AE4-U4)^2+(AF4-V4)^2+(AG4-W4)^2+(AE4-X4)^2+(AF4-Y4)^2+(AG4-Z4)^2+(AE4-AA4)^2+(AF4-AB4)^2+(AG4-AC4)^2,0)</f>
        <v>0</v>
      </c>
      <c r="AJ4">
        <f t="shared" ref="AJ4:AJ25" si="28">(AE4+2*AF4)/3</f>
        <v>160.66001559411089</v>
      </c>
      <c r="AK4">
        <f t="shared" ref="AK4:AK25" si="29">(AE4-AF4+3*AG4)/5</f>
        <v>50.930353619996296</v>
      </c>
      <c r="AL4">
        <f t="shared" ref="AL4:AL25" si="30">5*(AE4-AF4)*AG4/(3*(AE4-AF4)+4*AG4)</f>
        <v>50.095214663422432</v>
      </c>
      <c r="AM4">
        <f t="shared" ref="AM4:AM25" si="31">(AK4+AL4)/2</f>
        <v>50.512784141709361</v>
      </c>
      <c r="AO4" t="s">
        <v>68</v>
      </c>
      <c r="AP4">
        <v>239.4992317427654</v>
      </c>
      <c r="AS4" t="s">
        <v>68</v>
      </c>
      <c r="AT4">
        <f>$AP$4</f>
        <v>239.4992317427654</v>
      </c>
    </row>
    <row r="5" spans="1:46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0.20282185216281789</v>
      </c>
      <c r="F5">
        <f>Align!G5</f>
        <v>0.41875595960981177</v>
      </c>
      <c r="G5">
        <v>0.70328571428571429</v>
      </c>
      <c r="H5">
        <f t="shared" si="0"/>
        <v>0.60638413149350656</v>
      </c>
      <c r="I5">
        <f t="shared" si="1"/>
        <v>1.0030500182349524</v>
      </c>
      <c r="J5">
        <f t="shared" si="2"/>
        <v>6.1085746110508605</v>
      </c>
      <c r="K5">
        <f t="shared" si="3"/>
        <v>-1.0161566325762594E-3</v>
      </c>
      <c r="L5">
        <f t="shared" si="4"/>
        <v>6.258501511054912</v>
      </c>
      <c r="M5">
        <f t="shared" si="5"/>
        <v>2.7730246957953448</v>
      </c>
      <c r="N5">
        <f t="shared" si="6"/>
        <v>5.979475337861758</v>
      </c>
      <c r="O5">
        <f t="shared" si="7"/>
        <v>2.896121798760896</v>
      </c>
      <c r="P5">
        <f t="shared" si="8"/>
        <v>218.40674214624084</v>
      </c>
      <c r="Q5">
        <f t="shared" si="9"/>
        <v>51.235800721188021</v>
      </c>
      <c r="R5">
        <f t="shared" si="10"/>
        <v>239.26578867794052</v>
      </c>
      <c r="S5">
        <f t="shared" si="11"/>
        <v>114.03142233630651</v>
      </c>
      <c r="T5">
        <f t="shared" si="12"/>
        <v>46.972898272042251</v>
      </c>
      <c r="U5">
        <f t="shared" si="13"/>
        <v>239.26578867794052</v>
      </c>
      <c r="V5">
        <f t="shared" si="14"/>
        <v>132.53128478641869</v>
      </c>
      <c r="W5">
        <f t="shared" si="15"/>
        <v>46.972898272042251</v>
      </c>
      <c r="X5">
        <f t="shared" si="16"/>
        <v>239.26578867794052</v>
      </c>
      <c r="Y5">
        <f t="shared" si="17"/>
        <v>126.3646639697146</v>
      </c>
      <c r="Z5">
        <f t="shared" si="18"/>
        <v>40.806277455338176</v>
      </c>
      <c r="AA5">
        <f t="shared" si="19"/>
        <v>226.93254704453238</v>
      </c>
      <c r="AB5">
        <f t="shared" si="20"/>
        <v>120.19804315301059</v>
      </c>
      <c r="AC5">
        <f t="shared" si="21"/>
        <v>46.972898272042251</v>
      </c>
      <c r="AD5">
        <f t="shared" si="22"/>
        <v>0.49218457744508504</v>
      </c>
      <c r="AE5">
        <f t="shared" si="23"/>
        <v>242.2090936231987</v>
      </c>
      <c r="AF5">
        <f t="shared" si="24"/>
        <v>122.76068356416165</v>
      </c>
      <c r="AG5">
        <f t="shared" si="25"/>
        <v>45.612992182390329</v>
      </c>
      <c r="AH5">
        <f t="shared" si="26"/>
        <v>0.36305166932580968</v>
      </c>
      <c r="AI5">
        <f t="shared" si="27"/>
        <v>0</v>
      </c>
      <c r="AJ5">
        <f t="shared" si="28"/>
        <v>162.57682025050732</v>
      </c>
      <c r="AK5">
        <f t="shared" si="29"/>
        <v>51.257477321241609</v>
      </c>
      <c r="AL5">
        <f t="shared" si="30"/>
        <v>50.373776022109745</v>
      </c>
      <c r="AM5">
        <f t="shared" si="31"/>
        <v>50.815626671675673</v>
      </c>
      <c r="AO5" t="s">
        <v>69</v>
      </c>
      <c r="AP5">
        <v>121.24040751978364</v>
      </c>
      <c r="AS5" t="s">
        <v>69</v>
      </c>
      <c r="AT5">
        <f>$AP$5</f>
        <v>121.24040751978364</v>
      </c>
    </row>
    <row r="6" spans="1:46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0.20068313946370661</v>
      </c>
      <c r="F6">
        <f>Align!G6</f>
        <v>0.41032240249009772</v>
      </c>
      <c r="G6">
        <v>0.70257142857142851</v>
      </c>
      <c r="H6">
        <f t="shared" si="0"/>
        <v>0.60576826298701292</v>
      </c>
      <c r="I6">
        <f t="shared" si="1"/>
        <v>1.0061124525725225</v>
      </c>
      <c r="J6">
        <f t="shared" si="2"/>
        <v>6.1272248361666612</v>
      </c>
      <c r="K6">
        <f t="shared" si="3"/>
        <v>-2.0354141387647351E-3</v>
      </c>
      <c r="L6">
        <f t="shared" si="4"/>
        <v>6.3596744792744664</v>
      </c>
      <c r="M6">
        <f t="shared" si="5"/>
        <v>2.7778754271810775</v>
      </c>
      <c r="N6">
        <f t="shared" si="6"/>
        <v>6.0370618538839995</v>
      </c>
      <c r="O6">
        <f t="shared" si="7"/>
        <v>2.9526453311387595</v>
      </c>
      <c r="P6">
        <f t="shared" si="8"/>
        <v>223.31354608080815</v>
      </c>
      <c r="Q6">
        <f t="shared" si="9"/>
        <v>53.417847391746804</v>
      </c>
      <c r="R6">
        <f t="shared" si="10"/>
        <v>247.81842385033514</v>
      </c>
      <c r="S6">
        <f t="shared" si="11"/>
        <v>116.49852025113738</v>
      </c>
      <c r="T6">
        <f t="shared" si="12"/>
        <v>47.281293472453648</v>
      </c>
      <c r="U6">
        <f t="shared" si="13"/>
        <v>247.81842385033514</v>
      </c>
      <c r="V6">
        <f t="shared" si="14"/>
        <v>134.84617514754837</v>
      </c>
      <c r="W6">
        <f t="shared" si="15"/>
        <v>47.281293472453648</v>
      </c>
      <c r="X6">
        <f t="shared" si="16"/>
        <v>247.81842385033514</v>
      </c>
      <c r="Y6">
        <f t="shared" si="17"/>
        <v>128.73029018207802</v>
      </c>
      <c r="Z6">
        <f t="shared" si="18"/>
        <v>41.165408506983312</v>
      </c>
      <c r="AA6">
        <f t="shared" si="19"/>
        <v>235.58665391939448</v>
      </c>
      <c r="AB6">
        <f t="shared" si="20"/>
        <v>122.61440521660771</v>
      </c>
      <c r="AC6">
        <f t="shared" si="21"/>
        <v>47.281293472453648</v>
      </c>
      <c r="AD6">
        <f t="shared" si="22"/>
        <v>0.99074170624348246</v>
      </c>
      <c r="AE6">
        <f t="shared" si="23"/>
        <v>244.94377218479192</v>
      </c>
      <c r="AF6">
        <f t="shared" si="24"/>
        <v>124.29722250097285</v>
      </c>
      <c r="AG6">
        <f t="shared" si="25"/>
        <v>45.759102160931405</v>
      </c>
      <c r="AH6">
        <f t="shared" si="26"/>
        <v>-0.64494179660081952</v>
      </c>
      <c r="AI6">
        <f t="shared" si="27"/>
        <v>0</v>
      </c>
      <c r="AJ6">
        <f t="shared" si="28"/>
        <v>164.51273906224586</v>
      </c>
      <c r="AK6">
        <f t="shared" si="29"/>
        <v>51.584771233322655</v>
      </c>
      <c r="AL6">
        <f t="shared" si="30"/>
        <v>50.650645238378537</v>
      </c>
      <c r="AM6">
        <f t="shared" si="31"/>
        <v>51.1177082358506</v>
      </c>
      <c r="AO6" t="s">
        <v>70</v>
      </c>
      <c r="AP6">
        <v>45.464314625666582</v>
      </c>
      <c r="AS6" t="s">
        <v>70</v>
      </c>
      <c r="AT6">
        <f>$AP$6</f>
        <v>45.464314625666582</v>
      </c>
    </row>
    <row r="7" spans="1:46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0.19907985057124322</v>
      </c>
      <c r="F7">
        <f>Align!G7</f>
        <v>0.40614708298662372</v>
      </c>
      <c r="G7">
        <v>0.70185714285714285</v>
      </c>
      <c r="H7">
        <f t="shared" si="0"/>
        <v>0.6051523944805195</v>
      </c>
      <c r="I7">
        <f t="shared" si="1"/>
        <v>1.0091873662568498</v>
      </c>
      <c r="J7">
        <f t="shared" si="2"/>
        <v>6.1459510605042151</v>
      </c>
      <c r="K7">
        <f t="shared" si="3"/>
        <v>-3.057785148123271E-3</v>
      </c>
      <c r="L7">
        <f t="shared" si="4"/>
        <v>6.4171051454499528</v>
      </c>
      <c r="M7">
        <f t="shared" si="5"/>
        <v>2.7750512350021621</v>
      </c>
      <c r="N7">
        <f t="shared" si="6"/>
        <v>6.0794941601983785</v>
      </c>
      <c r="O7">
        <f t="shared" si="7"/>
        <v>2.9799667156563077</v>
      </c>
      <c r="P7">
        <f t="shared" si="8"/>
        <v>227.15588303696245</v>
      </c>
      <c r="Q7">
        <f t="shared" si="9"/>
        <v>54.577284603383816</v>
      </c>
      <c r="R7">
        <f t="shared" si="10"/>
        <v>253.08558420876813</v>
      </c>
      <c r="S7">
        <f t="shared" si="11"/>
        <v>119.53220839344633</v>
      </c>
      <c r="T7">
        <f t="shared" si="12"/>
        <v>47.329412028806644</v>
      </c>
      <c r="U7">
        <f t="shared" si="13"/>
        <v>253.08558420876813</v>
      </c>
      <c r="V7">
        <f t="shared" si="14"/>
        <v>136.68314242742332</v>
      </c>
      <c r="W7">
        <f t="shared" si="15"/>
        <v>47.329412028806644</v>
      </c>
      <c r="X7">
        <f t="shared" si="16"/>
        <v>253.08558420876813</v>
      </c>
      <c r="Y7">
        <f t="shared" si="17"/>
        <v>130.96616441609768</v>
      </c>
      <c r="Z7">
        <f t="shared" si="18"/>
        <v>41.612434017480979</v>
      </c>
      <c r="AA7">
        <f t="shared" si="19"/>
        <v>241.6516281861168</v>
      </c>
      <c r="AB7">
        <f t="shared" si="20"/>
        <v>125.24918640477199</v>
      </c>
      <c r="AC7">
        <f t="shared" si="21"/>
        <v>47.329412028806644</v>
      </c>
      <c r="AD7">
        <f t="shared" si="22"/>
        <v>1.4957429724004558</v>
      </c>
      <c r="AE7">
        <f t="shared" si="23"/>
        <v>247.70348994240476</v>
      </c>
      <c r="AF7">
        <f t="shared" si="24"/>
        <v>125.85020214819095</v>
      </c>
      <c r="AG7">
        <f t="shared" si="25"/>
        <v>45.902571260096316</v>
      </c>
      <c r="AH7">
        <f t="shared" si="26"/>
        <v>-1.0008265845724409</v>
      </c>
      <c r="AI7">
        <f t="shared" si="27"/>
        <v>0</v>
      </c>
      <c r="AJ7">
        <f t="shared" si="28"/>
        <v>166.4679647462622</v>
      </c>
      <c r="AK7">
        <f t="shared" si="29"/>
        <v>51.912200314900552</v>
      </c>
      <c r="AL7">
        <f t="shared" si="30"/>
        <v>50.925739885103283</v>
      </c>
      <c r="AM7">
        <f t="shared" si="31"/>
        <v>51.418970100001914</v>
      </c>
      <c r="AO7" t="s">
        <v>71</v>
      </c>
      <c r="AP7">
        <v>5.516167813918031</v>
      </c>
      <c r="AS7" t="s">
        <v>71</v>
      </c>
      <c r="AT7">
        <f>$AP$7</f>
        <v>5.516167813918031</v>
      </c>
    </row>
    <row r="8" spans="1:46" x14ac:dyDescent="0.25">
      <c r="A8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0.19731088611066464</v>
      </c>
      <c r="F8">
        <f>Align!G8</f>
        <v>0.40204930534036237</v>
      </c>
      <c r="G8">
        <v>0.69959632705102048</v>
      </c>
      <c r="H8">
        <f t="shared" si="0"/>
        <v>0.60320308312495663</v>
      </c>
      <c r="I8">
        <f t="shared" si="1"/>
        <v>1.0190028889216505</v>
      </c>
      <c r="J8">
        <f t="shared" si="2"/>
        <v>6.2057275935328509</v>
      </c>
      <c r="K8">
        <f t="shared" si="3"/>
        <v>-6.3144022329302274E-3</v>
      </c>
      <c r="L8">
        <f t="shared" si="4"/>
        <v>6.4614191115965882</v>
      </c>
      <c r="M8">
        <f t="shared" si="5"/>
        <v>2.769397215539199</v>
      </c>
      <c r="N8">
        <f t="shared" si="6"/>
        <v>6.1142402734600418</v>
      </c>
      <c r="O8">
        <f t="shared" si="7"/>
        <v>3.0006423347221243</v>
      </c>
      <c r="P8">
        <f t="shared" si="8"/>
        <v>231.9945115332319</v>
      </c>
      <c r="Q8">
        <f t="shared" si="9"/>
        <v>55.875467828097207</v>
      </c>
      <c r="R8">
        <f t="shared" si="10"/>
        <v>259.08873567016485</v>
      </c>
      <c r="S8">
        <f t="shared" si="11"/>
        <v>123.25698758530559</v>
      </c>
      <c r="T8">
        <f t="shared" si="12"/>
        <v>47.595205939729929</v>
      </c>
      <c r="U8">
        <f t="shared" si="13"/>
        <v>259.08873567016485</v>
      </c>
      <c r="V8">
        <f t="shared" si="14"/>
        <v>139.05753812560314</v>
      </c>
      <c r="W8">
        <f t="shared" si="15"/>
        <v>47.595205939729929</v>
      </c>
      <c r="X8">
        <f t="shared" si="16"/>
        <v>259.08873567016485</v>
      </c>
      <c r="Y8">
        <f t="shared" si="17"/>
        <v>133.790687945504</v>
      </c>
      <c r="Z8">
        <f t="shared" si="18"/>
        <v>42.328355759630739</v>
      </c>
      <c r="AA8">
        <f t="shared" si="19"/>
        <v>248.55503530996643</v>
      </c>
      <c r="AB8">
        <f t="shared" si="20"/>
        <v>128.52383776540475</v>
      </c>
      <c r="AC8">
        <f t="shared" si="21"/>
        <v>47.595205939729929</v>
      </c>
      <c r="AD8">
        <f t="shared" si="22"/>
        <v>3.137447818847162</v>
      </c>
      <c r="AE8">
        <f t="shared" si="23"/>
        <v>256.60599865163135</v>
      </c>
      <c r="AF8">
        <f t="shared" si="24"/>
        <v>130.87602901782529</v>
      </c>
      <c r="AG8">
        <f t="shared" si="25"/>
        <v>46.338407495296572</v>
      </c>
      <c r="AH8">
        <f t="shared" si="26"/>
        <v>-0.30609639766718866</v>
      </c>
      <c r="AI8">
        <f t="shared" si="27"/>
        <v>243.23772093935875</v>
      </c>
      <c r="AJ8">
        <f t="shared" si="28"/>
        <v>172.78601889576066</v>
      </c>
      <c r="AK8">
        <f t="shared" si="29"/>
        <v>52.949038423939157</v>
      </c>
      <c r="AL8">
        <f t="shared" si="30"/>
        <v>51.783783516873754</v>
      </c>
      <c r="AM8">
        <f t="shared" si="31"/>
        <v>52.366410970406456</v>
      </c>
      <c r="AO8" t="s">
        <v>72</v>
      </c>
      <c r="AP8">
        <v>3.0923015180253683</v>
      </c>
      <c r="AS8" t="s">
        <v>72</v>
      </c>
      <c r="AT8">
        <f>$AP$8</f>
        <v>3.0923015180253683</v>
      </c>
    </row>
    <row r="9" spans="1:46" x14ac:dyDescent="0.25">
      <c r="A9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0.19557221353453599</v>
      </c>
      <c r="F9">
        <f>Align!G9</f>
        <v>0.3982834977610536</v>
      </c>
      <c r="G9">
        <v>0.69828861182307511</v>
      </c>
      <c r="H9">
        <f t="shared" si="0"/>
        <v>0.60207555025086168</v>
      </c>
      <c r="I9">
        <f t="shared" si="1"/>
        <v>1.0247386091533048</v>
      </c>
      <c r="J9">
        <f t="shared" si="2"/>
        <v>6.2406581297436263</v>
      </c>
      <c r="K9">
        <f t="shared" si="3"/>
        <v>-8.2125716386149961E-3</v>
      </c>
      <c r="L9">
        <f t="shared" si="4"/>
        <v>6.5033995708236532</v>
      </c>
      <c r="M9">
        <f t="shared" si="5"/>
        <v>2.764220540403902</v>
      </c>
      <c r="N9">
        <f t="shared" si="6"/>
        <v>6.157066378394715</v>
      </c>
      <c r="O9">
        <f t="shared" si="7"/>
        <v>3.0233517262724812</v>
      </c>
      <c r="P9">
        <f t="shared" si="8"/>
        <v>236.58001960825663</v>
      </c>
      <c r="Q9">
        <f t="shared" si="9"/>
        <v>57.043707060476493</v>
      </c>
      <c r="R9">
        <f t="shared" si="10"/>
        <v>263.94368037634212</v>
      </c>
      <c r="S9">
        <f t="shared" si="11"/>
        <v>127.5295101511302</v>
      </c>
      <c r="T9">
        <f t="shared" si="12"/>
        <v>47.684339536541849</v>
      </c>
      <c r="U9">
        <f t="shared" si="13"/>
        <v>263.94368037634212</v>
      </c>
      <c r="V9">
        <f t="shared" si="14"/>
        <v>140.49689873145451</v>
      </c>
      <c r="W9">
        <f t="shared" si="15"/>
        <v>47.684339536541849</v>
      </c>
      <c r="X9">
        <f t="shared" si="16"/>
        <v>263.94368037634212</v>
      </c>
      <c r="Y9">
        <f t="shared" si="17"/>
        <v>136.17443587134636</v>
      </c>
      <c r="Z9">
        <f t="shared" si="18"/>
        <v>43.361876676433752</v>
      </c>
      <c r="AA9">
        <f t="shared" si="19"/>
        <v>255.29875465612591</v>
      </c>
      <c r="AB9">
        <f t="shared" si="20"/>
        <v>131.8519730112383</v>
      </c>
      <c r="AC9">
        <f t="shared" si="21"/>
        <v>47.684339536541849</v>
      </c>
      <c r="AD9">
        <f t="shared" si="22"/>
        <v>4.1177765395655657</v>
      </c>
      <c r="AE9">
        <f t="shared" si="23"/>
        <v>261.8738264632795</v>
      </c>
      <c r="AF9">
        <f t="shared" si="24"/>
        <v>133.86140131027167</v>
      </c>
      <c r="AG9">
        <f t="shared" si="25"/>
        <v>46.577122791984131</v>
      </c>
      <c r="AH9">
        <f t="shared" si="26"/>
        <v>-0.31578663919671079</v>
      </c>
      <c r="AI9">
        <f t="shared" si="27"/>
        <v>163.71037312425196</v>
      </c>
      <c r="AJ9">
        <f t="shared" si="28"/>
        <v>176.53220969460759</v>
      </c>
      <c r="AK9">
        <f t="shared" si="29"/>
        <v>53.548758705792046</v>
      </c>
      <c r="AL9">
        <f t="shared" si="30"/>
        <v>52.270489185125484</v>
      </c>
      <c r="AM9">
        <f t="shared" si="31"/>
        <v>52.909623945458762</v>
      </c>
      <c r="AO9" t="s">
        <v>73</v>
      </c>
      <c r="AP9">
        <v>0.3066063753062786</v>
      </c>
      <c r="AS9" t="s">
        <v>73</v>
      </c>
      <c r="AT9">
        <f>$AP$9</f>
        <v>0.3066063753062786</v>
      </c>
    </row>
    <row r="10" spans="1:46" x14ac:dyDescent="0.25">
      <c r="A10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0.19444588691824252</v>
      </c>
      <c r="F10">
        <f>Align!G10</f>
        <v>0.39595434052709966</v>
      </c>
      <c r="G10">
        <v>0.69732917130971006</v>
      </c>
      <c r="H10">
        <f t="shared" si="0"/>
        <v>0.60124830537641194</v>
      </c>
      <c r="I10">
        <f t="shared" si="1"/>
        <v>1.0289741802246835</v>
      </c>
      <c r="J10">
        <f t="shared" si="2"/>
        <v>6.266452757568322</v>
      </c>
      <c r="K10">
        <f t="shared" si="3"/>
        <v>-9.6120116442945935E-3</v>
      </c>
      <c r="L10">
        <f t="shared" si="4"/>
        <v>6.5370814200332301</v>
      </c>
      <c r="M10">
        <f t="shared" si="5"/>
        <v>2.7604225332053951</v>
      </c>
      <c r="N10">
        <f t="shared" si="6"/>
        <v>6.1842224066093534</v>
      </c>
      <c r="O10">
        <f t="shared" si="7"/>
        <v>3.0369577693025023</v>
      </c>
      <c r="P10">
        <f t="shared" si="8"/>
        <v>239.65802158361257</v>
      </c>
      <c r="Q10">
        <f t="shared" si="9"/>
        <v>57.796198712157597</v>
      </c>
      <c r="R10">
        <f t="shared" si="10"/>
        <v>267.78704214720619</v>
      </c>
      <c r="S10">
        <f t="shared" si="11"/>
        <v>130.09361647271118</v>
      </c>
      <c r="T10">
        <f t="shared" si="12"/>
        <v>47.749947414552281</v>
      </c>
      <c r="U10">
        <f t="shared" si="13"/>
        <v>267.78704214720619</v>
      </c>
      <c r="V10">
        <f t="shared" si="14"/>
        <v>142.14839342528566</v>
      </c>
      <c r="W10">
        <f t="shared" si="15"/>
        <v>47.749947414552281</v>
      </c>
      <c r="X10">
        <f t="shared" si="16"/>
        <v>267.78704214720619</v>
      </c>
      <c r="Y10">
        <f t="shared" si="17"/>
        <v>138.13013444109421</v>
      </c>
      <c r="Z10">
        <f t="shared" si="18"/>
        <v>43.731688430360776</v>
      </c>
      <c r="AA10">
        <f t="shared" si="19"/>
        <v>259.75052417882318</v>
      </c>
      <c r="AB10">
        <f t="shared" si="20"/>
        <v>134.11187545690268</v>
      </c>
      <c r="AC10">
        <f t="shared" si="21"/>
        <v>47.749947414552281</v>
      </c>
      <c r="AD10">
        <f t="shared" si="22"/>
        <v>4.851683583980698</v>
      </c>
      <c r="AE10">
        <f t="shared" si="23"/>
        <v>265.79494039875163</v>
      </c>
      <c r="AF10">
        <f t="shared" si="24"/>
        <v>136.0890482362326</v>
      </c>
      <c r="AG10">
        <f t="shared" si="25"/>
        <v>46.745661094577628</v>
      </c>
      <c r="AH10">
        <f t="shared" si="26"/>
        <v>-0.27058843808442568</v>
      </c>
      <c r="AI10">
        <f t="shared" si="27"/>
        <v>141.35950917539907</v>
      </c>
      <c r="AJ10">
        <f t="shared" si="28"/>
        <v>179.32434562373896</v>
      </c>
      <c r="AK10">
        <f t="shared" si="29"/>
        <v>53.988575089250389</v>
      </c>
      <c r="AL10">
        <f t="shared" si="30"/>
        <v>52.622672279422567</v>
      </c>
      <c r="AM10">
        <f t="shared" si="31"/>
        <v>53.305623684336481</v>
      </c>
      <c r="AS10" t="s">
        <v>74</v>
      </c>
      <c r="AT10">
        <f>$AP$11</f>
        <v>160.66001559411089</v>
      </c>
    </row>
    <row r="11" spans="1:46" x14ac:dyDescent="0.25">
      <c r="A11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0.19344570800055366</v>
      </c>
      <c r="F11">
        <f>Align!G11</f>
        <v>0.39397038293851272</v>
      </c>
      <c r="G11">
        <v>0.69633669495716954</v>
      </c>
      <c r="H11">
        <f t="shared" si="0"/>
        <v>0.60039257647585498</v>
      </c>
      <c r="I11">
        <f t="shared" si="1"/>
        <v>1.0333801900679958</v>
      </c>
      <c r="J11">
        <f t="shared" si="2"/>
        <v>6.2932853575140939</v>
      </c>
      <c r="K11">
        <f t="shared" si="3"/>
        <v>-1.1065728825397692E-2</v>
      </c>
      <c r="L11">
        <f t="shared" si="4"/>
        <v>6.5771029022371907</v>
      </c>
      <c r="M11">
        <f t="shared" si="5"/>
        <v>2.761960450861916</v>
      </c>
      <c r="N11">
        <f t="shared" si="6"/>
        <v>6.2073496763664213</v>
      </c>
      <c r="O11">
        <f t="shared" si="7"/>
        <v>3.0479071649888909</v>
      </c>
      <c r="P11">
        <f t="shared" si="8"/>
        <v>242.4877738640858</v>
      </c>
      <c r="Q11">
        <f t="shared" si="9"/>
        <v>58.462972674223082</v>
      </c>
      <c r="R11">
        <f t="shared" si="10"/>
        <v>272.23671639356292</v>
      </c>
      <c r="S11">
        <f t="shared" si="11"/>
        <v>131.59758519492493</v>
      </c>
      <c r="T11">
        <f t="shared" si="12"/>
        <v>48.007858702211173</v>
      </c>
      <c r="U11">
        <f t="shared" si="13"/>
        <v>272.23671639356292</v>
      </c>
      <c r="V11">
        <f t="shared" si="14"/>
        <v>144.85565707310485</v>
      </c>
      <c r="W11">
        <f t="shared" si="15"/>
        <v>48.007858702211173</v>
      </c>
      <c r="X11">
        <f t="shared" si="16"/>
        <v>272.23671639356292</v>
      </c>
      <c r="Y11">
        <f t="shared" si="17"/>
        <v>140.43629978037819</v>
      </c>
      <c r="Z11">
        <f t="shared" si="18"/>
        <v>43.588501409484536</v>
      </c>
      <c r="AA11">
        <f t="shared" si="19"/>
        <v>263.39800180810965</v>
      </c>
      <c r="AB11">
        <f t="shared" si="20"/>
        <v>136.01694248765156</v>
      </c>
      <c r="AC11">
        <f t="shared" si="21"/>
        <v>48.007858702211173</v>
      </c>
      <c r="AD11">
        <f t="shared" si="22"/>
        <v>5.6241430426360521</v>
      </c>
      <c r="AE11">
        <f t="shared" si="23"/>
        <v>269.90183083604506</v>
      </c>
      <c r="AF11">
        <f t="shared" si="24"/>
        <v>138.42721790168798</v>
      </c>
      <c r="AG11">
        <f t="shared" si="25"/>
        <v>46.913881934884358</v>
      </c>
      <c r="AH11">
        <f t="shared" si="26"/>
        <v>-0.14379352002553158</v>
      </c>
      <c r="AI11">
        <f t="shared" si="27"/>
        <v>171.13860209887801</v>
      </c>
      <c r="AJ11">
        <f t="shared" si="28"/>
        <v>182.25208887980702</v>
      </c>
      <c r="AK11">
        <f t="shared" si="29"/>
        <v>54.443251747802037</v>
      </c>
      <c r="AL11">
        <f t="shared" si="30"/>
        <v>52.982332162649733</v>
      </c>
      <c r="AM11">
        <f t="shared" si="31"/>
        <v>53.712791955225882</v>
      </c>
      <c r="AO11" t="s">
        <v>74</v>
      </c>
      <c r="AP11">
        <f>($AP$4+2*$AP$5)/3</f>
        <v>160.66001559411089</v>
      </c>
      <c r="AS11" t="s">
        <v>75</v>
      </c>
      <c r="AT11">
        <f>$AP$12</f>
        <v>3.9002569499895894</v>
      </c>
    </row>
    <row r="12" spans="1:46" x14ac:dyDescent="0.25">
      <c r="A1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0.19224001764408633</v>
      </c>
      <c r="F12">
        <f>Align!G12</f>
        <v>0.39170885995096172</v>
      </c>
      <c r="G12">
        <v>0.6955111252188112</v>
      </c>
      <c r="H12">
        <f t="shared" si="0"/>
        <v>0.59968075711337843</v>
      </c>
      <c r="I12">
        <f t="shared" si="1"/>
        <v>1.037064417865379</v>
      </c>
      <c r="J12">
        <f t="shared" si="2"/>
        <v>6.3157223048001576</v>
      </c>
      <c r="K12">
        <f t="shared" si="3"/>
        <v>-1.2279716046833311E-2</v>
      </c>
      <c r="L12">
        <f t="shared" si="4"/>
        <v>6.6004768688554432</v>
      </c>
      <c r="M12">
        <f t="shared" si="5"/>
        <v>2.7586858985034275</v>
      </c>
      <c r="N12">
        <f t="shared" si="6"/>
        <v>6.2388753857027721</v>
      </c>
      <c r="O12">
        <f t="shared" si="7"/>
        <v>3.0618697631115763</v>
      </c>
      <c r="P12">
        <f t="shared" si="8"/>
        <v>245.83043446325843</v>
      </c>
      <c r="Q12">
        <f t="shared" si="9"/>
        <v>59.210189949162405</v>
      </c>
      <c r="R12">
        <f t="shared" si="10"/>
        <v>275.15262041403633</v>
      </c>
      <c r="S12">
        <f t="shared" si="11"/>
        <v>135.03965369847177</v>
      </c>
      <c r="T12">
        <f t="shared" si="12"/>
        <v>48.064843894698868</v>
      </c>
      <c r="U12">
        <f t="shared" si="13"/>
        <v>275.15262041403633</v>
      </c>
      <c r="V12">
        <f t="shared" si="14"/>
        <v>145.58689446124799</v>
      </c>
      <c r="W12">
        <f t="shared" si="15"/>
        <v>48.064843894698868</v>
      </c>
      <c r="X12">
        <f t="shared" si="16"/>
        <v>275.15262041403633</v>
      </c>
      <c r="Y12">
        <f t="shared" si="17"/>
        <v>142.07114754032261</v>
      </c>
      <c r="Z12">
        <f t="shared" si="18"/>
        <v>44.549096973773459</v>
      </c>
      <c r="AA12">
        <f t="shared" si="19"/>
        <v>268.12112657218546</v>
      </c>
      <c r="AB12">
        <f t="shared" si="20"/>
        <v>138.55540061939715</v>
      </c>
      <c r="AC12">
        <f t="shared" si="21"/>
        <v>48.064843894698868</v>
      </c>
      <c r="AD12">
        <f t="shared" si="22"/>
        <v>6.2771375163316998</v>
      </c>
      <c r="AE12">
        <f t="shared" si="23"/>
        <v>273.35784577842475</v>
      </c>
      <c r="AF12">
        <f t="shared" si="24"/>
        <v>140.39874989761628</v>
      </c>
      <c r="AG12">
        <f t="shared" si="25"/>
        <v>47.048907106604325</v>
      </c>
      <c r="AH12">
        <f t="shared" si="26"/>
        <v>-0.3086407977520631</v>
      </c>
      <c r="AI12">
        <f t="shared" si="27"/>
        <v>108.35917505901919</v>
      </c>
      <c r="AJ12">
        <f t="shared" si="28"/>
        <v>184.71844852455243</v>
      </c>
      <c r="AK12">
        <f t="shared" si="29"/>
        <v>54.821163440124295</v>
      </c>
      <c r="AL12">
        <f t="shared" si="30"/>
        <v>53.277710313761936</v>
      </c>
      <c r="AM12">
        <f t="shared" si="31"/>
        <v>54.049436876943119</v>
      </c>
      <c r="AO12" t="s">
        <v>75</v>
      </c>
      <c r="AP12">
        <f>($AP$7+2*$AP$8)/3</f>
        <v>3.9002569499895894</v>
      </c>
      <c r="AS12" t="s">
        <v>81</v>
      </c>
      <c r="AT12">
        <f>AK4</f>
        <v>50.930353619996296</v>
      </c>
    </row>
    <row r="13" spans="1:46" x14ac:dyDescent="0.25">
      <c r="A13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0.19126401652995695</v>
      </c>
      <c r="F13">
        <f>Align!G13</f>
        <v>0.3899965242098074</v>
      </c>
      <c r="G13">
        <v>0.69446492788949743</v>
      </c>
      <c r="H13">
        <f t="shared" si="0"/>
        <v>0.59877870913199571</v>
      </c>
      <c r="I13">
        <f t="shared" si="1"/>
        <v>1.0417584317433957</v>
      </c>
      <c r="J13">
        <f t="shared" si="2"/>
        <v>6.3443088493172795</v>
      </c>
      <c r="K13">
        <f t="shared" si="3"/>
        <v>-1.3824356661188308E-2</v>
      </c>
      <c r="L13">
        <f t="shared" si="4"/>
        <v>6.6409671467788352</v>
      </c>
      <c r="M13">
        <f t="shared" si="5"/>
        <v>2.7523528506784651</v>
      </c>
      <c r="N13">
        <f t="shared" si="6"/>
        <v>6.2612792515335611</v>
      </c>
      <c r="O13">
        <f t="shared" si="7"/>
        <v>3.0706874136645856</v>
      </c>
      <c r="P13">
        <f t="shared" si="8"/>
        <v>248.71985975051624</v>
      </c>
      <c r="Q13">
        <f t="shared" si="9"/>
        <v>59.821257022470142</v>
      </c>
      <c r="R13">
        <f t="shared" si="10"/>
        <v>279.79952983523475</v>
      </c>
      <c r="S13">
        <f t="shared" si="11"/>
        <v>137.05808379404868</v>
      </c>
      <c r="T13">
        <f t="shared" si="12"/>
        <v>48.060970457054147</v>
      </c>
      <c r="U13">
        <f t="shared" si="13"/>
        <v>279.79952983523475</v>
      </c>
      <c r="V13">
        <f t="shared" si="14"/>
        <v>148.3967292248785</v>
      </c>
      <c r="W13">
        <f t="shared" si="15"/>
        <v>48.060970457054147</v>
      </c>
      <c r="X13">
        <f t="shared" si="16"/>
        <v>279.79952983523475</v>
      </c>
      <c r="Y13">
        <f t="shared" si="17"/>
        <v>144.61718074793524</v>
      </c>
      <c r="Z13">
        <f t="shared" si="18"/>
        <v>44.281421980110878</v>
      </c>
      <c r="AA13">
        <f t="shared" si="19"/>
        <v>272.24043288134817</v>
      </c>
      <c r="AB13">
        <f t="shared" si="20"/>
        <v>140.83763227099195</v>
      </c>
      <c r="AC13">
        <f t="shared" si="21"/>
        <v>48.060970457054147</v>
      </c>
      <c r="AD13">
        <f t="shared" si="22"/>
        <v>7.1184674564266235</v>
      </c>
      <c r="AE13">
        <f t="shared" si="23"/>
        <v>277.78999028715924</v>
      </c>
      <c r="AF13">
        <f t="shared" si="24"/>
        <v>142.93234527250252</v>
      </c>
      <c r="AG13">
        <f t="shared" si="25"/>
        <v>47.213390957969118</v>
      </c>
      <c r="AH13">
        <f t="shared" si="26"/>
        <v>-0.15601970095998752</v>
      </c>
      <c r="AI13">
        <f t="shared" si="27"/>
        <v>125.28122527645428</v>
      </c>
      <c r="AJ13">
        <f t="shared" si="28"/>
        <v>187.88489361072143</v>
      </c>
      <c r="AK13">
        <f t="shared" si="29"/>
        <v>55.299563577712817</v>
      </c>
      <c r="AL13">
        <f t="shared" si="30"/>
        <v>53.646801497821968</v>
      </c>
      <c r="AM13">
        <f t="shared" si="31"/>
        <v>54.473182537767393</v>
      </c>
      <c r="AS13" t="s">
        <v>82</v>
      </c>
      <c r="AT13">
        <f>AL4</f>
        <v>50.095214663422432</v>
      </c>
    </row>
    <row r="14" spans="1:46" x14ac:dyDescent="0.25">
      <c r="A14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0.19049120618688217</v>
      </c>
      <c r="F14">
        <f>Align!G14</f>
        <v>0.38871581605483574</v>
      </c>
      <c r="G14">
        <v>0.69378373873422217</v>
      </c>
      <c r="H14">
        <f t="shared" si="0"/>
        <v>0.59819137700521718</v>
      </c>
      <c r="I14">
        <f t="shared" si="1"/>
        <v>1.0448299862641144</v>
      </c>
      <c r="J14">
        <f t="shared" si="2"/>
        <v>6.3630146163484564</v>
      </c>
      <c r="K14">
        <f t="shared" si="3"/>
        <v>-1.4833845320982531E-2</v>
      </c>
      <c r="L14">
        <f t="shared" si="4"/>
        <v>6.6663272110396665</v>
      </c>
      <c r="M14">
        <f t="shared" si="5"/>
        <v>2.7540190831257232</v>
      </c>
      <c r="N14">
        <f t="shared" si="6"/>
        <v>6.2805143500257863</v>
      </c>
      <c r="O14">
        <f t="shared" si="7"/>
        <v>3.0777825460069828</v>
      </c>
      <c r="P14">
        <f t="shared" si="8"/>
        <v>250.98822390692425</v>
      </c>
      <c r="Q14">
        <f t="shared" si="9"/>
        <v>60.275217440362361</v>
      </c>
      <c r="R14">
        <f t="shared" si="10"/>
        <v>282.77185086714854</v>
      </c>
      <c r="S14">
        <f t="shared" si="11"/>
        <v>138.57430045921399</v>
      </c>
      <c r="T14">
        <f t="shared" si="12"/>
        <v>48.261054983799049</v>
      </c>
      <c r="U14">
        <f t="shared" si="13"/>
        <v>282.77185086714854</v>
      </c>
      <c r="V14">
        <f t="shared" si="14"/>
        <v>150.20725352986051</v>
      </c>
      <c r="W14">
        <f t="shared" si="15"/>
        <v>48.261054983799049</v>
      </c>
      <c r="X14">
        <f t="shared" si="16"/>
        <v>282.77185086714854</v>
      </c>
      <c r="Y14">
        <f t="shared" si="17"/>
        <v>146.32960250631163</v>
      </c>
      <c r="Z14">
        <f t="shared" si="18"/>
        <v>44.383403960250206</v>
      </c>
      <c r="AA14">
        <f t="shared" si="19"/>
        <v>275.0165488200509</v>
      </c>
      <c r="AB14">
        <f t="shared" si="20"/>
        <v>142.45195148276284</v>
      </c>
      <c r="AC14">
        <f t="shared" si="21"/>
        <v>48.261054983799049</v>
      </c>
      <c r="AD14">
        <f t="shared" si="22"/>
        <v>7.6746855878645182</v>
      </c>
      <c r="AE14">
        <f t="shared" si="23"/>
        <v>280.70770703863275</v>
      </c>
      <c r="AF14">
        <f t="shared" si="24"/>
        <v>144.60341395095003</v>
      </c>
      <c r="AG14">
        <f t="shared" si="25"/>
        <v>47.316383069584873</v>
      </c>
      <c r="AH14">
        <f t="shared" si="26"/>
        <v>-0.15937750470572087</v>
      </c>
      <c r="AI14">
        <f t="shared" si="27"/>
        <v>131.83807902772293</v>
      </c>
      <c r="AJ14">
        <f t="shared" si="28"/>
        <v>189.97151164684428</v>
      </c>
      <c r="AK14">
        <f t="shared" si="29"/>
        <v>55.610688459287459</v>
      </c>
      <c r="AL14">
        <f t="shared" si="30"/>
        <v>53.88383134976943</v>
      </c>
      <c r="AM14">
        <f t="shared" si="31"/>
        <v>54.747259904528448</v>
      </c>
      <c r="AO14" t="s">
        <v>76</v>
      </c>
      <c r="AP14">
        <f>3*$AP$11*($AP$7-3)-7*$AP$4</f>
        <v>-463.75194153494544</v>
      </c>
      <c r="AS14" t="s">
        <v>83</v>
      </c>
      <c r="AT14">
        <f>AM4</f>
        <v>50.512784141709361</v>
      </c>
    </row>
    <row r="15" spans="1:46" x14ac:dyDescent="0.25">
      <c r="A15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0.18956204408307292</v>
      </c>
      <c r="F15">
        <f>Align!G15</f>
        <v>0.38725209804704125</v>
      </c>
      <c r="G15">
        <v>0.69311064368923747</v>
      </c>
      <c r="H15">
        <f t="shared" si="0"/>
        <v>0.59761102374910102</v>
      </c>
      <c r="I15">
        <f t="shared" si="1"/>
        <v>1.0478769156757666</v>
      </c>
      <c r="J15">
        <f t="shared" si="2"/>
        <v>6.3815704164654186</v>
      </c>
      <c r="K15">
        <f t="shared" si="3"/>
        <v>-1.5834263871536525E-2</v>
      </c>
      <c r="L15">
        <f t="shared" si="4"/>
        <v>6.6855553469172344</v>
      </c>
      <c r="M15">
        <f t="shared" si="5"/>
        <v>2.7502554575833105</v>
      </c>
      <c r="N15">
        <f t="shared" si="6"/>
        <v>6.3051759822468076</v>
      </c>
      <c r="O15">
        <f t="shared" si="7"/>
        <v>3.0864185204569585</v>
      </c>
      <c r="P15">
        <f t="shared" si="8"/>
        <v>253.70089007613745</v>
      </c>
      <c r="Q15">
        <f t="shared" si="9"/>
        <v>60.790707582933742</v>
      </c>
      <c r="R15">
        <f t="shared" si="10"/>
        <v>285.23482124848027</v>
      </c>
      <c r="S15">
        <f t="shared" si="11"/>
        <v>141.39473868190268</v>
      </c>
      <c r="T15">
        <f t="shared" si="12"/>
        <v>48.269592904031668</v>
      </c>
      <c r="U15">
        <f t="shared" si="13"/>
        <v>285.23482124848027</v>
      </c>
      <c r="V15">
        <f t="shared" si="14"/>
        <v>151.1322914037107</v>
      </c>
      <c r="W15">
        <f t="shared" si="15"/>
        <v>48.269592904031668</v>
      </c>
      <c r="X15">
        <f t="shared" si="16"/>
        <v>285.23482124848027</v>
      </c>
      <c r="Y15">
        <f t="shared" si="17"/>
        <v>147.88644049644139</v>
      </c>
      <c r="Z15">
        <f t="shared" si="18"/>
        <v>45.02374199676234</v>
      </c>
      <c r="AA15">
        <f t="shared" si="19"/>
        <v>278.74311943394162</v>
      </c>
      <c r="AB15">
        <f t="shared" si="20"/>
        <v>144.64058958917204</v>
      </c>
      <c r="AC15">
        <f t="shared" si="21"/>
        <v>48.269592904031668</v>
      </c>
      <c r="AD15">
        <f t="shared" si="22"/>
        <v>8.2308997574148783</v>
      </c>
      <c r="AE15">
        <f t="shared" si="23"/>
        <v>283.61571935578615</v>
      </c>
      <c r="AF15">
        <f t="shared" si="24"/>
        <v>146.27142565863994</v>
      </c>
      <c r="AG15">
        <f t="shared" si="25"/>
        <v>47.414879486369614</v>
      </c>
      <c r="AH15">
        <f t="shared" si="26"/>
        <v>-0.2918721784582079</v>
      </c>
      <c r="AI15">
        <f t="shared" si="27"/>
        <v>92.279026629371856</v>
      </c>
      <c r="AJ15">
        <f t="shared" si="28"/>
        <v>192.052856891022</v>
      </c>
      <c r="AK15">
        <f t="shared" si="29"/>
        <v>55.91778643125101</v>
      </c>
      <c r="AL15">
        <f t="shared" si="30"/>
        <v>54.115384739895845</v>
      </c>
      <c r="AM15">
        <f t="shared" si="31"/>
        <v>55.016585585573424</v>
      </c>
      <c r="AO15" t="s">
        <v>77</v>
      </c>
      <c r="AP15">
        <f>3*$AP$11*($AP$8-1)-7*$AP$5</f>
        <v>159.76473090212721</v>
      </c>
      <c r="AS15" t="s">
        <v>84</v>
      </c>
      <c r="AT15">
        <f>$AP$18</f>
        <v>1455.4838027933622</v>
      </c>
    </row>
    <row r="16" spans="1:46" x14ac:dyDescent="0.25">
      <c r="A16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0.18876987732243708</v>
      </c>
      <c r="F16">
        <f>Align!G16</f>
        <v>0.38605195687015897</v>
      </c>
      <c r="G16">
        <v>0.69237877749721322</v>
      </c>
      <c r="H16">
        <f t="shared" si="0"/>
        <v>0.59697999707501204</v>
      </c>
      <c r="I16">
        <f t="shared" si="1"/>
        <v>1.0512033461299397</v>
      </c>
      <c r="J16">
        <f t="shared" si="2"/>
        <v>6.4018283779313325</v>
      </c>
      <c r="K16">
        <f t="shared" si="3"/>
        <v>-1.692534637388321E-2</v>
      </c>
      <c r="L16">
        <f t="shared" si="4"/>
        <v>6.7108615319035785</v>
      </c>
      <c r="M16">
        <f t="shared" si="5"/>
        <v>2.7451728573556258</v>
      </c>
      <c r="N16">
        <f t="shared" si="6"/>
        <v>6.3249497805766213</v>
      </c>
      <c r="O16">
        <f t="shared" si="7"/>
        <v>3.0927443130448609</v>
      </c>
      <c r="P16">
        <f t="shared" si="8"/>
        <v>256.1050784919837</v>
      </c>
      <c r="Q16">
        <f t="shared" si="9"/>
        <v>61.233919827696539</v>
      </c>
      <c r="R16">
        <f t="shared" si="10"/>
        <v>288.31058221389139</v>
      </c>
      <c r="S16">
        <f t="shared" si="11"/>
        <v>143.51430199930894</v>
      </c>
      <c r="T16">
        <f t="shared" si="12"/>
        <v>48.244012315860466</v>
      </c>
      <c r="U16">
        <f t="shared" si="13"/>
        <v>288.31058221389139</v>
      </c>
      <c r="V16">
        <f t="shared" si="14"/>
        <v>152.85283504666222</v>
      </c>
      <c r="W16">
        <f t="shared" si="15"/>
        <v>48.244012315860466</v>
      </c>
      <c r="X16">
        <f t="shared" si="16"/>
        <v>288.31058221389139</v>
      </c>
      <c r="Y16">
        <f t="shared" si="17"/>
        <v>149.73999069754444</v>
      </c>
      <c r="Z16">
        <f t="shared" si="18"/>
        <v>45.13116796674268</v>
      </c>
      <c r="AA16">
        <f t="shared" si="19"/>
        <v>282.08489351565589</v>
      </c>
      <c r="AB16">
        <f t="shared" si="20"/>
        <v>146.62714634842672</v>
      </c>
      <c r="AC16">
        <f t="shared" si="21"/>
        <v>48.244012315860466</v>
      </c>
      <c r="AD16">
        <f t="shared" si="22"/>
        <v>8.8432119285099677</v>
      </c>
      <c r="AE16">
        <f t="shared" si="23"/>
        <v>286.80605045767891</v>
      </c>
      <c r="AF16">
        <f t="shared" si="24"/>
        <v>148.10423258796604</v>
      </c>
      <c r="AG16">
        <f t="shared" si="25"/>
        <v>47.518193493050887</v>
      </c>
      <c r="AH16">
        <f t="shared" si="26"/>
        <v>-0.2821802452531621</v>
      </c>
      <c r="AI16">
        <f t="shared" si="27"/>
        <v>84.912302203773194</v>
      </c>
      <c r="AJ16">
        <f t="shared" si="28"/>
        <v>194.33817187787031</v>
      </c>
      <c r="AK16">
        <f t="shared" si="29"/>
        <v>56.251279669773112</v>
      </c>
      <c r="AL16">
        <f t="shared" si="30"/>
        <v>54.364042780524485</v>
      </c>
      <c r="AM16">
        <f t="shared" si="31"/>
        <v>55.307661225148799</v>
      </c>
      <c r="AO16" t="s">
        <v>78</v>
      </c>
      <c r="AP16">
        <f>3*$AP$11*($AP$9-1)-7*$AP$6</f>
        <v>-652.45209404811703</v>
      </c>
    </row>
    <row r="17" spans="1:42" x14ac:dyDescent="0.25">
      <c r="A17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0.18821761319213962</v>
      </c>
      <c r="F17">
        <f>Align!G17</f>
        <v>0.38522940940047751</v>
      </c>
      <c r="G17">
        <v>0.69184213524829452</v>
      </c>
      <c r="H17">
        <f t="shared" si="0"/>
        <v>0.59651729559050393</v>
      </c>
      <c r="I17">
        <f t="shared" si="1"/>
        <v>1.0536514095711595</v>
      </c>
      <c r="J17">
        <f t="shared" si="2"/>
        <v>6.4167370842883615</v>
      </c>
      <c r="K17">
        <f t="shared" si="3"/>
        <v>-1.7727585941112567E-2</v>
      </c>
      <c r="L17">
        <f t="shared" si="4"/>
        <v>6.7317590953581838</v>
      </c>
      <c r="M17">
        <f t="shared" si="5"/>
        <v>2.7463117634617253</v>
      </c>
      <c r="N17">
        <f t="shared" si="6"/>
        <v>6.3385916490350631</v>
      </c>
      <c r="O17">
        <f t="shared" si="7"/>
        <v>3.0969457732671462</v>
      </c>
      <c r="P17">
        <f t="shared" si="8"/>
        <v>257.81002048599345</v>
      </c>
      <c r="Q17">
        <f t="shared" si="9"/>
        <v>61.543394583634431</v>
      </c>
      <c r="R17">
        <f t="shared" si="10"/>
        <v>290.78458274258986</v>
      </c>
      <c r="S17">
        <f t="shared" si="11"/>
        <v>144.52974726882405</v>
      </c>
      <c r="T17">
        <f t="shared" si="12"/>
        <v>48.396496044435601</v>
      </c>
      <c r="U17">
        <f t="shared" si="13"/>
        <v>290.78458274258986</v>
      </c>
      <c r="V17">
        <f t="shared" si="14"/>
        <v>154.55089503612217</v>
      </c>
      <c r="W17">
        <f t="shared" si="15"/>
        <v>48.396496044435601</v>
      </c>
      <c r="X17">
        <f t="shared" si="16"/>
        <v>290.78458274258986</v>
      </c>
      <c r="Y17">
        <f t="shared" si="17"/>
        <v>151.21051244702281</v>
      </c>
      <c r="Z17">
        <f t="shared" si="18"/>
        <v>45.056113455336231</v>
      </c>
      <c r="AA17">
        <f t="shared" si="19"/>
        <v>284.10381756439108</v>
      </c>
      <c r="AB17">
        <f t="shared" si="20"/>
        <v>147.87012985792342</v>
      </c>
      <c r="AC17">
        <f t="shared" si="21"/>
        <v>48.396496044435601</v>
      </c>
      <c r="AD17">
        <f t="shared" si="22"/>
        <v>9.2972284242437127</v>
      </c>
      <c r="AE17">
        <f t="shared" si="23"/>
        <v>289.16432551988231</v>
      </c>
      <c r="AF17">
        <f t="shared" si="24"/>
        <v>149.46094857986049</v>
      </c>
      <c r="AG17">
        <f t="shared" si="25"/>
        <v>47.591386885387038</v>
      </c>
      <c r="AH17">
        <f t="shared" si="26"/>
        <v>-0.25860677658374343</v>
      </c>
      <c r="AI17">
        <f t="shared" si="27"/>
        <v>97.739511503690082</v>
      </c>
      <c r="AJ17">
        <f t="shared" si="28"/>
        <v>196.02874089320107</v>
      </c>
      <c r="AK17">
        <f t="shared" si="29"/>
        <v>56.495507519236597</v>
      </c>
      <c r="AL17">
        <f t="shared" si="30"/>
        <v>54.544239394593603</v>
      </c>
      <c r="AM17">
        <f t="shared" si="31"/>
        <v>55.5198734569151</v>
      </c>
    </row>
    <row r="18" spans="1:42" x14ac:dyDescent="0.25">
      <c r="A18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0.18751881685054153</v>
      </c>
      <c r="F18">
        <f>Align!G18</f>
        <v>0.38419063426876759</v>
      </c>
      <c r="G18">
        <v>0.69125418592314292</v>
      </c>
      <c r="H18">
        <f t="shared" si="0"/>
        <v>0.59601035632861898</v>
      </c>
      <c r="I18">
        <f t="shared" si="1"/>
        <v>1.0563422606804367</v>
      </c>
      <c r="J18">
        <f t="shared" si="2"/>
        <v>6.4331243675438596</v>
      </c>
      <c r="K18">
        <f t="shared" si="3"/>
        <v>-1.8608671493513973E-2</v>
      </c>
      <c r="L18">
        <f t="shared" si="4"/>
        <v>6.7523187858114886</v>
      </c>
      <c r="M18">
        <f t="shared" si="5"/>
        <v>2.7472494758165298</v>
      </c>
      <c r="N18">
        <f t="shared" si="6"/>
        <v>6.3568058538216805</v>
      </c>
      <c r="O18">
        <f t="shared" si="7"/>
        <v>3.1026803006950399</v>
      </c>
      <c r="P18">
        <f t="shared" si="8"/>
        <v>259.95599817192209</v>
      </c>
      <c r="Q18">
        <f t="shared" si="9"/>
        <v>61.929276175562315</v>
      </c>
      <c r="R18">
        <f t="shared" si="10"/>
        <v>293.31064359197654</v>
      </c>
      <c r="S18">
        <f t="shared" si="11"/>
        <v>146.17221117032108</v>
      </c>
      <c r="T18">
        <f t="shared" si="12"/>
        <v>48.553232145786886</v>
      </c>
      <c r="U18">
        <f t="shared" si="13"/>
        <v>293.31064359197654</v>
      </c>
      <c r="V18">
        <f t="shared" si="14"/>
        <v>156.07604721107646</v>
      </c>
      <c r="W18">
        <f t="shared" si="15"/>
        <v>48.553232145786886</v>
      </c>
      <c r="X18">
        <f t="shared" si="16"/>
        <v>293.31064359197654</v>
      </c>
      <c r="Y18">
        <f t="shared" si="17"/>
        <v>152.7747685308247</v>
      </c>
      <c r="Z18">
        <f t="shared" si="18"/>
        <v>45.251953465535081</v>
      </c>
      <c r="AA18">
        <f t="shared" si="19"/>
        <v>286.70808623147298</v>
      </c>
      <c r="AB18">
        <f t="shared" si="20"/>
        <v>149.47348985057289</v>
      </c>
      <c r="AC18">
        <f t="shared" si="21"/>
        <v>48.553232145786886</v>
      </c>
      <c r="AD18">
        <f t="shared" si="22"/>
        <v>9.7995929225956289</v>
      </c>
      <c r="AE18">
        <f t="shared" si="23"/>
        <v>291.76662748712073</v>
      </c>
      <c r="AF18">
        <f t="shared" si="24"/>
        <v>150.95993535168111</v>
      </c>
      <c r="AG18">
        <f t="shared" si="25"/>
        <v>47.669035493292199</v>
      </c>
      <c r="AH18">
        <f t="shared" si="26"/>
        <v>-0.31581821341539928</v>
      </c>
      <c r="AI18">
        <f t="shared" si="27"/>
        <v>95.628277755443108</v>
      </c>
      <c r="AJ18">
        <f t="shared" si="28"/>
        <v>197.89549939682766</v>
      </c>
      <c r="AK18">
        <f t="shared" si="29"/>
        <v>56.76275972306324</v>
      </c>
      <c r="AL18">
        <f t="shared" si="30"/>
        <v>54.73952541118711</v>
      </c>
      <c r="AM18">
        <f t="shared" si="31"/>
        <v>55.751142567125171</v>
      </c>
      <c r="AO18" t="s">
        <v>79</v>
      </c>
      <c r="AP18">
        <f>SUM(AI4:AI25)</f>
        <v>1455.4838027933622</v>
      </c>
    </row>
    <row r="19" spans="1:42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0.18689416907287151</v>
      </c>
      <c r="F19">
        <f>Align!G19</f>
        <v>0.3832512269076177</v>
      </c>
      <c r="G19">
        <v>0.69328571428571428</v>
      </c>
      <c r="H19">
        <f t="shared" si="0"/>
        <v>0.59776197240259743</v>
      </c>
      <c r="I19">
        <f t="shared" si="1"/>
        <v>1.0470832770179086</v>
      </c>
      <c r="J19">
        <f t="shared" si="2"/>
        <v>6.376737157039063</v>
      </c>
      <c r="K19">
        <f t="shared" si="3"/>
        <v>-1.5573776721581889E-2</v>
      </c>
      <c r="L19">
        <f t="shared" si="4"/>
        <v>6.7987277604700846</v>
      </c>
      <c r="M19">
        <f t="shared" si="5"/>
        <v>2.7487687189505321</v>
      </c>
      <c r="N19">
        <f t="shared" si="6"/>
        <v>6.3967963834069677</v>
      </c>
      <c r="O19">
        <f t="shared" si="7"/>
        <v>3.1194262689036991</v>
      </c>
      <c r="P19">
        <f t="shared" si="8"/>
        <v>260.92973304942819</v>
      </c>
      <c r="Q19">
        <f t="shared" si="9"/>
        <v>62.050883038319299</v>
      </c>
      <c r="R19">
        <f t="shared" si="10"/>
        <v>294.75000323850139</v>
      </c>
      <c r="S19">
        <f t="shared" si="11"/>
        <v>147.65779623154035</v>
      </c>
      <c r="T19">
        <f t="shared" si="12"/>
        <v>48.18090086167561</v>
      </c>
      <c r="U19">
        <f t="shared" si="13"/>
        <v>294.75000323850139</v>
      </c>
      <c r="V19">
        <f t="shared" si="14"/>
        <v>156.77825498521912</v>
      </c>
      <c r="W19">
        <f t="shared" si="15"/>
        <v>48.18090086167561</v>
      </c>
      <c r="X19">
        <f t="shared" si="16"/>
        <v>294.75000323850139</v>
      </c>
      <c r="Y19">
        <f t="shared" si="17"/>
        <v>153.73810206732622</v>
      </c>
      <c r="Z19">
        <f t="shared" si="18"/>
        <v>45.140747943782713</v>
      </c>
      <c r="AA19">
        <f t="shared" si="19"/>
        <v>288.66969740271566</v>
      </c>
      <c r="AB19">
        <f t="shared" si="20"/>
        <v>150.6979491494333</v>
      </c>
      <c r="AC19">
        <f t="shared" si="21"/>
        <v>48.18090086167561</v>
      </c>
      <c r="AD19">
        <f t="shared" si="22"/>
        <v>8.0855939550988012</v>
      </c>
      <c r="AE19">
        <f t="shared" si="23"/>
        <v>282.85695190700199</v>
      </c>
      <c r="AF19">
        <f t="shared" si="24"/>
        <v>145.83596280416265</v>
      </c>
      <c r="AG19">
        <f t="shared" si="25"/>
        <v>47.389578108180451</v>
      </c>
      <c r="AH19">
        <f t="shared" si="26"/>
        <v>-2.5463488133893559</v>
      </c>
      <c r="AI19">
        <f t="shared" si="27"/>
        <v>0</v>
      </c>
      <c r="AJ19">
        <f t="shared" si="28"/>
        <v>191.50962583844242</v>
      </c>
      <c r="AK19">
        <f t="shared" si="29"/>
        <v>55.837944685476145</v>
      </c>
      <c r="AL19">
        <f t="shared" si="30"/>
        <v>54.055417986077892</v>
      </c>
      <c r="AM19">
        <f t="shared" si="31"/>
        <v>54.946681335777015</v>
      </c>
    </row>
    <row r="20" spans="1:42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0.18653850947206904</v>
      </c>
      <c r="F20">
        <f>Align!G20</f>
        <v>0.38270781210782145</v>
      </c>
      <c r="G20">
        <v>0.6925714285714285</v>
      </c>
      <c r="H20">
        <f t="shared" si="0"/>
        <v>0.59714610389610379</v>
      </c>
      <c r="I20">
        <f t="shared" si="1"/>
        <v>1.0503263573424626</v>
      </c>
      <c r="J20">
        <f t="shared" si="2"/>
        <v>6.396487516215597</v>
      </c>
      <c r="K20">
        <f t="shared" si="3"/>
        <v>-1.6637802394100842E-2</v>
      </c>
      <c r="L20">
        <f t="shared" si="4"/>
        <v>6.811763024880789</v>
      </c>
      <c r="M20">
        <f t="shared" si="5"/>
        <v>2.741588701491056</v>
      </c>
      <c r="N20">
        <f t="shared" si="6"/>
        <v>6.4023895718488761</v>
      </c>
      <c r="O20">
        <f t="shared" si="7"/>
        <v>3.1206371283995007</v>
      </c>
      <c r="P20">
        <f t="shared" si="8"/>
        <v>262.19581147968313</v>
      </c>
      <c r="Q20">
        <f t="shared" si="9"/>
        <v>62.291401069638574</v>
      </c>
      <c r="R20">
        <f t="shared" si="10"/>
        <v>296.79775959233848</v>
      </c>
      <c r="S20">
        <f t="shared" si="11"/>
        <v>148.73888906332908</v>
      </c>
      <c r="T20">
        <f t="shared" si="12"/>
        <v>48.077974180013186</v>
      </c>
      <c r="U20">
        <f t="shared" si="13"/>
        <v>296.79775959233848</v>
      </c>
      <c r="V20">
        <f t="shared" si="14"/>
        <v>158.00153056343595</v>
      </c>
      <c r="W20">
        <f t="shared" si="15"/>
        <v>48.077974180013186</v>
      </c>
      <c r="X20">
        <f t="shared" si="16"/>
        <v>296.79775959233848</v>
      </c>
      <c r="Y20">
        <f t="shared" si="17"/>
        <v>154.91398339673361</v>
      </c>
      <c r="Z20">
        <f t="shared" si="18"/>
        <v>44.990427013310892</v>
      </c>
      <c r="AA20">
        <f t="shared" si="19"/>
        <v>290.62266525893392</v>
      </c>
      <c r="AB20">
        <f t="shared" si="20"/>
        <v>151.82643623003139</v>
      </c>
      <c r="AC20">
        <f t="shared" si="21"/>
        <v>48.077974180013186</v>
      </c>
      <c r="AD20">
        <f t="shared" si="22"/>
        <v>8.6812655847379556</v>
      </c>
      <c r="AE20">
        <f t="shared" si="23"/>
        <v>285.96336682854701</v>
      </c>
      <c r="AF20">
        <f t="shared" si="24"/>
        <v>147.61983093940825</v>
      </c>
      <c r="AG20">
        <f t="shared" si="25"/>
        <v>47.491385478791337</v>
      </c>
      <c r="AH20">
        <f t="shared" si="26"/>
        <v>-2.2519873026952233</v>
      </c>
      <c r="AI20">
        <f t="shared" si="27"/>
        <v>0</v>
      </c>
      <c r="AJ20">
        <f t="shared" si="28"/>
        <v>193.7343429024545</v>
      </c>
      <c r="AK20">
        <f t="shared" si="29"/>
        <v>56.163538465102555</v>
      </c>
      <c r="AL20">
        <f t="shared" si="30"/>
        <v>54.298909141348794</v>
      </c>
      <c r="AM20">
        <f t="shared" si="31"/>
        <v>55.231223803225674</v>
      </c>
    </row>
    <row r="21" spans="1:42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0.18628790984322882</v>
      </c>
      <c r="F21">
        <f>Align!G21</f>
        <v>0.38232053933053556</v>
      </c>
      <c r="G21">
        <v>0.69185714285714284</v>
      </c>
      <c r="H21">
        <f t="shared" si="0"/>
        <v>0.59653023538961036</v>
      </c>
      <c r="I21">
        <f t="shared" si="1"/>
        <v>1.0535828443534312</v>
      </c>
      <c r="J21">
        <f t="shared" si="2"/>
        <v>6.4163195221123956</v>
      </c>
      <c r="K21">
        <f t="shared" si="3"/>
        <v>-1.7705125325047422E-2</v>
      </c>
      <c r="L21">
        <f t="shared" si="4"/>
        <v>6.8383669559885432</v>
      </c>
      <c r="M21">
        <f t="shared" si="5"/>
        <v>2.7365945581500672</v>
      </c>
      <c r="N21">
        <f t="shared" si="6"/>
        <v>6.4043902354331239</v>
      </c>
      <c r="O21">
        <f t="shared" si="7"/>
        <v>3.1205764484124647</v>
      </c>
      <c r="P21">
        <f t="shared" si="8"/>
        <v>263.17313645738636</v>
      </c>
      <c r="Q21">
        <f t="shared" si="9"/>
        <v>62.482102633890406</v>
      </c>
      <c r="R21">
        <f t="shared" si="10"/>
        <v>300.04803489689095</v>
      </c>
      <c r="S21">
        <f t="shared" si="11"/>
        <v>148.63269794579188</v>
      </c>
      <c r="T21">
        <f t="shared" si="12"/>
        <v>48.051494645921096</v>
      </c>
      <c r="U21">
        <f t="shared" si="13"/>
        <v>300.04803489689095</v>
      </c>
      <c r="V21">
        <f t="shared" si="14"/>
        <v>160.65322164114082</v>
      </c>
      <c r="W21">
        <f t="shared" si="15"/>
        <v>48.051494645921096</v>
      </c>
      <c r="X21">
        <f t="shared" si="16"/>
        <v>300.04803489689095</v>
      </c>
      <c r="Y21">
        <f t="shared" si="17"/>
        <v>156.64638040935785</v>
      </c>
      <c r="Z21">
        <f t="shared" si="18"/>
        <v>44.044653414138111</v>
      </c>
      <c r="AA21">
        <f t="shared" si="19"/>
        <v>292.03435243332501</v>
      </c>
      <c r="AB21">
        <f t="shared" si="20"/>
        <v>152.63953917757487</v>
      </c>
      <c r="AC21">
        <f t="shared" si="21"/>
        <v>48.051494645921096</v>
      </c>
      <c r="AD21">
        <f t="shared" si="22"/>
        <v>9.2844731963689515</v>
      </c>
      <c r="AE21">
        <f t="shared" si="23"/>
        <v>289.09815539432151</v>
      </c>
      <c r="AF21">
        <f t="shared" si="24"/>
        <v>149.42285875587936</v>
      </c>
      <c r="AG21">
        <f t="shared" si="25"/>
        <v>47.589369869979478</v>
      </c>
      <c r="AH21">
        <f t="shared" si="26"/>
        <v>-1.864001204596363</v>
      </c>
      <c r="AI21">
        <f t="shared" si="27"/>
        <v>0</v>
      </c>
      <c r="AJ21">
        <f t="shared" si="28"/>
        <v>195.98129096869343</v>
      </c>
      <c r="AK21">
        <f t="shared" si="29"/>
        <v>56.488681249676119</v>
      </c>
      <c r="AL21">
        <f t="shared" si="30"/>
        <v>54.539225118848471</v>
      </c>
      <c r="AM21">
        <f t="shared" si="31"/>
        <v>55.513953184262292</v>
      </c>
    </row>
    <row r="22" spans="1:42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0.18584227706986439</v>
      </c>
      <c r="F22">
        <f>Align!G22</f>
        <v>0.38162352074308936</v>
      </c>
      <c r="G22">
        <v>0.69114285714285706</v>
      </c>
      <c r="H22">
        <f t="shared" si="0"/>
        <v>0.59591436688311683</v>
      </c>
      <c r="I22">
        <f t="shared" si="1"/>
        <v>1.0568528074004548</v>
      </c>
      <c r="J22">
        <f t="shared" si="2"/>
        <v>6.4362335970687701</v>
      </c>
      <c r="K22">
        <f t="shared" si="3"/>
        <v>-1.87757591521307E-2</v>
      </c>
      <c r="L22">
        <f t="shared" si="4"/>
        <v>6.8516234887382037</v>
      </c>
      <c r="M22">
        <f t="shared" si="5"/>
        <v>2.7359336092850102</v>
      </c>
      <c r="N22">
        <f t="shared" si="6"/>
        <v>6.4131195148786571</v>
      </c>
      <c r="O22">
        <f t="shared" si="7"/>
        <v>3.1230484207197962</v>
      </c>
      <c r="P22">
        <f t="shared" si="8"/>
        <v>264.71007131043876</v>
      </c>
      <c r="Q22">
        <f t="shared" si="9"/>
        <v>62.775363108994824</v>
      </c>
      <c r="R22">
        <f t="shared" si="10"/>
        <v>302.14734131537085</v>
      </c>
      <c r="S22">
        <f t="shared" si="11"/>
        <v>149.63673650445725</v>
      </c>
      <c r="T22">
        <f t="shared" si="12"/>
        <v>48.177349901757744</v>
      </c>
      <c r="U22">
        <f t="shared" si="13"/>
        <v>302.14734131537085</v>
      </c>
      <c r="V22">
        <f t="shared" si="14"/>
        <v>161.99860189014413</v>
      </c>
      <c r="W22">
        <f t="shared" si="15"/>
        <v>48.177349901757744</v>
      </c>
      <c r="X22">
        <f t="shared" si="16"/>
        <v>302.14734131537085</v>
      </c>
      <c r="Y22">
        <f t="shared" si="17"/>
        <v>157.87798009491513</v>
      </c>
      <c r="Z22">
        <f t="shared" si="18"/>
        <v>44.056728106528766</v>
      </c>
      <c r="AA22">
        <f t="shared" si="19"/>
        <v>293.90609772491291</v>
      </c>
      <c r="AB22">
        <f t="shared" si="20"/>
        <v>153.75735829968619</v>
      </c>
      <c r="AC22">
        <f t="shared" si="21"/>
        <v>48.177349901757744</v>
      </c>
      <c r="AD22">
        <f t="shared" si="22"/>
        <v>9.8953015988747595</v>
      </c>
      <c r="AE22">
        <f t="shared" si="23"/>
        <v>292.26157219291929</v>
      </c>
      <c r="AF22">
        <f t="shared" si="24"/>
        <v>151.24525799135731</v>
      </c>
      <c r="AG22">
        <f t="shared" si="25"/>
        <v>47.683434651966152</v>
      </c>
      <c r="AH22">
        <f t="shared" si="26"/>
        <v>-1.6405715264484364</v>
      </c>
      <c r="AI22">
        <f t="shared" si="27"/>
        <v>0</v>
      </c>
      <c r="AJ22">
        <f t="shared" si="28"/>
        <v>198.25069605854461</v>
      </c>
      <c r="AK22">
        <f t="shared" si="29"/>
        <v>56.813323631492082</v>
      </c>
      <c r="AL22">
        <f t="shared" si="30"/>
        <v>54.776245802565768</v>
      </c>
      <c r="AM22">
        <f t="shared" si="31"/>
        <v>55.794784717028925</v>
      </c>
    </row>
    <row r="23" spans="1:42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0.18525167989688088</v>
      </c>
      <c r="F23">
        <f>Align!G23</f>
        <v>0.38069110863859346</v>
      </c>
      <c r="G23">
        <v>0.69042857142857139</v>
      </c>
      <c r="H23">
        <f t="shared" si="0"/>
        <v>0.5952984983766233</v>
      </c>
      <c r="I23">
        <f t="shared" si="1"/>
        <v>1.0601363162640909</v>
      </c>
      <c r="J23">
        <f t="shared" si="2"/>
        <v>6.4562301660483135</v>
      </c>
      <c r="K23">
        <f t="shared" si="3"/>
        <v>-1.9849717583639515E-2</v>
      </c>
      <c r="L23">
        <f t="shared" si="4"/>
        <v>6.8717917578672836</v>
      </c>
      <c r="M23">
        <f t="shared" si="5"/>
        <v>2.7298641601395173</v>
      </c>
      <c r="N23">
        <f t="shared" si="6"/>
        <v>6.4269160604426609</v>
      </c>
      <c r="O23">
        <f t="shared" si="7"/>
        <v>3.1274620545013354</v>
      </c>
      <c r="P23">
        <f t="shared" si="8"/>
        <v>266.67620137590995</v>
      </c>
      <c r="Q23">
        <f t="shared" si="9"/>
        <v>63.148509292013159</v>
      </c>
      <c r="R23">
        <f t="shared" si="10"/>
        <v>304.87301458741479</v>
      </c>
      <c r="S23">
        <f t="shared" si="11"/>
        <v>151.35209590919044</v>
      </c>
      <c r="T23">
        <f t="shared" si="12"/>
        <v>48.11284943048355</v>
      </c>
      <c r="U23">
        <f t="shared" si="13"/>
        <v>304.87301458741479</v>
      </c>
      <c r="V23">
        <f t="shared" si="14"/>
        <v>163.54033614185886</v>
      </c>
      <c r="W23">
        <f t="shared" si="15"/>
        <v>48.11284943048355</v>
      </c>
      <c r="X23">
        <f t="shared" si="16"/>
        <v>304.87301458741479</v>
      </c>
      <c r="Y23">
        <f t="shared" si="17"/>
        <v>159.47758939763605</v>
      </c>
      <c r="Z23">
        <f t="shared" si="18"/>
        <v>44.050102686260743</v>
      </c>
      <c r="AA23">
        <f t="shared" si="19"/>
        <v>296.74752109896917</v>
      </c>
      <c r="AB23">
        <f t="shared" si="20"/>
        <v>155.41484265341325</v>
      </c>
      <c r="AC23">
        <f t="shared" si="21"/>
        <v>48.11284943048355</v>
      </c>
      <c r="AD23">
        <f t="shared" si="22"/>
        <v>10.513836569111373</v>
      </c>
      <c r="AE23">
        <f t="shared" si="23"/>
        <v>295.45387410532959</v>
      </c>
      <c r="AF23">
        <f t="shared" si="24"/>
        <v>153.08724288007431</v>
      </c>
      <c r="AG23">
        <f t="shared" si="25"/>
        <v>47.773481417319232</v>
      </c>
      <c r="AH23">
        <f t="shared" si="26"/>
        <v>-1.5385681886889788</v>
      </c>
      <c r="AI23">
        <f t="shared" si="27"/>
        <v>0</v>
      </c>
      <c r="AJ23">
        <f t="shared" si="28"/>
        <v>200.54278662182605</v>
      </c>
      <c r="AK23">
        <f t="shared" si="29"/>
        <v>57.137415095442591</v>
      </c>
      <c r="AL23">
        <f t="shared" si="30"/>
        <v>55.009848031899551</v>
      </c>
      <c r="AM23">
        <f t="shared" si="31"/>
        <v>56.073631563671071</v>
      </c>
    </row>
    <row r="24" spans="1:42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0.18495311800280445</v>
      </c>
      <c r="F24">
        <f>Align!G24</f>
        <v>0.38022277732041276</v>
      </c>
      <c r="G24">
        <v>0.68971428571428572</v>
      </c>
      <c r="H24">
        <f t="shared" si="0"/>
        <v>0.59468262987012988</v>
      </c>
      <c r="I24">
        <f t="shared" si="1"/>
        <v>1.0634334411589481</v>
      </c>
      <c r="J24">
        <f t="shared" si="2"/>
        <v>6.4763096566579934</v>
      </c>
      <c r="K24">
        <f t="shared" si="3"/>
        <v>-2.0927014398884114E-2</v>
      </c>
      <c r="L24">
        <f t="shared" si="4"/>
        <v>6.88524102758665</v>
      </c>
      <c r="M24">
        <f t="shared" si="5"/>
        <v>2.7205858638129383</v>
      </c>
      <c r="N24">
        <f t="shared" si="6"/>
        <v>6.4306310300874481</v>
      </c>
      <c r="O24">
        <f t="shared" si="7"/>
        <v>3.1280747253549848</v>
      </c>
      <c r="P24">
        <f t="shared" si="8"/>
        <v>267.8149332591808</v>
      </c>
      <c r="Q24">
        <f t="shared" si="9"/>
        <v>63.369728176843154</v>
      </c>
      <c r="R24">
        <f t="shared" si="10"/>
        <v>307.01945874754944</v>
      </c>
      <c r="S24">
        <f t="shared" si="11"/>
        <v>152.34272605964384</v>
      </c>
      <c r="T24">
        <f t="shared" si="12"/>
        <v>47.934972227676305</v>
      </c>
      <c r="U24">
        <f t="shared" si="13"/>
        <v>307.01945874754944</v>
      </c>
      <c r="V24">
        <f t="shared" si="14"/>
        <v>164.8452464446963</v>
      </c>
      <c r="W24">
        <f t="shared" si="15"/>
        <v>47.934972227676305</v>
      </c>
      <c r="X24">
        <f t="shared" si="16"/>
        <v>307.01945874754944</v>
      </c>
      <c r="Y24">
        <f t="shared" si="17"/>
        <v>160.67773964967884</v>
      </c>
      <c r="Z24">
        <f t="shared" si="18"/>
        <v>43.767465432658838</v>
      </c>
      <c r="AA24">
        <f t="shared" si="19"/>
        <v>298.68444515751446</v>
      </c>
      <c r="AB24">
        <f t="shared" si="20"/>
        <v>156.51023285466135</v>
      </c>
      <c r="AC24">
        <f t="shared" si="21"/>
        <v>47.934972227676305</v>
      </c>
      <c r="AD24">
        <f t="shared" si="22"/>
        <v>11.140164863501276</v>
      </c>
      <c r="AE24">
        <f t="shared" si="23"/>
        <v>298.67532032507773</v>
      </c>
      <c r="AF24">
        <f t="shared" si="24"/>
        <v>154.94903018441434</v>
      </c>
      <c r="AG24">
        <f t="shared" si="25"/>
        <v>47.859409950398685</v>
      </c>
      <c r="AH24">
        <f t="shared" si="26"/>
        <v>-1.170505710537654</v>
      </c>
      <c r="AI24">
        <f t="shared" si="27"/>
        <v>0</v>
      </c>
      <c r="AJ24">
        <f t="shared" si="28"/>
        <v>202.85779356463547</v>
      </c>
      <c r="AK24">
        <f t="shared" si="29"/>
        <v>57.460903998371897</v>
      </c>
      <c r="AL24">
        <f t="shared" si="30"/>
        <v>55.239905524042342</v>
      </c>
      <c r="AM24">
        <f t="shared" si="31"/>
        <v>56.350404761207116</v>
      </c>
    </row>
    <row r="25" spans="1:42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0.18475088415451557</v>
      </c>
      <c r="F25">
        <f>Align!G25</f>
        <v>0.37990972573080195</v>
      </c>
      <c r="G25">
        <v>0.68899999999999995</v>
      </c>
      <c r="H25">
        <f t="shared" si="0"/>
        <v>0.59406676136363634</v>
      </c>
      <c r="I25">
        <f t="shared" si="1"/>
        <v>1.0667442527368352</v>
      </c>
      <c r="J25">
        <f t="shared" si="2"/>
        <v>6.4964724991673259</v>
      </c>
      <c r="K25">
        <f t="shared" si="3"/>
        <v>-2.2007663448636028E-2</v>
      </c>
      <c r="L25">
        <f t="shared" si="4"/>
        <v>6.8987710956513242</v>
      </c>
      <c r="M25">
        <f t="shared" si="5"/>
        <v>2.718840805524612</v>
      </c>
      <c r="N25">
        <f t="shared" si="6"/>
        <v>6.4310031757876871</v>
      </c>
      <c r="O25">
        <f t="shared" si="7"/>
        <v>3.1274101247125361</v>
      </c>
      <c r="P25">
        <f t="shared" si="8"/>
        <v>268.67982232499071</v>
      </c>
      <c r="Q25">
        <f t="shared" si="9"/>
        <v>63.540010166464022</v>
      </c>
      <c r="R25">
        <f t="shared" si="10"/>
        <v>309.18689259875458</v>
      </c>
      <c r="S25">
        <f t="shared" si="11"/>
        <v>152.38119919772822</v>
      </c>
      <c r="T25">
        <f t="shared" si="12"/>
        <v>48.022543995190276</v>
      </c>
      <c r="U25">
        <f t="shared" si="13"/>
        <v>309.18689259875458</v>
      </c>
      <c r="V25">
        <f t="shared" si="14"/>
        <v>166.5894060945528</v>
      </c>
      <c r="W25">
        <f t="shared" si="15"/>
        <v>48.022543995190276</v>
      </c>
      <c r="X25">
        <f t="shared" si="16"/>
        <v>309.18689259875458</v>
      </c>
      <c r="Y25">
        <f t="shared" si="17"/>
        <v>161.85333712894456</v>
      </c>
      <c r="Z25">
        <f t="shared" si="18"/>
        <v>43.286475029582078</v>
      </c>
      <c r="AA25">
        <f t="shared" si="19"/>
        <v>299.71475466753816</v>
      </c>
      <c r="AB25">
        <f t="shared" si="20"/>
        <v>157.1172681633364</v>
      </c>
      <c r="AC25">
        <f t="shared" si="21"/>
        <v>48.022543995190276</v>
      </c>
      <c r="AD25">
        <f t="shared" si="22"/>
        <v>11.774374229771203</v>
      </c>
      <c r="AE25">
        <f t="shared" si="23"/>
        <v>301.92617237850453</v>
      </c>
      <c r="AF25">
        <f t="shared" si="24"/>
        <v>156.83083922703889</v>
      </c>
      <c r="AG25">
        <f t="shared" si="25"/>
        <v>47.941118196276982</v>
      </c>
      <c r="AH25">
        <f t="shared" si="26"/>
        <v>-0.70847355509344645</v>
      </c>
      <c r="AI25">
        <f t="shared" si="27"/>
        <v>0</v>
      </c>
      <c r="AJ25">
        <f t="shared" si="28"/>
        <v>205.19595027752743</v>
      </c>
      <c r="AK25">
        <f t="shared" si="29"/>
        <v>57.783737548059321</v>
      </c>
      <c r="AL25">
        <f t="shared" si="30"/>
        <v>55.466288794099739</v>
      </c>
      <c r="AM25">
        <f t="shared" si="31"/>
        <v>56.62501317107953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55133-C2CC-45DF-B1AD-B7A7479904E6}">
  <dimension ref="A3:DA25"/>
  <sheetViews>
    <sheetView workbookViewId="0"/>
  </sheetViews>
  <sheetFormatPr defaultRowHeight="15" x14ac:dyDescent="0.25"/>
  <sheetData>
    <row r="3" spans="1:105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85</v>
      </c>
      <c r="H3" t="s">
        <v>86</v>
      </c>
      <c r="I3" t="s">
        <v>87</v>
      </c>
      <c r="J3" t="s">
        <v>88</v>
      </c>
      <c r="K3" t="s">
        <v>110</v>
      </c>
      <c r="L3" t="s">
        <v>90</v>
      </c>
      <c r="M3" t="s">
        <v>91</v>
      </c>
      <c r="N3" t="s">
        <v>111</v>
      </c>
      <c r="O3" t="s">
        <v>93</v>
      </c>
      <c r="P3" t="s">
        <v>41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112</v>
      </c>
      <c r="Z3" t="s">
        <v>113</v>
      </c>
      <c r="AA3" t="s">
        <v>114</v>
      </c>
      <c r="AB3" t="s">
        <v>54</v>
      </c>
      <c r="AC3" t="s">
        <v>115</v>
      </c>
      <c r="AD3" t="s">
        <v>116</v>
      </c>
      <c r="AE3" t="s">
        <v>117</v>
      </c>
      <c r="AF3" t="s">
        <v>118</v>
      </c>
      <c r="AG3" t="s">
        <v>119</v>
      </c>
      <c r="AH3" t="s">
        <v>90</v>
      </c>
      <c r="AI3" t="s">
        <v>91</v>
      </c>
      <c r="AJ3" t="s">
        <v>111</v>
      </c>
      <c r="AK3" t="s">
        <v>93</v>
      </c>
      <c r="AL3" t="s">
        <v>41</v>
      </c>
      <c r="AM3" t="s">
        <v>43</v>
      </c>
      <c r="AN3" t="s">
        <v>44</v>
      </c>
      <c r="AO3" t="s">
        <v>45</v>
      </c>
      <c r="AP3" t="s">
        <v>46</v>
      </c>
      <c r="AQ3" t="s">
        <v>47</v>
      </c>
      <c r="AR3" t="s">
        <v>48</v>
      </c>
      <c r="AS3" t="s">
        <v>49</v>
      </c>
      <c r="AT3" t="s">
        <v>50</v>
      </c>
      <c r="AU3" t="s">
        <v>112</v>
      </c>
      <c r="AV3" t="s">
        <v>113</v>
      </c>
      <c r="AW3" t="s">
        <v>114</v>
      </c>
      <c r="AX3" t="s">
        <v>54</v>
      </c>
      <c r="AY3" t="s">
        <v>115</v>
      </c>
      <c r="AZ3" t="s">
        <v>116</v>
      </c>
      <c r="BA3" t="s">
        <v>117</v>
      </c>
      <c r="BB3" t="s">
        <v>118</v>
      </c>
      <c r="BC3" t="s">
        <v>120</v>
      </c>
      <c r="BD3" t="s">
        <v>90</v>
      </c>
      <c r="BE3" t="s">
        <v>91</v>
      </c>
      <c r="BF3" t="s">
        <v>111</v>
      </c>
      <c r="BG3" t="s">
        <v>93</v>
      </c>
      <c r="BH3" t="s">
        <v>41</v>
      </c>
      <c r="BI3" t="s">
        <v>43</v>
      </c>
      <c r="BJ3" t="s">
        <v>44</v>
      </c>
      <c r="BK3" t="s">
        <v>45</v>
      </c>
      <c r="BL3" t="s">
        <v>46</v>
      </c>
      <c r="BM3" t="s">
        <v>47</v>
      </c>
      <c r="BN3" t="s">
        <v>48</v>
      </c>
      <c r="BO3" t="s">
        <v>49</v>
      </c>
      <c r="BP3" t="s">
        <v>50</v>
      </c>
      <c r="BQ3" t="s">
        <v>112</v>
      </c>
      <c r="BR3" t="s">
        <v>113</v>
      </c>
      <c r="BS3" t="s">
        <v>114</v>
      </c>
      <c r="BT3" t="s">
        <v>54</v>
      </c>
      <c r="BU3" t="s">
        <v>115</v>
      </c>
      <c r="BV3" t="s">
        <v>116</v>
      </c>
      <c r="BW3" t="s">
        <v>117</v>
      </c>
      <c r="BX3" t="s">
        <v>118</v>
      </c>
      <c r="BY3" t="s">
        <v>121</v>
      </c>
      <c r="BZ3" t="s">
        <v>90</v>
      </c>
      <c r="CA3" t="s">
        <v>91</v>
      </c>
      <c r="CB3" t="s">
        <v>111</v>
      </c>
      <c r="CC3" t="s">
        <v>93</v>
      </c>
      <c r="CD3" t="s">
        <v>41</v>
      </c>
      <c r="CE3" t="s">
        <v>43</v>
      </c>
      <c r="CF3" t="s">
        <v>44</v>
      </c>
      <c r="CG3" t="s">
        <v>45</v>
      </c>
      <c r="CH3" t="s">
        <v>46</v>
      </c>
      <c r="CI3" t="s">
        <v>47</v>
      </c>
      <c r="CJ3" t="s">
        <v>48</v>
      </c>
      <c r="CK3" t="s">
        <v>49</v>
      </c>
      <c r="CL3" t="s">
        <v>50</v>
      </c>
      <c r="CM3" t="s">
        <v>112</v>
      </c>
      <c r="CN3" t="s">
        <v>113</v>
      </c>
      <c r="CO3" t="s">
        <v>114</v>
      </c>
      <c r="CP3" t="s">
        <v>54</v>
      </c>
      <c r="CQ3" t="s">
        <v>115</v>
      </c>
      <c r="CR3" t="s">
        <v>116</v>
      </c>
      <c r="CS3" t="s">
        <v>117</v>
      </c>
      <c r="CT3" t="s">
        <v>118</v>
      </c>
      <c r="CW3" t="s">
        <v>122</v>
      </c>
      <c r="CZ3" t="s">
        <v>80</v>
      </c>
    </row>
    <row r="4" spans="1:105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0.20291614843494321</v>
      </c>
      <c r="F4">
        <f>Align!G4</f>
        <v>0.41955125799861193</v>
      </c>
      <c r="G4">
        <f t="shared" ref="G4:G25" si="0">2*Lfin_100/C4</f>
        <v>6.1431082084309132</v>
      </c>
      <c r="H4">
        <f t="shared" ref="H4:H25" si="1">2*Lfin_100/D4</f>
        <v>2.7557757329741848</v>
      </c>
      <c r="I4">
        <f t="shared" ref="I4:I25" si="2">2*Lfin_111/E4</f>
        <v>5.9827668195132313</v>
      </c>
      <c r="J4">
        <f t="shared" ref="J4:J25" si="3">2*Lfin_111/F4</f>
        <v>2.8935677747485538</v>
      </c>
      <c r="K4">
        <f t="shared" ref="K4:K25" si="4">I4^2-(4/3)*H4^2</f>
        <v>25.667765629402595</v>
      </c>
      <c r="L4">
        <f t="shared" ref="L4:L25" si="5">4*Lfin_100^2/K4</f>
        <v>7.7235550169161366E-2</v>
      </c>
      <c r="M4">
        <v>0</v>
      </c>
      <c r="N4">
        <v>0</v>
      </c>
      <c r="O4">
        <f t="shared" ref="O4:O25" si="6">Lfin_100/(1+N4*scal_100)</f>
        <v>0.70399999999999996</v>
      </c>
      <c r="P4">
        <f t="shared" ref="P4:P25" si="7">O4*Lfin_111/Lfin_100</f>
        <v>0.60699999999999998</v>
      </c>
      <c r="Q4">
        <f t="shared" ref="Q4:Q25" si="8">rho_100*(Lfin_100/O4)^3</f>
        <v>6.09</v>
      </c>
      <c r="R4">
        <f t="shared" ref="R4:R25" si="9">0.5*(1-(Lfin_100/O4)^2)</f>
        <v>0</v>
      </c>
      <c r="S4">
        <f t="shared" ref="S4:S25" si="10">2*O4/C4</f>
        <v>6.1431082084309132</v>
      </c>
      <c r="T4">
        <f t="shared" ref="T4:T25" si="11">2*O4/D4</f>
        <v>2.7557757329741848</v>
      </c>
      <c r="U4">
        <f t="shared" ref="U4:U25" si="12">2*P4/E4</f>
        <v>5.9827668195132313</v>
      </c>
      <c r="V4">
        <f t="shared" ref="V4:V25" si="13">2*P4/F4</f>
        <v>2.8935677747485538</v>
      </c>
      <c r="W4">
        <f t="shared" ref="W4:W25" si="14">Q4*U4^2</f>
        <v>217.98240779351096</v>
      </c>
      <c r="X4">
        <f t="shared" ref="X4:X25" si="15">Q4*V4^2</f>
        <v>50.989952904415482</v>
      </c>
      <c r="Y4">
        <f t="shared" ref="Y4:Y25" si="16">Q4*S4^2</f>
        <v>229.82307082439178</v>
      </c>
      <c r="Z4">
        <f t="shared" ref="Z4:Z25" si="17">1.5*W4-0.5*Y4-2*AA4</f>
        <v>119.56350361239683</v>
      </c>
      <c r="AA4">
        <f t="shared" ref="AA4:AA25" si="18">Q4*T4^2</f>
        <v>46.249286332836874</v>
      </c>
      <c r="AB4">
        <f t="shared" ref="AB4:AB25" si="19">-3*_xlfn.SINGLE(gK0)*((1-2*R4)^2.5)*(1+1.5*(4-_xlfn.SINGLE(gK0p))*R4)*R4</f>
        <v>0</v>
      </c>
      <c r="AC4">
        <f t="shared" ref="AC4:AC25" si="20">((1-2*R4)^3.5)*(_xlfn.SINGLE(gC11_0)-_xlfn.SINGLE(gC11a)*R4)+3*AB4</f>
        <v>238.83941734220869</v>
      </c>
      <c r="AD4">
        <f t="shared" ref="AD4:AD25" si="21">((1-2*R4)^3.5)*(_xlfn.SINGLE(gC12_0)-_xlfn.SINGLE(gC12a)*R4)+1*AB4</f>
        <v>121.84739270278482</v>
      </c>
      <c r="AE4">
        <f t="shared" ref="AE4:AE25" si="22">((1-2*R4)^3.5)*(_xlfn.SINGLE(gC44_0)-_xlfn.SINGLE(gC44a)*R4)+1*AB4</f>
        <v>45.192081540647706</v>
      </c>
      <c r="AF4">
        <f t="shared" ref="AF4:AF25" si="23">IF(AND(A4&gt;=CutoffLowBar,A4&lt;=CutoffOilBar),(AB4-B4)^2+(AC4-Y4)^2+(AD4-Z4)^2+(AE4-AA4)^2,0)</f>
        <v>0</v>
      </c>
      <c r="AG4">
        <f t="shared" ref="AG4:AG25" si="24">G4^2+(2/3)*H4^2-2*J4^2</f>
        <v>26.055176119997608</v>
      </c>
      <c r="AH4">
        <f t="shared" ref="AH4:AH25" si="25">4*Lfin_100^2/AG4</f>
        <v>7.6087146403068795E-2</v>
      </c>
      <c r="AI4">
        <v>0</v>
      </c>
      <c r="AJ4">
        <v>0</v>
      </c>
      <c r="AK4">
        <f t="shared" ref="AK4:AK25" si="26">Lfin_100/(1+AJ4*scal_100)</f>
        <v>0.70399999999999996</v>
      </c>
      <c r="AL4">
        <f t="shared" ref="AL4:AL25" si="27">AK4*Lfin_111/Lfin_100</f>
        <v>0.60699999999999998</v>
      </c>
      <c r="AM4">
        <f t="shared" ref="AM4:AM25" si="28">rho_100*(Lfin_100/AK4)^3</f>
        <v>6.09</v>
      </c>
      <c r="AN4">
        <f t="shared" ref="AN4:AN25" si="29">0.5*(1-(Lfin_100/AK4)^2)</f>
        <v>0</v>
      </c>
      <c r="AO4">
        <f t="shared" ref="AO4:AO25" si="30">2*AK4/C4</f>
        <v>6.1431082084309132</v>
      </c>
      <c r="AP4">
        <f t="shared" ref="AP4:AP25" si="31">2*AK4/D4</f>
        <v>2.7557757329741848</v>
      </c>
      <c r="AQ4">
        <f t="shared" ref="AQ4:AQ25" si="32">2*AL4/E4</f>
        <v>5.9827668195132313</v>
      </c>
      <c r="AR4">
        <f t="shared" ref="AR4:AR25" si="33">2*AL4/F4</f>
        <v>2.8935677747485538</v>
      </c>
      <c r="AS4">
        <f t="shared" ref="AS4:AS25" si="34">AM4*AQ4^2</f>
        <v>217.98240779351096</v>
      </c>
      <c r="AT4">
        <f t="shared" ref="AT4:AT25" si="35">AM4*AR4^2</f>
        <v>50.989952904415482</v>
      </c>
      <c r="AU4">
        <f t="shared" ref="AU4:AU25" si="36">AM4*AO4^2</f>
        <v>229.82307082439178</v>
      </c>
      <c r="AV4">
        <f t="shared" ref="AV4:AV25" si="37">AU4+AW4-3*AT4</f>
        <v>123.10249844398223</v>
      </c>
      <c r="AW4">
        <f t="shared" ref="AW4:AW25" si="38">AM4*AP4^2</f>
        <v>46.249286332836874</v>
      </c>
      <c r="AX4">
        <f t="shared" ref="AX4:AX25" si="39">-3*_xlfn.SINGLE(gK0)*((1-2*AN4)^2.5)*(1+1.5*(4-_xlfn.SINGLE(gK0p))*AN4)*AN4</f>
        <v>0</v>
      </c>
      <c r="AY4">
        <f t="shared" ref="AY4:AY25" si="40">((1-2*AN4)^3.5)*(_xlfn.SINGLE(gC11_0)-_xlfn.SINGLE(gC11a)*AN4)+3*AX4</f>
        <v>238.83941734220869</v>
      </c>
      <c r="AZ4">
        <f t="shared" ref="AZ4:AZ25" si="41">((1-2*AN4)^3.5)*(_xlfn.SINGLE(gC12_0)-_xlfn.SINGLE(gC12a)*AN4)+1*AX4</f>
        <v>121.84739270278482</v>
      </c>
      <c r="BA4">
        <f t="shared" ref="BA4:BA25" si="42">((1-2*AN4)^3.5)*(_xlfn.SINGLE(gC44_0)-_xlfn.SINGLE(gC44a)*AN4)+1*AX4</f>
        <v>45.192081540647706</v>
      </c>
      <c r="BB4">
        <f t="shared" ref="BB4:BB25" si="43">IF(AND(A4&gt;=CutoffLowBar,A4&lt;=CutoffOilBar),(AX4-B4)^2+(AY4-AU4)^2+(AZ4-AV4)^2+(BA4-AW4)^2,0)</f>
        <v>0</v>
      </c>
      <c r="BC4">
        <f t="shared" ref="BC4:BC25" si="44">(1/3)*I4^2-(4/3)*J4^2+(2/3)*G4^2</f>
        <v>25.926039289799263</v>
      </c>
      <c r="BD4">
        <f t="shared" ref="BD4:BD25" si="45">4*Lfin_100^2/BC4</f>
        <v>7.6466134215109782E-2</v>
      </c>
      <c r="BE4">
        <v>0</v>
      </c>
      <c r="BF4">
        <v>0</v>
      </c>
      <c r="BG4">
        <f t="shared" ref="BG4:BG25" si="46">Lfin_100/(1+BF4*scal_100)</f>
        <v>0.70399999999999996</v>
      </c>
      <c r="BH4">
        <f t="shared" ref="BH4:BH25" si="47">BG4*Lfin_111/Lfin_100</f>
        <v>0.60699999999999998</v>
      </c>
      <c r="BI4">
        <f t="shared" ref="BI4:BI25" si="48">rho_100*(Lfin_100/BG4)^3</f>
        <v>6.09</v>
      </c>
      <c r="BJ4">
        <f t="shared" ref="BJ4:BJ25" si="49">0.5*(1-(Lfin_100/BG4)^2)</f>
        <v>0</v>
      </c>
      <c r="BK4">
        <f t="shared" ref="BK4:BK25" si="50">2*BG4/C4</f>
        <v>6.1431082084309132</v>
      </c>
      <c r="BL4">
        <f t="shared" ref="BL4:BL25" si="51">2*BG4/D4</f>
        <v>2.7557757329741848</v>
      </c>
      <c r="BM4">
        <f t="shared" ref="BM4:BM25" si="52">2*BH4/E4</f>
        <v>5.9827668195132313</v>
      </c>
      <c r="BN4">
        <f t="shared" ref="BN4:BN25" si="53">2*BH4/F4</f>
        <v>2.8935677747485538</v>
      </c>
      <c r="BO4">
        <f t="shared" ref="BO4:BO25" si="54">BI4*BM4^2</f>
        <v>217.98240779351096</v>
      </c>
      <c r="BP4">
        <f t="shared" ref="BP4:BP25" si="55">BI4*BN4^2</f>
        <v>50.989952904415482</v>
      </c>
      <c r="BQ4">
        <f t="shared" ref="BQ4:BQ25" si="56">BI4*BK4^2</f>
        <v>229.82307082439178</v>
      </c>
      <c r="BR4">
        <f t="shared" ref="BR4:BR25" si="57">BQ4+BS4-3*BP4</f>
        <v>121.92283350012039</v>
      </c>
      <c r="BS4">
        <f t="shared" ref="BS4:BS25" si="58">BP4+0.5*BO4-0.5*BQ4</f>
        <v>45.069621388975065</v>
      </c>
      <c r="BT4">
        <f t="shared" ref="BT4:BT25" si="59">-3*_xlfn.SINGLE(gK0)*((1-2*BJ4)^2.5)*(1+1.5*(4-_xlfn.SINGLE(gK0p))*BJ4)*BJ4</f>
        <v>0</v>
      </c>
      <c r="BU4">
        <f t="shared" ref="BU4:BU25" si="60">((1-2*BJ4)^3.5)*(_xlfn.SINGLE(gC11_0)-_xlfn.SINGLE(gC11a)*BJ4)+3*BT4</f>
        <v>238.83941734220869</v>
      </c>
      <c r="BV4">
        <f t="shared" ref="BV4:BV25" si="61">((1-2*BJ4)^3.5)*(_xlfn.SINGLE(gC12_0)-_xlfn.SINGLE(gC12a)*BJ4)+1*BT4</f>
        <v>121.84739270278482</v>
      </c>
      <c r="BW4">
        <f t="shared" ref="BW4:BW25" si="62">((1-2*BJ4)^3.5)*(_xlfn.SINGLE(gC44_0)-_xlfn.SINGLE(gC44a)*BJ4)+1*BT4</f>
        <v>45.192081540647706</v>
      </c>
      <c r="BX4">
        <f t="shared" ref="BX4:BX25" si="63">IF(AND(A4&gt;=CutoffLowBar,A4&lt;=CutoffOilBar),(BT4-B4)^2+(BU4-BQ4)^2+(BV4-BR4)^2+(BW4-BS4)^2,0)</f>
        <v>0</v>
      </c>
      <c r="BY4">
        <f t="shared" ref="BY4:BY25" si="64">I4^2-(4/3)*H4^2</f>
        <v>25.667765629402595</v>
      </c>
      <c r="BZ4">
        <f t="shared" ref="BZ4:BZ25" si="65">4*Lfin_100^2/BY4</f>
        <v>7.7235550169161366E-2</v>
      </c>
      <c r="CA4">
        <v>0</v>
      </c>
      <c r="CB4">
        <v>0</v>
      </c>
      <c r="CC4">
        <f t="shared" ref="CC4:CC25" si="66">Lfin_100/(1+CB4*scal_100)</f>
        <v>0.70399999999999996</v>
      </c>
      <c r="CD4">
        <f t="shared" ref="CD4:CD25" si="67">CC4*Lfin_111/Lfin_100</f>
        <v>0.60699999999999998</v>
      </c>
      <c r="CE4">
        <f t="shared" ref="CE4:CE25" si="68">rho_100*(Lfin_100/CC4)^3</f>
        <v>6.09</v>
      </c>
      <c r="CF4">
        <f t="shared" ref="CF4:CF25" si="69">0.5*(1-(Lfin_100/CC4)^2)</f>
        <v>0</v>
      </c>
      <c r="CG4">
        <f t="shared" ref="CG4:CG25" si="70">2*CC4/C4</f>
        <v>6.1431082084309132</v>
      </c>
      <c r="CH4">
        <f t="shared" ref="CH4:CH25" si="71">2*CC4/D4</f>
        <v>2.7557757329741848</v>
      </c>
      <c r="CI4">
        <f t="shared" ref="CI4:CI25" si="72">2*CD4/E4</f>
        <v>5.9827668195132313</v>
      </c>
      <c r="CJ4">
        <f t="shared" ref="CJ4:CJ25" si="73">2*CD4/F4</f>
        <v>2.8935677747485538</v>
      </c>
      <c r="CK4">
        <f t="shared" ref="CK4:CK25" si="74">CE4*CI4^2</f>
        <v>217.98240779351096</v>
      </c>
      <c r="CL4">
        <f t="shared" ref="CL4:CL25" si="75">CE4*CJ4^2</f>
        <v>50.989952904415482</v>
      </c>
      <c r="CM4">
        <f t="shared" ref="CM4:CM25" si="76">3*CL4+CN4-CO4</f>
        <v>227.46374093666819</v>
      </c>
      <c r="CN4">
        <f t="shared" ref="CN4:CN25" si="77">CK4-CL4-CO4</f>
        <v>120.74316855625861</v>
      </c>
      <c r="CO4">
        <f t="shared" ref="CO4:CO25" si="78">CE4*CH4^2</f>
        <v>46.249286332836874</v>
      </c>
      <c r="CP4">
        <f t="shared" ref="CP4:CP25" si="79">-3*_xlfn.SINGLE(gK0)*((1-2*CF4)^2.5)*(1+1.5*(4-_xlfn.SINGLE(gK0p))*CF4)*CF4</f>
        <v>0</v>
      </c>
      <c r="CQ4">
        <f t="shared" ref="CQ4:CQ25" si="80">((1-2*CF4)^3.5)*(_xlfn.SINGLE(gC11_0)-_xlfn.SINGLE(gC11a)*CF4)+3*CP4</f>
        <v>238.83941734220869</v>
      </c>
      <c r="CR4">
        <f t="shared" ref="CR4:CR25" si="81">((1-2*CF4)^3.5)*(_xlfn.SINGLE(gC12_0)-_xlfn.SINGLE(gC12a)*CF4)+1*CP4</f>
        <v>121.84739270278482</v>
      </c>
      <c r="CS4">
        <f t="shared" ref="CS4:CS25" si="82">((1-2*CF4)^3.5)*(_xlfn.SINGLE(gC44_0)-_xlfn.SINGLE(gC44a)*CF4)+1*CP4</f>
        <v>45.192081540647706</v>
      </c>
      <c r="CT4">
        <f t="shared" ref="CT4:CT25" si="83">IF(AND(A4&gt;=CutoffLowBar,A4&lt;=CutoffOilBar),(CP4-B4)^2+(CQ4-CM4)^2+(CR4-CN4)^2+(CS4-CO4)^2,0)</f>
        <v>0</v>
      </c>
      <c r="CV4" t="s">
        <v>68</v>
      </c>
      <c r="CW4">
        <v>238.83941734220869</v>
      </c>
      <c r="CZ4" t="s">
        <v>68</v>
      </c>
      <c r="DA4">
        <f>gC11_0</f>
        <v>238.83941734220869</v>
      </c>
    </row>
    <row r="5" spans="1:105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0.20282185216281789</v>
      </c>
      <c r="F5">
        <f>Align!G5</f>
        <v>0.41875595960981177</v>
      </c>
      <c r="G5">
        <f t="shared" si="0"/>
        <v>6.2648579009706697</v>
      </c>
      <c r="H5">
        <f t="shared" si="1"/>
        <v>2.7758410930082182</v>
      </c>
      <c r="I5">
        <f t="shared" si="2"/>
        <v>5.985548337392391</v>
      </c>
      <c r="J5">
        <f t="shared" si="3"/>
        <v>2.8990632184224441</v>
      </c>
      <c r="K5">
        <f t="shared" si="4"/>
        <v>25.553063867750073</v>
      </c>
      <c r="L5">
        <f t="shared" si="5"/>
        <v>7.7582242593696227E-2</v>
      </c>
      <c r="M5">
        <f t="shared" ref="M5:M25" si="84">0.5*(B5-B4)*(L5+L4)</f>
        <v>9.99603590403755E-3</v>
      </c>
      <c r="N5">
        <f t="shared" ref="N5:N25" si="85">N4+M5</f>
        <v>9.99603590403755E-3</v>
      </c>
      <c r="O5">
        <f t="shared" si="6"/>
        <v>0.7038024647603065</v>
      </c>
      <c r="P5">
        <f t="shared" si="7"/>
        <v>0.60682968197373022</v>
      </c>
      <c r="Q5">
        <f t="shared" si="8"/>
        <v>6.0951292543417823</v>
      </c>
      <c r="R5">
        <f t="shared" si="9"/>
        <v>-2.8070796928592046E-4</v>
      </c>
      <c r="S5">
        <f t="shared" si="10"/>
        <v>6.2631000455628376</v>
      </c>
      <c r="T5">
        <f t="shared" si="11"/>
        <v>2.7750622202302946</v>
      </c>
      <c r="U5">
        <f t="shared" si="12"/>
        <v>5.9838688534072721</v>
      </c>
      <c r="V5">
        <f t="shared" si="13"/>
        <v>2.8982497707694082</v>
      </c>
      <c r="W5">
        <f t="shared" si="14"/>
        <v>218.24638211155897</v>
      </c>
      <c r="X5">
        <f t="shared" si="15"/>
        <v>51.198182034604145</v>
      </c>
      <c r="Y5">
        <f t="shared" si="16"/>
        <v>239.09011337692402</v>
      </c>
      <c r="Z5">
        <f t="shared" si="17"/>
        <v>113.94769743541293</v>
      </c>
      <c r="AA5">
        <f t="shared" si="18"/>
        <v>46.938409521731749</v>
      </c>
      <c r="AB5">
        <f t="shared" si="19"/>
        <v>0.1356231440450647</v>
      </c>
      <c r="AC5">
        <f t="shared" si="20"/>
        <v>239.56252904131372</v>
      </c>
      <c r="AD5">
        <f t="shared" si="21"/>
        <v>122.23427978983854</v>
      </c>
      <c r="AE5">
        <f t="shared" si="22"/>
        <v>45.238167020520756</v>
      </c>
      <c r="AF5">
        <f t="shared" si="23"/>
        <v>0</v>
      </c>
      <c r="AG5">
        <f t="shared" si="24"/>
        <v>27.576171946290202</v>
      </c>
      <c r="AH5">
        <f t="shared" si="25"/>
        <v>7.1890471377289877E-2</v>
      </c>
      <c r="AI5">
        <f t="shared" ref="AI5:AI25" si="86">0.5*(B5-B4)*(AH5+AH4)</f>
        <v>9.5543900602701494E-3</v>
      </c>
      <c r="AJ5">
        <f t="shared" ref="AJ5:AJ25" si="87">AJ4+AI5</f>
        <v>9.5543900602701494E-3</v>
      </c>
      <c r="AK5">
        <f t="shared" si="26"/>
        <v>0.70381118994105329</v>
      </c>
      <c r="AL5">
        <f t="shared" si="27"/>
        <v>0.60683720496337978</v>
      </c>
      <c r="AM5">
        <f t="shared" si="28"/>
        <v>6.0949025723314936</v>
      </c>
      <c r="AN5">
        <f t="shared" si="29"/>
        <v>-2.683040387808644E-4</v>
      </c>
      <c r="AO5">
        <f t="shared" si="30"/>
        <v>6.2631776904741141</v>
      </c>
      <c r="AP5">
        <f t="shared" si="31"/>
        <v>2.7750966232349263</v>
      </c>
      <c r="AQ5">
        <f t="shared" si="32"/>
        <v>5.983943036633284</v>
      </c>
      <c r="AR5">
        <f t="shared" si="33"/>
        <v>2.898285700954887</v>
      </c>
      <c r="AS5">
        <f t="shared" si="34"/>
        <v>218.24367650079506</v>
      </c>
      <c r="AT5">
        <f t="shared" si="35"/>
        <v>51.197547328309987</v>
      </c>
      <c r="AU5">
        <f t="shared" si="36"/>
        <v>239.0871493654337</v>
      </c>
      <c r="AV5">
        <f t="shared" si="37"/>
        <v>132.43233500454346</v>
      </c>
      <c r="AW5">
        <f t="shared" si="38"/>
        <v>46.93782762403972</v>
      </c>
      <c r="AX5">
        <f t="shared" si="39"/>
        <v>0.12962296079690597</v>
      </c>
      <c r="AY5">
        <f t="shared" si="40"/>
        <v>239.53055317583576</v>
      </c>
      <c r="AZ5">
        <f t="shared" si="41"/>
        <v>122.21716868106307</v>
      </c>
      <c r="BA5">
        <f t="shared" si="42"/>
        <v>45.236135493106495</v>
      </c>
      <c r="BB5">
        <f t="shared" si="43"/>
        <v>0</v>
      </c>
      <c r="BC5">
        <f t="shared" si="44"/>
        <v>26.901802586776824</v>
      </c>
      <c r="BD5">
        <f t="shared" si="45"/>
        <v>7.3692608278021113E-2</v>
      </c>
      <c r="BE5">
        <f t="shared" ref="BE5:BE25" si="88">0.5*(B5-B4)*(BD5+BD4)</f>
        <v>9.6952175488356964E-3</v>
      </c>
      <c r="BF5">
        <f t="shared" ref="BF5:BF25" si="89">BF4+BE5</f>
        <v>9.6952175488356964E-3</v>
      </c>
      <c r="BG5">
        <f t="shared" si="46"/>
        <v>0.7038084077215786</v>
      </c>
      <c r="BH5">
        <f t="shared" si="47"/>
        <v>0.60683480608948615</v>
      </c>
      <c r="BI5">
        <f t="shared" si="48"/>
        <v>6.094974853751328</v>
      </c>
      <c r="BJ5">
        <f t="shared" si="49"/>
        <v>-2.7225925998553002E-4</v>
      </c>
      <c r="BK5">
        <f t="shared" si="50"/>
        <v>6.2631529316535772</v>
      </c>
      <c r="BL5">
        <f t="shared" si="51"/>
        <v>2.7750856530656827</v>
      </c>
      <c r="BM5">
        <f t="shared" si="52"/>
        <v>5.9839193816486951</v>
      </c>
      <c r="BN5">
        <f t="shared" si="53"/>
        <v>2.8982742438097953</v>
      </c>
      <c r="BO5">
        <f t="shared" si="54"/>
        <v>218.24453923815423</v>
      </c>
      <c r="BP5">
        <f t="shared" si="55"/>
        <v>51.197749716931192</v>
      </c>
      <c r="BQ5">
        <f t="shared" si="56"/>
        <v>239.08809449896128</v>
      </c>
      <c r="BR5">
        <f t="shared" si="57"/>
        <v>126.27081743469537</v>
      </c>
      <c r="BS5">
        <f t="shared" si="58"/>
        <v>40.775972086527659</v>
      </c>
      <c r="BT5">
        <f t="shared" si="59"/>
        <v>0.13153615653394435</v>
      </c>
      <c r="BU5">
        <f t="shared" si="60"/>
        <v>239.54074903736273</v>
      </c>
      <c r="BV5">
        <f t="shared" si="61"/>
        <v>122.22262471856438</v>
      </c>
      <c r="BW5">
        <f t="shared" si="62"/>
        <v>45.23678333221941</v>
      </c>
      <c r="BX5">
        <f t="shared" si="63"/>
        <v>0</v>
      </c>
      <c r="BY5">
        <f t="shared" si="64"/>
        <v>25.553063867750073</v>
      </c>
      <c r="BZ5">
        <f t="shared" si="65"/>
        <v>7.7582242593696227E-2</v>
      </c>
      <c r="CA5">
        <f t="shared" ref="CA5:CA25" si="90">0.5*(B5-B4)*(BZ5+BZ4)</f>
        <v>9.99603590403755E-3</v>
      </c>
      <c r="CB5">
        <f t="shared" ref="CB5:CB25" si="91">CB4+CA5</f>
        <v>9.99603590403755E-3</v>
      </c>
      <c r="CC5">
        <f t="shared" si="66"/>
        <v>0.7038024647603065</v>
      </c>
      <c r="CD5">
        <f t="shared" si="67"/>
        <v>0.60682968197373022</v>
      </c>
      <c r="CE5">
        <f t="shared" si="68"/>
        <v>6.0951292543417823</v>
      </c>
      <c r="CF5">
        <f t="shared" si="69"/>
        <v>-2.8070796928592046E-4</v>
      </c>
      <c r="CG5">
        <f t="shared" si="70"/>
        <v>6.2631000455628376</v>
      </c>
      <c r="CH5">
        <f t="shared" si="71"/>
        <v>2.7750622202302946</v>
      </c>
      <c r="CI5">
        <f t="shared" si="72"/>
        <v>5.9838688534072721</v>
      </c>
      <c r="CJ5">
        <f t="shared" si="73"/>
        <v>2.8982497707694082</v>
      </c>
      <c r="CK5">
        <f t="shared" si="74"/>
        <v>218.24638211155897</v>
      </c>
      <c r="CL5">
        <f t="shared" si="75"/>
        <v>51.198182034604145</v>
      </c>
      <c r="CM5">
        <f t="shared" si="76"/>
        <v>226.76592713730375</v>
      </c>
      <c r="CN5">
        <f t="shared" si="77"/>
        <v>120.10979055522307</v>
      </c>
      <c r="CO5">
        <f t="shared" si="78"/>
        <v>46.938409521731749</v>
      </c>
      <c r="CP5">
        <f t="shared" si="79"/>
        <v>0.1356231440450647</v>
      </c>
      <c r="CQ5">
        <f t="shared" si="80"/>
        <v>239.56252904131372</v>
      </c>
      <c r="CR5">
        <f t="shared" si="81"/>
        <v>122.23427978983854</v>
      </c>
      <c r="CS5">
        <f t="shared" si="82"/>
        <v>45.238167020520756</v>
      </c>
      <c r="CT5">
        <f t="shared" si="83"/>
        <v>0</v>
      </c>
      <c r="CV5" t="s">
        <v>69</v>
      </c>
      <c r="CW5">
        <v>121.84739270278482</v>
      </c>
      <c r="CZ5" t="s">
        <v>69</v>
      </c>
      <c r="DA5">
        <f>gC12_0</f>
        <v>121.84739270278482</v>
      </c>
    </row>
    <row r="6" spans="1:105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0.20068313946370661</v>
      </c>
      <c r="F6">
        <f>Align!G6</f>
        <v>0.41032240249009772</v>
      </c>
      <c r="G6">
        <f t="shared" si="0"/>
        <v>6.3726059035918201</v>
      </c>
      <c r="H6">
        <f t="shared" si="1"/>
        <v>2.7835238115389078</v>
      </c>
      <c r="I6">
        <f t="shared" si="2"/>
        <v>6.0493372948231707</v>
      </c>
      <c r="J6">
        <f t="shared" si="3"/>
        <v>2.9586490833370895</v>
      </c>
      <c r="K6">
        <f t="shared" si="4"/>
        <v>26.263808627333063</v>
      </c>
      <c r="L6">
        <f t="shared" si="5"/>
        <v>7.5482730937082201E-2</v>
      </c>
      <c r="M6">
        <f t="shared" si="84"/>
        <v>0.11530006345218234</v>
      </c>
      <c r="N6">
        <f t="shared" si="85"/>
        <v>0.12529609935621988</v>
      </c>
      <c r="O6">
        <f t="shared" si="6"/>
        <v>0.70153196673344875</v>
      </c>
      <c r="P6">
        <f t="shared" si="7"/>
        <v>0.60487202245341387</v>
      </c>
      <c r="Q6">
        <f t="shared" si="8"/>
        <v>6.1545013895200187</v>
      </c>
      <c r="R6">
        <f t="shared" si="9"/>
        <v>-3.5242508272832485E-3</v>
      </c>
      <c r="S6">
        <f t="shared" si="10"/>
        <v>6.3502652738124379</v>
      </c>
      <c r="T6">
        <f t="shared" si="11"/>
        <v>2.7737655311907328</v>
      </c>
      <c r="U6">
        <f t="shared" si="12"/>
        <v>6.02812995720355</v>
      </c>
      <c r="V6">
        <f t="shared" si="13"/>
        <v>2.9482768612323631</v>
      </c>
      <c r="W6">
        <f t="shared" si="14"/>
        <v>223.64443037412954</v>
      </c>
      <c r="X6">
        <f t="shared" si="15"/>
        <v>53.496996762643313</v>
      </c>
      <c r="Y6">
        <f t="shared" si="16"/>
        <v>248.18561708821454</v>
      </c>
      <c r="Z6">
        <f t="shared" si="17"/>
        <v>116.67113642791122</v>
      </c>
      <c r="AA6">
        <f t="shared" si="18"/>
        <v>47.351350294587903</v>
      </c>
      <c r="AB6">
        <f t="shared" si="19"/>
        <v>1.7277739311908789</v>
      </c>
      <c r="AC6">
        <f t="shared" si="20"/>
        <v>247.99702131624792</v>
      </c>
      <c r="AD6">
        <f t="shared" si="21"/>
        <v>126.75757136964856</v>
      </c>
      <c r="AE6">
        <f t="shared" si="22"/>
        <v>45.753558171364439</v>
      </c>
      <c r="AF6">
        <f t="shared" si="23"/>
        <v>0</v>
      </c>
      <c r="AG6">
        <f t="shared" si="24"/>
        <v>28.268233745433243</v>
      </c>
      <c r="AH6">
        <f t="shared" si="25"/>
        <v>7.0130451653006742E-2</v>
      </c>
      <c r="AI6">
        <f t="shared" si="86"/>
        <v>0.10698085302734531</v>
      </c>
      <c r="AJ6">
        <f t="shared" si="87"/>
        <v>0.11653524308761545</v>
      </c>
      <c r="AK6">
        <f t="shared" si="26"/>
        <v>0.70170397181963085</v>
      </c>
      <c r="AL6">
        <f t="shared" si="27"/>
        <v>0.6050203279751647</v>
      </c>
      <c r="AM6">
        <f t="shared" si="28"/>
        <v>6.1499766350006562</v>
      </c>
      <c r="AN6">
        <f t="shared" si="29"/>
        <v>-3.2774284615577631E-3</v>
      </c>
      <c r="AO6">
        <f t="shared" si="30"/>
        <v>6.3518222633403525</v>
      </c>
      <c r="AP6">
        <f t="shared" si="31"/>
        <v>2.7744456167775136</v>
      </c>
      <c r="AQ6">
        <f t="shared" si="32"/>
        <v>6.0296079639972158</v>
      </c>
      <c r="AR6">
        <f t="shared" si="33"/>
        <v>2.9489997343723666</v>
      </c>
      <c r="AS6">
        <f t="shared" si="34"/>
        <v>223.58960956497711</v>
      </c>
      <c r="AT6">
        <f t="shared" si="35"/>
        <v>53.483883318928925</v>
      </c>
      <c r="AU6">
        <f t="shared" si="36"/>
        <v>248.12478062416301</v>
      </c>
      <c r="AV6">
        <f t="shared" si="37"/>
        <v>135.01287396896518</v>
      </c>
      <c r="AW6">
        <f t="shared" si="38"/>
        <v>47.339743301588946</v>
      </c>
      <c r="AX6">
        <f t="shared" si="39"/>
        <v>1.6049903455533541</v>
      </c>
      <c r="AY6">
        <f t="shared" si="40"/>
        <v>247.35006700696221</v>
      </c>
      <c r="AZ6">
        <f t="shared" si="41"/>
        <v>126.40993108065818</v>
      </c>
      <c r="BA6">
        <f t="shared" si="42"/>
        <v>45.715465699198354</v>
      </c>
      <c r="BB6">
        <f t="shared" si="43"/>
        <v>0</v>
      </c>
      <c r="BC6">
        <f t="shared" si="44"/>
        <v>27.600092039399847</v>
      </c>
      <c r="BD6">
        <f t="shared" si="45"/>
        <v>7.1828166267343632E-2</v>
      </c>
      <c r="BE6">
        <f t="shared" si="88"/>
        <v>0.10961720471808288</v>
      </c>
      <c r="BF6">
        <f t="shared" si="89"/>
        <v>0.11931242226691857</v>
      </c>
      <c r="BG6">
        <f t="shared" si="46"/>
        <v>0.70164943731777363</v>
      </c>
      <c r="BH6">
        <f t="shared" si="47"/>
        <v>0.60497330746006905</v>
      </c>
      <c r="BI6">
        <f t="shared" si="48"/>
        <v>6.1514107356883576</v>
      </c>
      <c r="BJ6">
        <f t="shared" si="49"/>
        <v>-3.3556642556548111E-3</v>
      </c>
      <c r="BK6">
        <f t="shared" si="50"/>
        <v>6.3513286171919363</v>
      </c>
      <c r="BL6">
        <f t="shared" si="51"/>
        <v>2.7742299944984365</v>
      </c>
      <c r="BM6">
        <f t="shared" si="52"/>
        <v>6.0291393594575293</v>
      </c>
      <c r="BN6">
        <f t="shared" si="53"/>
        <v>2.9487705462275793</v>
      </c>
      <c r="BO6">
        <f t="shared" si="54"/>
        <v>223.60698768477531</v>
      </c>
      <c r="BP6">
        <f t="shared" si="55"/>
        <v>53.488040262238563</v>
      </c>
      <c r="BQ6">
        <f t="shared" si="56"/>
        <v>248.1440656981473</v>
      </c>
      <c r="BR6">
        <f t="shared" si="57"/>
        <v>128.89944616698421</v>
      </c>
      <c r="BS6">
        <f t="shared" si="58"/>
        <v>41.219501255552558</v>
      </c>
      <c r="BT6">
        <f t="shared" si="59"/>
        <v>1.6438802097880987</v>
      </c>
      <c r="BU6">
        <f t="shared" si="60"/>
        <v>247.55504209427312</v>
      </c>
      <c r="BV6">
        <f t="shared" si="61"/>
        <v>126.5200618980661</v>
      </c>
      <c r="BW6">
        <f t="shared" si="62"/>
        <v>45.727560368388716</v>
      </c>
      <c r="BX6">
        <f t="shared" si="63"/>
        <v>0</v>
      </c>
      <c r="BY6">
        <f t="shared" si="64"/>
        <v>26.263808627333063</v>
      </c>
      <c r="BZ6">
        <f t="shared" si="65"/>
        <v>7.5482730937082201E-2</v>
      </c>
      <c r="CA6">
        <f t="shared" si="90"/>
        <v>0.11530006345218234</v>
      </c>
      <c r="CB6">
        <f t="shared" si="91"/>
        <v>0.12529609935621988</v>
      </c>
      <c r="CC6">
        <f t="shared" si="66"/>
        <v>0.70153196673344875</v>
      </c>
      <c r="CD6">
        <f t="shared" si="67"/>
        <v>0.60487202245341387</v>
      </c>
      <c r="CE6">
        <f t="shared" si="68"/>
        <v>6.1545013895200187</v>
      </c>
      <c r="CF6">
        <f t="shared" si="69"/>
        <v>-3.5242508272832485E-3</v>
      </c>
      <c r="CG6">
        <f t="shared" si="70"/>
        <v>6.3502652738124379</v>
      </c>
      <c r="CH6">
        <f t="shared" si="71"/>
        <v>2.7737655311907328</v>
      </c>
      <c r="CI6">
        <f t="shared" si="72"/>
        <v>6.02812995720355</v>
      </c>
      <c r="CJ6">
        <f t="shared" si="73"/>
        <v>2.9482768612323631</v>
      </c>
      <c r="CK6">
        <f t="shared" si="74"/>
        <v>223.64443037412954</v>
      </c>
      <c r="CL6">
        <f t="shared" si="75"/>
        <v>53.496996762643313</v>
      </c>
      <c r="CM6">
        <f t="shared" si="76"/>
        <v>235.93572331024035</v>
      </c>
      <c r="CN6">
        <f t="shared" si="77"/>
        <v>122.79608331689833</v>
      </c>
      <c r="CO6">
        <f t="shared" si="78"/>
        <v>47.351350294587903</v>
      </c>
      <c r="CP6">
        <f t="shared" si="79"/>
        <v>1.7277739311908789</v>
      </c>
      <c r="CQ6">
        <f t="shared" si="80"/>
        <v>247.99702131624792</v>
      </c>
      <c r="CR6">
        <f t="shared" si="81"/>
        <v>126.75757136964856</v>
      </c>
      <c r="CS6">
        <f t="shared" si="82"/>
        <v>45.753558171364439</v>
      </c>
      <c r="CT6">
        <f t="shared" si="83"/>
        <v>0</v>
      </c>
      <c r="CV6" t="s">
        <v>70</v>
      </c>
      <c r="CW6">
        <v>45.192081540647706</v>
      </c>
      <c r="CZ6" t="s">
        <v>70</v>
      </c>
      <c r="DA6">
        <f>gC44_0</f>
        <v>45.192081540647706</v>
      </c>
    </row>
    <row r="7" spans="1:105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0.19907985057124322</v>
      </c>
      <c r="F7">
        <f>Align!G7</f>
        <v>0.40614708298662372</v>
      </c>
      <c r="G7">
        <f t="shared" si="0"/>
        <v>6.4366973655154416</v>
      </c>
      <c r="H7">
        <f t="shared" si="1"/>
        <v>2.7835238115389078</v>
      </c>
      <c r="I7">
        <f t="shared" si="2"/>
        <v>6.098055611939265</v>
      </c>
      <c r="J7">
        <f t="shared" si="3"/>
        <v>2.9890649246395857</v>
      </c>
      <c r="K7">
        <f t="shared" si="4"/>
        <v>26.855609167098514</v>
      </c>
      <c r="L7">
        <f t="shared" si="5"/>
        <v>7.3819364426436718E-2</v>
      </c>
      <c r="M7">
        <f t="shared" si="84"/>
        <v>6.4266045875315481E-2</v>
      </c>
      <c r="N7">
        <f t="shared" si="85"/>
        <v>0.18956214523153536</v>
      </c>
      <c r="O7">
        <f t="shared" si="6"/>
        <v>0.70027278149104633</v>
      </c>
      <c r="P7">
        <f t="shared" si="7"/>
        <v>0.60378633290492201</v>
      </c>
      <c r="Q7">
        <f t="shared" si="8"/>
        <v>6.1877610026920769</v>
      </c>
      <c r="R7">
        <f t="shared" si="9"/>
        <v>-5.3366883766475803E-3</v>
      </c>
      <c r="S7">
        <f t="shared" si="10"/>
        <v>6.4026192723943023</v>
      </c>
      <c r="T7">
        <f t="shared" si="11"/>
        <v>2.7687868776319746</v>
      </c>
      <c r="U7">
        <f t="shared" si="12"/>
        <v>6.0657704049144794</v>
      </c>
      <c r="V7">
        <f t="shared" si="13"/>
        <v>2.9732397852765446</v>
      </c>
      <c r="W7">
        <f t="shared" si="14"/>
        <v>227.66982134026034</v>
      </c>
      <c r="X7">
        <f t="shared" si="15"/>
        <v>54.700765257605347</v>
      </c>
      <c r="Y7">
        <f t="shared" si="16"/>
        <v>253.65818824612981</v>
      </c>
      <c r="Z7">
        <f t="shared" si="17"/>
        <v>119.80264902456643</v>
      </c>
      <c r="AA7">
        <f t="shared" si="18"/>
        <v>47.436494431379579</v>
      </c>
      <c r="AB7">
        <f t="shared" si="19"/>
        <v>2.6376374578333022</v>
      </c>
      <c r="AC7">
        <f t="shared" si="20"/>
        <v>252.77352615447768</v>
      </c>
      <c r="AD7">
        <f t="shared" si="21"/>
        <v>129.32774926492283</v>
      </c>
      <c r="AE7">
        <f t="shared" si="22"/>
        <v>46.027436846121525</v>
      </c>
      <c r="AF7">
        <f t="shared" si="23"/>
        <v>0</v>
      </c>
      <c r="AG7">
        <f t="shared" si="24"/>
        <v>28.727391267414848</v>
      </c>
      <c r="AH7">
        <f t="shared" si="25"/>
        <v>6.900953802403513E-2</v>
      </c>
      <c r="AI7">
        <f t="shared" si="86"/>
        <v>5.9891838342280998E-2</v>
      </c>
      <c r="AJ7">
        <f t="shared" si="87"/>
        <v>0.17642708142989644</v>
      </c>
      <c r="AK7">
        <f t="shared" si="26"/>
        <v>0.70052977334936095</v>
      </c>
      <c r="AL7">
        <f t="shared" si="27"/>
        <v>0.60400791537366771</v>
      </c>
      <c r="AM7">
        <f t="shared" si="28"/>
        <v>6.1809534937527415</v>
      </c>
      <c r="AN7">
        <f t="shared" si="29"/>
        <v>-4.9659872347492806E-3</v>
      </c>
      <c r="AO7">
        <f t="shared" si="30"/>
        <v>6.4049689582144342</v>
      </c>
      <c r="AP7">
        <f t="shared" si="31"/>
        <v>2.7698029897867906</v>
      </c>
      <c r="AQ7">
        <f t="shared" si="32"/>
        <v>6.067996471169903</v>
      </c>
      <c r="AR7">
        <f t="shared" si="33"/>
        <v>2.9743309292390534</v>
      </c>
      <c r="AS7">
        <f t="shared" si="34"/>
        <v>227.58629985024768</v>
      </c>
      <c r="AT7">
        <f t="shared" si="35"/>
        <v>54.68069808580254</v>
      </c>
      <c r="AU7">
        <f t="shared" si="36"/>
        <v>253.56513283056569</v>
      </c>
      <c r="AV7">
        <f t="shared" si="37"/>
        <v>136.9421307565253</v>
      </c>
      <c r="AW7">
        <f t="shared" si="38"/>
        <v>47.419092183367255</v>
      </c>
      <c r="AX7">
        <f t="shared" si="39"/>
        <v>2.4503573593155688</v>
      </c>
      <c r="AY7">
        <f t="shared" si="40"/>
        <v>251.79287354388083</v>
      </c>
      <c r="AZ7">
        <f t="shared" si="41"/>
        <v>128.79956597051122</v>
      </c>
      <c r="BA7">
        <f t="shared" si="42"/>
        <v>45.972263128174319</v>
      </c>
      <c r="BB7">
        <f t="shared" si="43"/>
        <v>0</v>
      </c>
      <c r="BC7">
        <f t="shared" si="44"/>
        <v>28.103463900642737</v>
      </c>
      <c r="BD7">
        <f t="shared" si="45"/>
        <v>7.054162458438655E-2</v>
      </c>
      <c r="BE7">
        <f t="shared" si="88"/>
        <v>6.1282083736729651E-2</v>
      </c>
      <c r="BF7">
        <f t="shared" si="89"/>
        <v>0.18059450600364824</v>
      </c>
      <c r="BG7">
        <f t="shared" si="46"/>
        <v>0.70044821588527983</v>
      </c>
      <c r="BH7">
        <f t="shared" si="47"/>
        <v>0.60393759523063184</v>
      </c>
      <c r="BI7">
        <f t="shared" si="48"/>
        <v>6.1831128036596406</v>
      </c>
      <c r="BJ7">
        <f t="shared" si="49"/>
        <v>-5.083586629164194E-3</v>
      </c>
      <c r="BK7">
        <f t="shared" si="50"/>
        <v>6.4042232753817787</v>
      </c>
      <c r="BL7">
        <f t="shared" si="51"/>
        <v>2.7694805222537244</v>
      </c>
      <c r="BM7">
        <f t="shared" si="52"/>
        <v>6.067290019534199</v>
      </c>
      <c r="BN7">
        <f t="shared" si="53"/>
        <v>2.9739846500412868</v>
      </c>
      <c r="BO7">
        <f t="shared" si="54"/>
        <v>227.61279911322583</v>
      </c>
      <c r="BP7">
        <f t="shared" si="55"/>
        <v>54.687064893467834</v>
      </c>
      <c r="BQ7">
        <f t="shared" si="56"/>
        <v>253.59465696774524</v>
      </c>
      <c r="BR7">
        <f t="shared" si="57"/>
        <v>131.22959825354985</v>
      </c>
      <c r="BS7">
        <f t="shared" si="58"/>
        <v>41.696135966208132</v>
      </c>
      <c r="BT7">
        <f t="shared" si="59"/>
        <v>2.5097031141498478</v>
      </c>
      <c r="BU7">
        <f t="shared" si="60"/>
        <v>252.10376447614956</v>
      </c>
      <c r="BV7">
        <f t="shared" si="61"/>
        <v>128.96698473819663</v>
      </c>
      <c r="BW7">
        <f t="shared" si="62"/>
        <v>45.989813497829857</v>
      </c>
      <c r="BX7">
        <f t="shared" si="63"/>
        <v>0</v>
      </c>
      <c r="BY7">
        <f t="shared" si="64"/>
        <v>26.855609167098514</v>
      </c>
      <c r="BZ7">
        <f t="shared" si="65"/>
        <v>7.3819364426436718E-2</v>
      </c>
      <c r="CA7">
        <f t="shared" si="90"/>
        <v>6.4266045875315481E-2</v>
      </c>
      <c r="CB7">
        <f t="shared" si="91"/>
        <v>0.18956214523153536</v>
      </c>
      <c r="CC7">
        <f t="shared" si="66"/>
        <v>0.70027278149104633</v>
      </c>
      <c r="CD7">
        <f t="shared" si="67"/>
        <v>0.60378633290492201</v>
      </c>
      <c r="CE7">
        <f t="shared" si="68"/>
        <v>6.1877610026920769</v>
      </c>
      <c r="CF7">
        <f t="shared" si="69"/>
        <v>-5.3366883766475803E-3</v>
      </c>
      <c r="CG7">
        <f t="shared" si="70"/>
        <v>6.4026192723943023</v>
      </c>
      <c r="CH7">
        <f t="shared" si="71"/>
        <v>2.7687868776319746</v>
      </c>
      <c r="CI7">
        <f t="shared" si="72"/>
        <v>6.0657704049144794</v>
      </c>
      <c r="CJ7">
        <f t="shared" si="73"/>
        <v>2.9732397852765446</v>
      </c>
      <c r="CK7">
        <f t="shared" si="74"/>
        <v>227.66982134026034</v>
      </c>
      <c r="CL7">
        <f t="shared" si="75"/>
        <v>54.700765257605347</v>
      </c>
      <c r="CM7">
        <f t="shared" si="76"/>
        <v>242.19836299271191</v>
      </c>
      <c r="CN7">
        <f t="shared" si="77"/>
        <v>125.53256165127542</v>
      </c>
      <c r="CO7">
        <f t="shared" si="78"/>
        <v>47.436494431379579</v>
      </c>
      <c r="CP7">
        <f t="shared" si="79"/>
        <v>2.6376374578333022</v>
      </c>
      <c r="CQ7">
        <f t="shared" si="80"/>
        <v>252.77352615447768</v>
      </c>
      <c r="CR7">
        <f t="shared" si="81"/>
        <v>129.32774926492283</v>
      </c>
      <c r="CS7">
        <f t="shared" si="82"/>
        <v>46.027436846121525</v>
      </c>
      <c r="CT7">
        <f t="shared" si="83"/>
        <v>0</v>
      </c>
      <c r="CV7" t="s">
        <v>71</v>
      </c>
      <c r="CW7">
        <v>5.3345224902881041</v>
      </c>
      <c r="CZ7" t="s">
        <v>71</v>
      </c>
      <c r="DA7">
        <f>gC11p</f>
        <v>5.3345224902881041</v>
      </c>
    </row>
    <row r="8" spans="1:105" x14ac:dyDescent="0.25">
      <c r="A8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0.19731088611066464</v>
      </c>
      <c r="F8">
        <f>Align!G8</f>
        <v>0.40204930534036237</v>
      </c>
      <c r="G8">
        <f t="shared" si="0"/>
        <v>6.5020911040778779</v>
      </c>
      <c r="H8">
        <f t="shared" si="1"/>
        <v>2.7868294391394235</v>
      </c>
      <c r="I8">
        <f t="shared" si="2"/>
        <v>6.1527269170496286</v>
      </c>
      <c r="J8">
        <f t="shared" si="3"/>
        <v>3.0195301518361424</v>
      </c>
      <c r="K8">
        <f t="shared" si="4"/>
        <v>27.500824085314825</v>
      </c>
      <c r="L8">
        <f t="shared" si="5"/>
        <v>7.2087439774527209E-2</v>
      </c>
      <c r="M8">
        <f t="shared" si="84"/>
        <v>6.9085023116494684E-2</v>
      </c>
      <c r="N8">
        <f t="shared" si="85"/>
        <v>0.25864716834803003</v>
      </c>
      <c r="O8">
        <f t="shared" si="6"/>
        <v>0.69892420814921685</v>
      </c>
      <c r="P8">
        <f t="shared" si="7"/>
        <v>0.60262357151502077</v>
      </c>
      <c r="Q8">
        <f t="shared" si="8"/>
        <v>6.2236479877855526</v>
      </c>
      <c r="R8">
        <f t="shared" si="9"/>
        <v>-7.2886626808205124E-3</v>
      </c>
      <c r="S8">
        <f t="shared" si="10"/>
        <v>6.455211471920026</v>
      </c>
      <c r="T8">
        <f t="shared" si="11"/>
        <v>2.7667365894850109</v>
      </c>
      <c r="U8">
        <f t="shared" si="12"/>
        <v>6.108366176785915</v>
      </c>
      <c r="V8">
        <f t="shared" si="13"/>
        <v>2.9977595459584663</v>
      </c>
      <c r="W8">
        <f t="shared" si="14"/>
        <v>232.2176085364521</v>
      </c>
      <c r="X8">
        <f t="shared" si="15"/>
        <v>55.929200346783055</v>
      </c>
      <c r="Y8">
        <f t="shared" si="16"/>
        <v>259.33788777343716</v>
      </c>
      <c r="Z8">
        <f t="shared" si="17"/>
        <v>123.37551739178458</v>
      </c>
      <c r="AA8">
        <f t="shared" si="18"/>
        <v>47.640975763087503</v>
      </c>
      <c r="AB8">
        <f t="shared" si="19"/>
        <v>3.6338710838791672</v>
      </c>
      <c r="AC8">
        <f t="shared" si="20"/>
        <v>257.96874207050752</v>
      </c>
      <c r="AD8">
        <f t="shared" si="21"/>
        <v>132.13026596717714</v>
      </c>
      <c r="AE8">
        <f t="shared" si="22"/>
        <v>46.310670280123077</v>
      </c>
      <c r="AF8">
        <f t="shared" si="23"/>
        <v>80.32611956863478</v>
      </c>
      <c r="AG8">
        <f t="shared" si="24"/>
        <v>29.219676265269587</v>
      </c>
      <c r="AH8">
        <f t="shared" si="25"/>
        <v>6.7846884476141511E-2</v>
      </c>
      <c r="AI8">
        <f t="shared" si="86"/>
        <v>6.4799782051583071E-2</v>
      </c>
      <c r="AJ8">
        <f t="shared" si="87"/>
        <v>0.24122686348147951</v>
      </c>
      <c r="AK8">
        <f t="shared" si="26"/>
        <v>0.69926377101950965</v>
      </c>
      <c r="AL8">
        <f t="shared" si="27"/>
        <v>0.6029163480239238</v>
      </c>
      <c r="AM8">
        <f t="shared" si="28"/>
        <v>6.2145857692115074</v>
      </c>
      <c r="AN8">
        <f t="shared" si="29"/>
        <v>-6.7961029984675569E-3</v>
      </c>
      <c r="AO8">
        <f t="shared" si="30"/>
        <v>6.4583476490765683</v>
      </c>
      <c r="AP8">
        <f t="shared" si="31"/>
        <v>2.7680807710238895</v>
      </c>
      <c r="AQ8">
        <f t="shared" si="32"/>
        <v>6.1113338438485298</v>
      </c>
      <c r="AR8">
        <f t="shared" si="33"/>
        <v>2.999215966875076</v>
      </c>
      <c r="AS8">
        <f t="shared" si="34"/>
        <v>232.10484353852834</v>
      </c>
      <c r="AT8">
        <f t="shared" si="35"/>
        <v>55.902041096454326</v>
      </c>
      <c r="AU8">
        <f t="shared" si="36"/>
        <v>259.21195315305835</v>
      </c>
      <c r="AV8">
        <f t="shared" si="37"/>
        <v>139.1236711428526</v>
      </c>
      <c r="AW8">
        <f t="shared" si="38"/>
        <v>47.617841279157247</v>
      </c>
      <c r="AX8">
        <f t="shared" si="39"/>
        <v>3.3808798254661268</v>
      </c>
      <c r="AY8">
        <f t="shared" si="40"/>
        <v>256.65279424568052</v>
      </c>
      <c r="AZ8">
        <f t="shared" si="41"/>
        <v>131.41969687392947</v>
      </c>
      <c r="BA8">
        <f t="shared" si="42"/>
        <v>46.240366051425539</v>
      </c>
      <c r="BB8">
        <f t="shared" si="43"/>
        <v>67.801878678360936</v>
      </c>
      <c r="BC8">
        <f t="shared" si="44"/>
        <v>28.646725538618</v>
      </c>
      <c r="BD8">
        <f t="shared" si="45"/>
        <v>6.9203860571341216E-2</v>
      </c>
      <c r="BE8">
        <f t="shared" si="88"/>
        <v>6.6167716613900293E-2</v>
      </c>
      <c r="BF8">
        <f t="shared" si="89"/>
        <v>0.24676222261754854</v>
      </c>
      <c r="BG8">
        <f t="shared" si="46"/>
        <v>0.69915583804312165</v>
      </c>
      <c r="BH8">
        <f t="shared" si="47"/>
        <v>0.60282328649456651</v>
      </c>
      <c r="BI8">
        <f t="shared" si="48"/>
        <v>6.2174643647565482</v>
      </c>
      <c r="BJ8">
        <f t="shared" si="49"/>
        <v>-6.9525895241605573E-3</v>
      </c>
      <c r="BK8">
        <f t="shared" si="50"/>
        <v>6.4573507882163286</v>
      </c>
      <c r="BL8">
        <f t="shared" si="51"/>
        <v>2.7676535113704066</v>
      </c>
      <c r="BM8">
        <f t="shared" si="52"/>
        <v>6.1103905453697518</v>
      </c>
      <c r="BN8">
        <f t="shared" si="53"/>
        <v>2.9987530309708417</v>
      </c>
      <c r="BO8">
        <f t="shared" si="54"/>
        <v>232.14067498730418</v>
      </c>
      <c r="BP8">
        <f t="shared" si="55"/>
        <v>55.910671037525262</v>
      </c>
      <c r="BQ8">
        <f t="shared" si="56"/>
        <v>259.25196929266104</v>
      </c>
      <c r="BR8">
        <f t="shared" si="57"/>
        <v>133.87498006493212</v>
      </c>
      <c r="BS8">
        <f t="shared" si="58"/>
        <v>42.355023884846815</v>
      </c>
      <c r="BT8">
        <f t="shared" si="59"/>
        <v>3.4611378675461189</v>
      </c>
      <c r="BU8">
        <f t="shared" si="60"/>
        <v>257.07050641470312</v>
      </c>
      <c r="BV8">
        <f t="shared" si="61"/>
        <v>131.64519708694652</v>
      </c>
      <c r="BW8">
        <f t="shared" si="62"/>
        <v>46.262787796279511</v>
      </c>
      <c r="BX8">
        <f t="shared" si="63"/>
        <v>25.001640740875168</v>
      </c>
      <c r="BY8">
        <f t="shared" si="64"/>
        <v>27.500824085314825</v>
      </c>
      <c r="BZ8">
        <f t="shared" si="65"/>
        <v>7.2087439774527209E-2</v>
      </c>
      <c r="CA8">
        <f t="shared" si="90"/>
        <v>6.9085023116494684E-2</v>
      </c>
      <c r="CB8">
        <f t="shared" si="91"/>
        <v>0.25864716834803003</v>
      </c>
      <c r="CC8">
        <f t="shared" si="66"/>
        <v>0.69892420814921685</v>
      </c>
      <c r="CD8">
        <f t="shared" si="67"/>
        <v>0.60262357151502077</v>
      </c>
      <c r="CE8">
        <f t="shared" si="68"/>
        <v>6.2236479877855526</v>
      </c>
      <c r="CF8">
        <f t="shared" si="69"/>
        <v>-7.2886626808205124E-3</v>
      </c>
      <c r="CG8">
        <f t="shared" si="70"/>
        <v>6.455211471920026</v>
      </c>
      <c r="CH8">
        <f t="shared" si="71"/>
        <v>2.7667365894850109</v>
      </c>
      <c r="CI8">
        <f t="shared" si="72"/>
        <v>6.108366176785915</v>
      </c>
      <c r="CJ8">
        <f t="shared" si="73"/>
        <v>2.9977595459584663</v>
      </c>
      <c r="CK8">
        <f t="shared" si="74"/>
        <v>232.2176085364521</v>
      </c>
      <c r="CL8">
        <f t="shared" si="75"/>
        <v>55.929200346783055</v>
      </c>
      <c r="CM8">
        <f t="shared" si="76"/>
        <v>248.79405770384318</v>
      </c>
      <c r="CN8">
        <f t="shared" si="77"/>
        <v>128.64743242658153</v>
      </c>
      <c r="CO8">
        <f t="shared" si="78"/>
        <v>47.640975763087503</v>
      </c>
      <c r="CP8">
        <f t="shared" si="79"/>
        <v>3.6338710838791672</v>
      </c>
      <c r="CQ8">
        <f t="shared" si="80"/>
        <v>257.96874207050752</v>
      </c>
      <c r="CR8">
        <f t="shared" si="81"/>
        <v>132.13026596717714</v>
      </c>
      <c r="CS8">
        <f t="shared" si="82"/>
        <v>46.310670280123077</v>
      </c>
      <c r="CT8">
        <f t="shared" si="83"/>
        <v>98.11089969385884</v>
      </c>
      <c r="CV8" t="s">
        <v>72</v>
      </c>
      <c r="CW8">
        <v>2.853604674918337</v>
      </c>
      <c r="CZ8" t="s">
        <v>72</v>
      </c>
      <c r="DA8">
        <f>gC12p</f>
        <v>2.853604674918337</v>
      </c>
    </row>
    <row r="9" spans="1:105" x14ac:dyDescent="0.25">
      <c r="A9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0.19557221353453599</v>
      </c>
      <c r="F9">
        <f>Align!G9</f>
        <v>0.3982834977610536</v>
      </c>
      <c r="G9">
        <f t="shared" si="0"/>
        <v>6.5565916733293026</v>
      </c>
      <c r="H9">
        <f t="shared" si="1"/>
        <v>2.7868294391394235</v>
      </c>
      <c r="I9">
        <f t="shared" si="2"/>
        <v>6.2074257792537608</v>
      </c>
      <c r="J9">
        <f t="shared" si="3"/>
        <v>3.0480800907506538</v>
      </c>
      <c r="K9">
        <f t="shared" si="4"/>
        <v>28.176910374471952</v>
      </c>
      <c r="L9">
        <f t="shared" si="5"/>
        <v>7.0357749435725772E-2</v>
      </c>
      <c r="M9">
        <f t="shared" si="84"/>
        <v>7.0511719199572054E-2</v>
      </c>
      <c r="N9">
        <f t="shared" si="85"/>
        <v>0.32915888754760209</v>
      </c>
      <c r="O9">
        <f t="shared" si="6"/>
        <v>0.69755313062154523</v>
      </c>
      <c r="P9">
        <f t="shared" si="7"/>
        <v>0.60144140665806523</v>
      </c>
      <c r="Q9">
        <f t="shared" si="8"/>
        <v>6.2604188950165884</v>
      </c>
      <c r="R9">
        <f t="shared" si="9"/>
        <v>-9.2848278685596641E-3</v>
      </c>
      <c r="S9">
        <f t="shared" si="10"/>
        <v>6.4965497840028563</v>
      </c>
      <c r="T9">
        <f t="shared" si="11"/>
        <v>2.7613090905965767</v>
      </c>
      <c r="U9">
        <f t="shared" si="12"/>
        <v>6.1505813713342974</v>
      </c>
      <c r="V9">
        <f t="shared" si="13"/>
        <v>3.0201673433072753</v>
      </c>
      <c r="W9">
        <f t="shared" si="14"/>
        <v>236.82946319820132</v>
      </c>
      <c r="X9">
        <f t="shared" si="15"/>
        <v>57.103852406209747</v>
      </c>
      <c r="Y9">
        <f t="shared" si="16"/>
        <v>264.22197547195213</v>
      </c>
      <c r="Z9">
        <f t="shared" si="17"/>
        <v>127.6639738259944</v>
      </c>
      <c r="AA9">
        <f t="shared" si="18"/>
        <v>47.734616617665758</v>
      </c>
      <c r="AB9">
        <f t="shared" si="19"/>
        <v>4.6702749308988549</v>
      </c>
      <c r="AC9">
        <f t="shared" si="20"/>
        <v>263.33632668273646</v>
      </c>
      <c r="AD9">
        <f t="shared" si="21"/>
        <v>135.03343670445167</v>
      </c>
      <c r="AE9">
        <f t="shared" si="22"/>
        <v>46.587364565871368</v>
      </c>
      <c r="AF9">
        <f t="shared" si="23"/>
        <v>56.465576618744912</v>
      </c>
      <c r="AG9">
        <f t="shared" si="24"/>
        <v>29.584922106746216</v>
      </c>
      <c r="AH9">
        <f t="shared" si="25"/>
        <v>6.7009268871725064E-2</v>
      </c>
      <c r="AI9">
        <f t="shared" si="86"/>
        <v>6.6755074495101013E-2</v>
      </c>
      <c r="AJ9">
        <f t="shared" si="87"/>
        <v>0.30798193797658052</v>
      </c>
      <c r="AK9">
        <f t="shared" si="26"/>
        <v>0.69796434402815533</v>
      </c>
      <c r="AL9">
        <f t="shared" si="27"/>
        <v>0.60179596139927605</v>
      </c>
      <c r="AM9">
        <f t="shared" si="28"/>
        <v>6.2493602279813443</v>
      </c>
      <c r="AN9">
        <f t="shared" si="29"/>
        <v>-8.6849030777265135E-3</v>
      </c>
      <c r="AO9">
        <f t="shared" si="30"/>
        <v>6.5003795544541934</v>
      </c>
      <c r="AP9">
        <f t="shared" si="31"/>
        <v>2.7629369054080963</v>
      </c>
      <c r="AQ9">
        <f t="shared" si="32"/>
        <v>6.1542071905118076</v>
      </c>
      <c r="AR9">
        <f t="shared" si="33"/>
        <v>3.0219477572245177</v>
      </c>
      <c r="AS9">
        <f t="shared" si="34"/>
        <v>236.68993250271433</v>
      </c>
      <c r="AT9">
        <f t="shared" si="35"/>
        <v>57.070209040499982</v>
      </c>
      <c r="AU9">
        <f t="shared" si="36"/>
        <v>264.06630617513957</v>
      </c>
      <c r="AV9">
        <f t="shared" si="37"/>
        <v>140.56217229440148</v>
      </c>
      <c r="AW9">
        <f t="shared" si="38"/>
        <v>47.706493240761858</v>
      </c>
      <c r="AX9">
        <f t="shared" si="39"/>
        <v>4.3569163127494699</v>
      </c>
      <c r="AY9">
        <f t="shared" si="40"/>
        <v>261.71733578640698</v>
      </c>
      <c r="AZ9">
        <f t="shared" si="41"/>
        <v>134.15695212342951</v>
      </c>
      <c r="BA9">
        <f t="shared" si="42"/>
        <v>46.505606746419915</v>
      </c>
      <c r="BB9">
        <f t="shared" si="43"/>
        <v>47.992510440131255</v>
      </c>
      <c r="BC9">
        <f t="shared" si="44"/>
        <v>29.115584862654792</v>
      </c>
      <c r="BD9">
        <f t="shared" si="45"/>
        <v>6.8089444514055228E-2</v>
      </c>
      <c r="BE9">
        <f t="shared" si="88"/>
        <v>6.7961487712116034E-2</v>
      </c>
      <c r="BF9">
        <f t="shared" si="89"/>
        <v>0.31472371032966456</v>
      </c>
      <c r="BG9">
        <f t="shared" si="46"/>
        <v>0.69783337988858418</v>
      </c>
      <c r="BH9">
        <f t="shared" si="47"/>
        <v>0.60168304203461731</v>
      </c>
      <c r="BI9">
        <f t="shared" si="48"/>
        <v>6.2528793876435484</v>
      </c>
      <c r="BJ9">
        <f t="shared" si="49"/>
        <v>-8.8758533357308211E-3</v>
      </c>
      <c r="BK9">
        <f t="shared" si="50"/>
        <v>6.4991598408362714</v>
      </c>
      <c r="BL9">
        <f t="shared" si="51"/>
        <v>2.7624184754086238</v>
      </c>
      <c r="BM9">
        <f t="shared" si="52"/>
        <v>6.1530524317388924</v>
      </c>
      <c r="BN9">
        <f t="shared" si="53"/>
        <v>3.0213807271301576</v>
      </c>
      <c r="BO9">
        <f t="shared" si="54"/>
        <v>236.73435269562677</v>
      </c>
      <c r="BP9">
        <f t="shared" si="55"/>
        <v>57.08091954968102</v>
      </c>
      <c r="BQ9">
        <f t="shared" si="56"/>
        <v>264.11586416071992</v>
      </c>
      <c r="BR9">
        <f t="shared" si="57"/>
        <v>136.26326932881133</v>
      </c>
      <c r="BS9">
        <f t="shared" si="58"/>
        <v>43.390163817134436</v>
      </c>
      <c r="BT9">
        <f t="shared" si="59"/>
        <v>4.4564798270627861</v>
      </c>
      <c r="BU9">
        <f t="shared" si="60"/>
        <v>262.23210172002388</v>
      </c>
      <c r="BV9">
        <f t="shared" si="61"/>
        <v>134.43555793897175</v>
      </c>
      <c r="BW9">
        <f t="shared" si="62"/>
        <v>46.531760968004519</v>
      </c>
      <c r="BX9">
        <f t="shared" si="63"/>
        <v>16.759247688650802</v>
      </c>
      <c r="BY9">
        <f t="shared" si="64"/>
        <v>28.176910374471952</v>
      </c>
      <c r="BZ9">
        <f t="shared" si="65"/>
        <v>7.0357749435725772E-2</v>
      </c>
      <c r="CA9">
        <f t="shared" si="90"/>
        <v>7.0511719199572054E-2</v>
      </c>
      <c r="CB9">
        <f t="shared" si="91"/>
        <v>0.32915888754760209</v>
      </c>
      <c r="CC9">
        <f t="shared" si="66"/>
        <v>0.69755313062154523</v>
      </c>
      <c r="CD9">
        <f t="shared" si="67"/>
        <v>0.60144140665806523</v>
      </c>
      <c r="CE9">
        <f t="shared" si="68"/>
        <v>6.2604188950165884</v>
      </c>
      <c r="CF9">
        <f t="shared" si="69"/>
        <v>-9.2848278685596641E-3</v>
      </c>
      <c r="CG9">
        <f t="shared" si="70"/>
        <v>6.4965497840028563</v>
      </c>
      <c r="CH9">
        <f t="shared" si="71"/>
        <v>2.7613090905965767</v>
      </c>
      <c r="CI9">
        <f t="shared" si="72"/>
        <v>6.1505813713342974</v>
      </c>
      <c r="CJ9">
        <f t="shared" si="73"/>
        <v>3.0201673433072753</v>
      </c>
      <c r="CK9">
        <f t="shared" si="74"/>
        <v>236.82946319820132</v>
      </c>
      <c r="CL9">
        <f t="shared" si="75"/>
        <v>57.103852406209747</v>
      </c>
      <c r="CM9">
        <f t="shared" si="76"/>
        <v>255.56793477528933</v>
      </c>
      <c r="CN9">
        <f t="shared" si="77"/>
        <v>131.99099417432583</v>
      </c>
      <c r="CO9">
        <f t="shared" si="78"/>
        <v>47.734616617665758</v>
      </c>
      <c r="CP9">
        <f t="shared" si="79"/>
        <v>4.6702749308988549</v>
      </c>
      <c r="CQ9">
        <f t="shared" si="80"/>
        <v>263.33632668273646</v>
      </c>
      <c r="CR9">
        <f t="shared" si="81"/>
        <v>135.03343670445167</v>
      </c>
      <c r="CS9">
        <f t="shared" si="82"/>
        <v>46.587364565871368</v>
      </c>
      <c r="CT9">
        <f t="shared" si="83"/>
        <v>70.976589100754509</v>
      </c>
      <c r="CV9" t="s">
        <v>73</v>
      </c>
      <c r="CW9">
        <v>0.34109188366599785</v>
      </c>
      <c r="CZ9" t="s">
        <v>73</v>
      </c>
      <c r="DA9">
        <f>gC44p</f>
        <v>0.34109188366599785</v>
      </c>
    </row>
    <row r="10" spans="1:105" x14ac:dyDescent="0.25">
      <c r="A10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0.19444588691824252</v>
      </c>
      <c r="F10">
        <f>Align!G10</f>
        <v>0.39595434052709966</v>
      </c>
      <c r="G10">
        <f t="shared" si="0"/>
        <v>6.5996168080274185</v>
      </c>
      <c r="H10">
        <f t="shared" si="1"/>
        <v>2.7868294391394235</v>
      </c>
      <c r="I10">
        <f t="shared" si="2"/>
        <v>6.2433822552926674</v>
      </c>
      <c r="J10">
        <f t="shared" si="3"/>
        <v>3.0660100818288973</v>
      </c>
      <c r="K10">
        <f t="shared" si="4"/>
        <v>28.624597555231148</v>
      </c>
      <c r="L10">
        <f t="shared" si="5"/>
        <v>6.9257357982931866E-2</v>
      </c>
      <c r="M10">
        <f t="shared" si="84"/>
        <v>4.8077079568953227E-2</v>
      </c>
      <c r="N10">
        <f t="shared" si="85"/>
        <v>0.37723596711655533</v>
      </c>
      <c r="O10">
        <f t="shared" si="6"/>
        <v>0.69662136754572157</v>
      </c>
      <c r="P10">
        <f t="shared" si="7"/>
        <v>0.60063802571058666</v>
      </c>
      <c r="Q10">
        <f t="shared" si="8"/>
        <v>6.2855733036762444</v>
      </c>
      <c r="R10">
        <f t="shared" si="9"/>
        <v>-1.0648122692732187E-2</v>
      </c>
      <c r="S10">
        <f t="shared" si="10"/>
        <v>6.5304461450082254</v>
      </c>
      <c r="T10">
        <f t="shared" si="11"/>
        <v>2.7576206463209965</v>
      </c>
      <c r="U10">
        <f t="shared" si="12"/>
        <v>6.1779452908986787</v>
      </c>
      <c r="V10">
        <f t="shared" si="13"/>
        <v>3.0338751933417849</v>
      </c>
      <c r="W10">
        <f t="shared" si="14"/>
        <v>239.90152667497165</v>
      </c>
      <c r="X10">
        <f t="shared" si="15"/>
        <v>57.854922674554587</v>
      </c>
      <c r="Y10">
        <f t="shared" si="16"/>
        <v>268.05912779546435</v>
      </c>
      <c r="Z10">
        <f t="shared" si="17"/>
        <v>130.2257983949147</v>
      </c>
      <c r="AA10">
        <f t="shared" si="18"/>
        <v>47.798463859905304</v>
      </c>
      <c r="AB10">
        <f t="shared" si="19"/>
        <v>5.3883909492656255</v>
      </c>
      <c r="AC10">
        <f t="shared" si="20"/>
        <v>267.03401577965298</v>
      </c>
      <c r="AD10">
        <f t="shared" si="21"/>
        <v>137.03792960050356</v>
      </c>
      <c r="AE10">
        <f t="shared" si="22"/>
        <v>46.768608531654237</v>
      </c>
      <c r="AF10">
        <f t="shared" si="23"/>
        <v>48.587407487659789</v>
      </c>
      <c r="AG10">
        <f t="shared" si="24"/>
        <v>29.931718584281228</v>
      </c>
      <c r="AH10">
        <f t="shared" si="25"/>
        <v>6.6232882499473303E-2</v>
      </c>
      <c r="AI10">
        <f t="shared" si="86"/>
        <v>4.5882523975020455E-2</v>
      </c>
      <c r="AJ10">
        <f t="shared" si="87"/>
        <v>0.35386446195160098</v>
      </c>
      <c r="AK10">
        <f t="shared" si="26"/>
        <v>0.69707401043131823</v>
      </c>
      <c r="AL10">
        <f t="shared" si="27"/>
        <v>0.60102830160768494</v>
      </c>
      <c r="AM10">
        <f t="shared" si="28"/>
        <v>6.2733366992765269</v>
      </c>
      <c r="AN10">
        <f t="shared" si="29"/>
        <v>-9.9851624018810758E-3</v>
      </c>
      <c r="AO10">
        <f t="shared" si="30"/>
        <v>6.5346894256841024</v>
      </c>
      <c r="AP10">
        <f t="shared" si="31"/>
        <v>2.7594124623991183</v>
      </c>
      <c r="AQ10">
        <f t="shared" si="32"/>
        <v>6.1819595274894725</v>
      </c>
      <c r="AR10">
        <f t="shared" si="33"/>
        <v>3.0358465110274491</v>
      </c>
      <c r="AS10">
        <f t="shared" si="34"/>
        <v>239.7457473492928</v>
      </c>
      <c r="AT10">
        <f t="shared" si="35"/>
        <v>57.817354756724484</v>
      </c>
      <c r="AU10">
        <f t="shared" si="36"/>
        <v>267.88506441725741</v>
      </c>
      <c r="AV10">
        <f t="shared" si="37"/>
        <v>142.20042622006153</v>
      </c>
      <c r="AW10">
        <f t="shared" si="38"/>
        <v>47.76742607297755</v>
      </c>
      <c r="AX10">
        <f t="shared" si="39"/>
        <v>5.0381294802135939</v>
      </c>
      <c r="AY10">
        <f t="shared" si="40"/>
        <v>265.2326247526351</v>
      </c>
      <c r="AZ10">
        <f t="shared" si="41"/>
        <v>136.06094752651541</v>
      </c>
      <c r="BA10">
        <f t="shared" si="42"/>
        <v>46.681264537845792</v>
      </c>
      <c r="BB10">
        <f t="shared" si="43"/>
        <v>45.915461650717525</v>
      </c>
      <c r="BC10">
        <f t="shared" si="44"/>
        <v>29.496011574597865</v>
      </c>
      <c r="BD10">
        <f t="shared" si="45"/>
        <v>6.721125651128064E-2</v>
      </c>
      <c r="BE10">
        <f t="shared" si="88"/>
        <v>4.6591394650611712E-2</v>
      </c>
      <c r="BF10">
        <f t="shared" si="89"/>
        <v>0.3613151049802763</v>
      </c>
      <c r="BG10">
        <f t="shared" si="46"/>
        <v>0.69692964775629362</v>
      </c>
      <c r="BH10">
        <f t="shared" si="47"/>
        <v>0.60090382981259971</v>
      </c>
      <c r="BI10">
        <f t="shared" si="48"/>
        <v>6.2772359017742838</v>
      </c>
      <c r="BJ10">
        <f t="shared" si="49"/>
        <v>-1.0196461914407928E-2</v>
      </c>
      <c r="BK10">
        <f t="shared" si="50"/>
        <v>6.5333361041833298</v>
      </c>
      <c r="BL10">
        <f t="shared" si="51"/>
        <v>2.7588409934322553</v>
      </c>
      <c r="BM10">
        <f t="shared" si="52"/>
        <v>6.1806792556662113</v>
      </c>
      <c r="BN10">
        <f t="shared" si="53"/>
        <v>3.0352177931054807</v>
      </c>
      <c r="BO10">
        <f t="shared" si="54"/>
        <v>239.79540851311978</v>
      </c>
      <c r="BP10">
        <f t="shared" si="55"/>
        <v>57.829331098988568</v>
      </c>
      <c r="BQ10">
        <f t="shared" si="56"/>
        <v>267.94055438618466</v>
      </c>
      <c r="BR10">
        <f t="shared" si="57"/>
        <v>138.20931925167505</v>
      </c>
      <c r="BS10">
        <f t="shared" si="58"/>
        <v>43.756758162456123</v>
      </c>
      <c r="BT10">
        <f t="shared" si="59"/>
        <v>5.1495498384955534</v>
      </c>
      <c r="BU10">
        <f t="shared" si="60"/>
        <v>265.80610184116483</v>
      </c>
      <c r="BV10">
        <f t="shared" si="61"/>
        <v>136.37187733202856</v>
      </c>
      <c r="BW10">
        <f t="shared" si="62"/>
        <v>46.709266773588844</v>
      </c>
      <c r="BX10">
        <f t="shared" si="63"/>
        <v>16.65013165309789</v>
      </c>
      <c r="BY10">
        <f t="shared" si="64"/>
        <v>28.624597555231148</v>
      </c>
      <c r="BZ10">
        <f t="shared" si="65"/>
        <v>6.9257357982931866E-2</v>
      </c>
      <c r="CA10">
        <f t="shared" si="90"/>
        <v>4.8077079568953227E-2</v>
      </c>
      <c r="CB10">
        <f t="shared" si="91"/>
        <v>0.37723596711655533</v>
      </c>
      <c r="CC10">
        <f t="shared" si="66"/>
        <v>0.69662136754572157</v>
      </c>
      <c r="CD10">
        <f t="shared" si="67"/>
        <v>0.60063802571058666</v>
      </c>
      <c r="CE10">
        <f t="shared" si="68"/>
        <v>6.2855733036762444</v>
      </c>
      <c r="CF10">
        <f t="shared" si="69"/>
        <v>-1.0648122692732187E-2</v>
      </c>
      <c r="CG10">
        <f t="shared" si="70"/>
        <v>6.5304461450082254</v>
      </c>
      <c r="CH10">
        <f t="shared" si="71"/>
        <v>2.7576206463209965</v>
      </c>
      <c r="CI10">
        <f t="shared" si="72"/>
        <v>6.1779452908986787</v>
      </c>
      <c r="CJ10">
        <f t="shared" si="73"/>
        <v>3.0338751933417849</v>
      </c>
      <c r="CK10">
        <f t="shared" si="74"/>
        <v>239.90152667497165</v>
      </c>
      <c r="CL10">
        <f t="shared" si="75"/>
        <v>57.854922674554587</v>
      </c>
      <c r="CM10">
        <f t="shared" si="76"/>
        <v>260.01444430427017</v>
      </c>
      <c r="CN10">
        <f t="shared" si="77"/>
        <v>134.24814014051177</v>
      </c>
      <c r="CO10">
        <f t="shared" si="78"/>
        <v>47.798463859905304</v>
      </c>
      <c r="CP10">
        <f t="shared" si="79"/>
        <v>5.3883909492656255</v>
      </c>
      <c r="CQ10">
        <f t="shared" si="80"/>
        <v>267.03401577965298</v>
      </c>
      <c r="CR10">
        <f t="shared" si="81"/>
        <v>137.03792960050356</v>
      </c>
      <c r="CS10">
        <f t="shared" si="82"/>
        <v>46.768608531654237</v>
      </c>
      <c r="CT10">
        <f t="shared" si="83"/>
        <v>58.188730209630684</v>
      </c>
      <c r="CZ10" t="s">
        <v>74</v>
      </c>
      <c r="DA10">
        <f>gK0</f>
        <v>160.84473424925943</v>
      </c>
    </row>
    <row r="11" spans="1:105" x14ac:dyDescent="0.25">
      <c r="A11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0.19344570800055366</v>
      </c>
      <c r="F11">
        <f>Align!G11</f>
        <v>0.39397038293851272</v>
      </c>
      <c r="G11">
        <f t="shared" si="0"/>
        <v>6.6494850504177183</v>
      </c>
      <c r="H11">
        <f t="shared" si="1"/>
        <v>2.7923563004623602</v>
      </c>
      <c r="I11">
        <f t="shared" si="2"/>
        <v>6.2756626267279367</v>
      </c>
      <c r="J11">
        <f t="shared" si="3"/>
        <v>3.0814499073385169</v>
      </c>
      <c r="K11">
        <f t="shared" si="4"/>
        <v>28.987603126200668</v>
      </c>
      <c r="L11">
        <f t="shared" si="5"/>
        <v>6.8390062861324832E-2</v>
      </c>
      <c r="M11">
        <f t="shared" si="84"/>
        <v>4.4437029371847299E-2</v>
      </c>
      <c r="N11">
        <f t="shared" si="85"/>
        <v>0.42167299648840262</v>
      </c>
      <c r="O11">
        <f t="shared" si="6"/>
        <v>0.69576236178748108</v>
      </c>
      <c r="P11">
        <f t="shared" si="7"/>
        <v>0.59989737727983106</v>
      </c>
      <c r="Q11">
        <f t="shared" si="8"/>
        <v>6.3088830407410734</v>
      </c>
      <c r="R11">
        <f t="shared" si="9"/>
        <v>-1.1909819173919867E-2</v>
      </c>
      <c r="S11">
        <f t="shared" si="10"/>
        <v>6.5716781581664483</v>
      </c>
      <c r="T11">
        <f t="shared" si="11"/>
        <v>2.759682407048075</v>
      </c>
      <c r="U11">
        <f t="shared" si="12"/>
        <v>6.2022299019228084</v>
      </c>
      <c r="V11">
        <f t="shared" si="13"/>
        <v>3.0453932745165644</v>
      </c>
      <c r="W11">
        <f t="shared" si="14"/>
        <v>242.68794101802095</v>
      </c>
      <c r="X11">
        <f t="shared" si="15"/>
        <v>58.51123229022064</v>
      </c>
      <c r="Y11">
        <f t="shared" si="16"/>
        <v>272.46144050170562</v>
      </c>
      <c r="Z11">
        <f t="shared" si="17"/>
        <v>131.70621547212801</v>
      </c>
      <c r="AA11">
        <f t="shared" si="18"/>
        <v>48.047487902025289</v>
      </c>
      <c r="AB11">
        <f t="shared" si="19"/>
        <v>6.0604734499582449</v>
      </c>
      <c r="AC11">
        <f t="shared" si="20"/>
        <v>270.47920206880349</v>
      </c>
      <c r="AD11">
        <f t="shared" si="21"/>
        <v>138.90885134575106</v>
      </c>
      <c r="AE11">
        <f t="shared" si="22"/>
        <v>46.930631246306596</v>
      </c>
      <c r="AF11">
        <f t="shared" si="23"/>
        <v>57.140179352728389</v>
      </c>
      <c r="AG11">
        <f t="shared" si="24"/>
        <v>30.423153512010174</v>
      </c>
      <c r="AH11">
        <f t="shared" si="25"/>
        <v>6.5163001567782278E-2</v>
      </c>
      <c r="AI11">
        <f t="shared" si="86"/>
        <v>4.2418831561275148E-2</v>
      </c>
      <c r="AJ11">
        <f t="shared" si="87"/>
        <v>0.39628329351287611</v>
      </c>
      <c r="AK11">
        <f t="shared" si="26"/>
        <v>0.69625290684764063</v>
      </c>
      <c r="AL11">
        <f t="shared" si="27"/>
        <v>0.60032033303482657</v>
      </c>
      <c r="AM11">
        <f t="shared" si="28"/>
        <v>6.2955576608821175</v>
      </c>
      <c r="AN11">
        <f t="shared" si="29"/>
        <v>-1.1188741045317863E-2</v>
      </c>
      <c r="AO11">
        <f t="shared" si="30"/>
        <v>6.5763114991381633</v>
      </c>
      <c r="AP11">
        <f t="shared" si="31"/>
        <v>2.7616281124307416</v>
      </c>
      <c r="AQ11">
        <f t="shared" si="32"/>
        <v>6.2066027645659458</v>
      </c>
      <c r="AR11">
        <f t="shared" si="33"/>
        <v>3.0475404194457889</v>
      </c>
      <c r="AS11">
        <f t="shared" si="34"/>
        <v>242.5169552031598</v>
      </c>
      <c r="AT11">
        <f t="shared" si="35"/>
        <v>58.470008195237995</v>
      </c>
      <c r="AU11">
        <f t="shared" si="36"/>
        <v>272.2694777645915</v>
      </c>
      <c r="AV11">
        <f t="shared" si="37"/>
        <v>144.8730892181506</v>
      </c>
      <c r="AW11">
        <f t="shared" si="38"/>
        <v>48.013636039273088</v>
      </c>
      <c r="AX11">
        <f t="shared" si="39"/>
        <v>5.6754857584539353</v>
      </c>
      <c r="AY11">
        <f t="shared" si="40"/>
        <v>268.50751142380892</v>
      </c>
      <c r="AZ11">
        <f t="shared" si="41"/>
        <v>137.83772690864393</v>
      </c>
      <c r="BA11">
        <f t="shared" si="42"/>
        <v>46.838711652711389</v>
      </c>
      <c r="BB11">
        <f t="shared" si="43"/>
        <v>65.037708040544061</v>
      </c>
      <c r="BC11">
        <f t="shared" si="44"/>
        <v>29.944636716740334</v>
      </c>
      <c r="BD11">
        <f t="shared" si="45"/>
        <v>6.620430959817647E-2</v>
      </c>
      <c r="BE11">
        <f t="shared" si="88"/>
        <v>4.307085010023963E-2</v>
      </c>
      <c r="BF11">
        <f t="shared" si="89"/>
        <v>0.40438595508051595</v>
      </c>
      <c r="BG11">
        <f t="shared" si="46"/>
        <v>0.69609628318719585</v>
      </c>
      <c r="BH11">
        <f t="shared" si="47"/>
        <v>0.60018528962305095</v>
      </c>
      <c r="BI11">
        <f t="shared" si="48"/>
        <v>6.2998081727128801</v>
      </c>
      <c r="BJ11">
        <f t="shared" si="49"/>
        <v>-1.1418804791031856E-2</v>
      </c>
      <c r="BK11">
        <f t="shared" si="50"/>
        <v>6.5748321430463035</v>
      </c>
      <c r="BL11">
        <f t="shared" si="51"/>
        <v>2.7610068779633488</v>
      </c>
      <c r="BM11">
        <f t="shared" si="52"/>
        <v>6.2052065752870895</v>
      </c>
      <c r="BN11">
        <f t="shared" si="53"/>
        <v>3.0468548683606116</v>
      </c>
      <c r="BO11">
        <f t="shared" si="54"/>
        <v>242.57152221373178</v>
      </c>
      <c r="BP11">
        <f t="shared" si="55"/>
        <v>58.483164114801049</v>
      </c>
      <c r="BQ11">
        <f t="shared" si="56"/>
        <v>272.33073917808389</v>
      </c>
      <c r="BR11">
        <f t="shared" si="57"/>
        <v>140.48480246630572</v>
      </c>
      <c r="BS11">
        <f t="shared" si="58"/>
        <v>43.603555632624989</v>
      </c>
      <c r="BT11">
        <f t="shared" si="59"/>
        <v>5.7980621093999405</v>
      </c>
      <c r="BU11">
        <f t="shared" si="60"/>
        <v>269.13580247239781</v>
      </c>
      <c r="BV11">
        <f t="shared" si="61"/>
        <v>138.17893382455236</v>
      </c>
      <c r="BW11">
        <f t="shared" si="62"/>
        <v>46.868236503747376</v>
      </c>
      <c r="BX11">
        <f t="shared" si="63"/>
        <v>26.183699485200407</v>
      </c>
      <c r="BY11">
        <f t="shared" si="64"/>
        <v>28.987603126200668</v>
      </c>
      <c r="BZ11">
        <f t="shared" si="65"/>
        <v>6.8390062861324832E-2</v>
      </c>
      <c r="CA11">
        <f t="shared" si="90"/>
        <v>4.4437029371847299E-2</v>
      </c>
      <c r="CB11">
        <f t="shared" si="91"/>
        <v>0.42167299648840262</v>
      </c>
      <c r="CC11">
        <f t="shared" si="66"/>
        <v>0.69576236178748108</v>
      </c>
      <c r="CD11">
        <f t="shared" si="67"/>
        <v>0.59989737727983106</v>
      </c>
      <c r="CE11">
        <f t="shared" si="68"/>
        <v>6.3088830407410734</v>
      </c>
      <c r="CF11">
        <f t="shared" si="69"/>
        <v>-1.1909819173919867E-2</v>
      </c>
      <c r="CG11">
        <f t="shared" si="70"/>
        <v>6.5716781581664483</v>
      </c>
      <c r="CH11">
        <f t="shared" si="71"/>
        <v>2.759682407048075</v>
      </c>
      <c r="CI11">
        <f t="shared" si="72"/>
        <v>6.2022299019228084</v>
      </c>
      <c r="CJ11">
        <f t="shared" si="73"/>
        <v>3.0453932745165644</v>
      </c>
      <c r="CK11">
        <f t="shared" si="74"/>
        <v>242.68794101802095</v>
      </c>
      <c r="CL11">
        <f t="shared" si="75"/>
        <v>58.51123229022064</v>
      </c>
      <c r="CM11">
        <f t="shared" si="76"/>
        <v>263.61542979441163</v>
      </c>
      <c r="CN11">
        <f t="shared" si="77"/>
        <v>136.12922082577501</v>
      </c>
      <c r="CO11">
        <f t="shared" si="78"/>
        <v>48.047487902025289</v>
      </c>
      <c r="CP11">
        <f t="shared" si="79"/>
        <v>6.0604734499582449</v>
      </c>
      <c r="CQ11">
        <f t="shared" si="80"/>
        <v>270.47920206880349</v>
      </c>
      <c r="CR11">
        <f t="shared" si="81"/>
        <v>138.90885134575106</v>
      </c>
      <c r="CS11">
        <f t="shared" si="82"/>
        <v>46.930631246306596</v>
      </c>
      <c r="CT11">
        <f t="shared" si="83"/>
        <v>56.170662282145152</v>
      </c>
      <c r="CV11" t="s">
        <v>74</v>
      </c>
      <c r="CW11">
        <f>(gC11_0+2*gC12_0)/3</f>
        <v>160.84473424925943</v>
      </c>
      <c r="CZ11" t="s">
        <v>75</v>
      </c>
      <c r="DA11">
        <f>gK0p</f>
        <v>3.680577280041593</v>
      </c>
    </row>
    <row r="12" spans="1:105" x14ac:dyDescent="0.25">
      <c r="A1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0.19224001764408633</v>
      </c>
      <c r="F12">
        <f>Align!G12</f>
        <v>0.39170885995096172</v>
      </c>
      <c r="G12">
        <f t="shared" si="0"/>
        <v>6.6810372216725451</v>
      </c>
      <c r="H12">
        <f t="shared" si="1"/>
        <v>2.7923563004623602</v>
      </c>
      <c r="I12">
        <f t="shared" si="2"/>
        <v>6.3150223084540222</v>
      </c>
      <c r="J12">
        <f t="shared" si="3"/>
        <v>3.0992405945374362</v>
      </c>
      <c r="K12">
        <f t="shared" si="4"/>
        <v>29.483168477962849</v>
      </c>
      <c r="L12">
        <f t="shared" si="5"/>
        <v>6.724053425539353E-2</v>
      </c>
      <c r="M12">
        <f t="shared" si="84"/>
        <v>5.5462182546186463E-2</v>
      </c>
      <c r="N12">
        <f t="shared" si="85"/>
        <v>0.47713517903458907</v>
      </c>
      <c r="O12">
        <f t="shared" si="6"/>
        <v>0.69469319793427875</v>
      </c>
      <c r="P12">
        <f t="shared" si="7"/>
        <v>0.59897552719617497</v>
      </c>
      <c r="Q12">
        <f t="shared" si="8"/>
        <v>6.3380568526774663</v>
      </c>
      <c r="R12">
        <f t="shared" si="9"/>
        <v>-1.3486735855605669E-2</v>
      </c>
      <c r="S12">
        <f t="shared" si="10"/>
        <v>6.5927146492068882</v>
      </c>
      <c r="T12">
        <f t="shared" si="11"/>
        <v>2.7554416592899558</v>
      </c>
      <c r="U12">
        <f t="shared" si="12"/>
        <v>6.231538412622494</v>
      </c>
      <c r="V12">
        <f t="shared" si="13"/>
        <v>3.058268976970095</v>
      </c>
      <c r="W12">
        <f t="shared" si="14"/>
        <v>246.11987362908579</v>
      </c>
      <c r="X12">
        <f t="shared" si="15"/>
        <v>59.279903644396214</v>
      </c>
      <c r="Y12">
        <f t="shared" si="16"/>
        <v>275.47658333222324</v>
      </c>
      <c r="Z12">
        <f t="shared" si="17"/>
        <v>135.19864851457507</v>
      </c>
      <c r="AA12">
        <f t="shared" si="18"/>
        <v>48.121435131471003</v>
      </c>
      <c r="AB12">
        <f t="shared" si="19"/>
        <v>6.9106280581689807</v>
      </c>
      <c r="AC12">
        <f t="shared" si="20"/>
        <v>274.81632989701842</v>
      </c>
      <c r="AD12">
        <f t="shared" si="21"/>
        <v>141.26867243246826</v>
      </c>
      <c r="AE12">
        <f t="shared" si="22"/>
        <v>47.125253006159262</v>
      </c>
      <c r="AF12">
        <f t="shared" si="23"/>
        <v>38.37903114551807</v>
      </c>
      <c r="AG12">
        <f t="shared" si="24"/>
        <v>30.623842970871042</v>
      </c>
      <c r="AH12">
        <f t="shared" si="25"/>
        <v>6.4735964127222406E-2</v>
      </c>
      <c r="AI12">
        <f t="shared" si="86"/>
        <v>5.3118398805966104E-2</v>
      </c>
      <c r="AJ12">
        <f t="shared" si="87"/>
        <v>0.44940169231884219</v>
      </c>
      <c r="AK12">
        <f t="shared" si="26"/>
        <v>0.69522741498222862</v>
      </c>
      <c r="AL12">
        <f t="shared" si="27"/>
        <v>0.59943613763382497</v>
      </c>
      <c r="AM12">
        <f t="shared" si="28"/>
        <v>6.323457470359946</v>
      </c>
      <c r="AN12">
        <f t="shared" si="29"/>
        <v>-1.2697906271972537E-2</v>
      </c>
      <c r="AO12">
        <f t="shared" si="30"/>
        <v>6.5977844275901338</v>
      </c>
      <c r="AP12">
        <f t="shared" si="31"/>
        <v>2.7575605859087871</v>
      </c>
      <c r="AQ12">
        <f t="shared" si="32"/>
        <v>6.2363304475306762</v>
      </c>
      <c r="AR12">
        <f t="shared" si="33"/>
        <v>3.0606207769151239</v>
      </c>
      <c r="AS12">
        <f t="shared" si="34"/>
        <v>245.93075359512497</v>
      </c>
      <c r="AT12">
        <f t="shared" si="35"/>
        <v>59.234352599593883</v>
      </c>
      <c r="AU12">
        <f t="shared" si="36"/>
        <v>275.26490542085827</v>
      </c>
      <c r="AV12">
        <f t="shared" si="37"/>
        <v>145.64630594500258</v>
      </c>
      <c r="AW12">
        <f t="shared" si="38"/>
        <v>48.084458322925968</v>
      </c>
      <c r="AX12">
        <f t="shared" si="39"/>
        <v>6.4839364592718152</v>
      </c>
      <c r="AY12">
        <f t="shared" si="40"/>
        <v>272.64240964683137</v>
      </c>
      <c r="AZ12">
        <f t="shared" si="41"/>
        <v>140.0852175558237</v>
      </c>
      <c r="BA12">
        <f t="shared" si="42"/>
        <v>47.029001466279155</v>
      </c>
      <c r="BB12">
        <f t="shared" si="43"/>
        <v>38.927549096683393</v>
      </c>
      <c r="BC12">
        <f t="shared" si="44"/>
        <v>30.243618139901642</v>
      </c>
      <c r="BD12">
        <f t="shared" si="45"/>
        <v>6.5549829085576702E-2</v>
      </c>
      <c r="BE12">
        <f t="shared" si="88"/>
        <v>5.3877017769120697E-2</v>
      </c>
      <c r="BF12">
        <f t="shared" si="89"/>
        <v>0.45826297284963663</v>
      </c>
      <c r="BG12">
        <f t="shared" si="46"/>
        <v>0.69505663502427595</v>
      </c>
      <c r="BH12">
        <f t="shared" si="47"/>
        <v>0.59928888843712436</v>
      </c>
      <c r="BI12">
        <f t="shared" si="48"/>
        <v>6.3281197602147206</v>
      </c>
      <c r="BJ12">
        <f t="shared" si="49"/>
        <v>-1.2949883677306318E-2</v>
      </c>
      <c r="BK12">
        <f t="shared" si="50"/>
        <v>6.5961637070563306</v>
      </c>
      <c r="BL12">
        <f t="shared" si="51"/>
        <v>2.7568832016877898</v>
      </c>
      <c r="BM12">
        <f t="shared" si="52"/>
        <v>6.2347985167859212</v>
      </c>
      <c r="BN12">
        <f t="shared" si="53"/>
        <v>3.0598689471162319</v>
      </c>
      <c r="BO12">
        <f t="shared" si="54"/>
        <v>245.99118038862909</v>
      </c>
      <c r="BP12">
        <f t="shared" si="55"/>
        <v>59.248906867169467</v>
      </c>
      <c r="BQ12">
        <f t="shared" si="56"/>
        <v>275.33253980718706</v>
      </c>
      <c r="BR12">
        <f t="shared" si="57"/>
        <v>142.16404636356913</v>
      </c>
      <c r="BS12">
        <f t="shared" si="58"/>
        <v>44.578227157890495</v>
      </c>
      <c r="BT12">
        <f t="shared" si="59"/>
        <v>6.6199273454165386</v>
      </c>
      <c r="BU12">
        <f t="shared" si="60"/>
        <v>273.33588575580899</v>
      </c>
      <c r="BV12">
        <f t="shared" si="61"/>
        <v>140.46259979303576</v>
      </c>
      <c r="BW12">
        <f t="shared" si="62"/>
        <v>47.059988956757792</v>
      </c>
      <c r="BX12">
        <f t="shared" si="63"/>
        <v>13.041855615922222</v>
      </c>
      <c r="BY12">
        <f t="shared" si="64"/>
        <v>29.483168477962849</v>
      </c>
      <c r="BZ12">
        <f t="shared" si="65"/>
        <v>6.724053425539353E-2</v>
      </c>
      <c r="CA12">
        <f t="shared" si="90"/>
        <v>5.5462182546186463E-2</v>
      </c>
      <c r="CB12">
        <f t="shared" si="91"/>
        <v>0.47713517903458907</v>
      </c>
      <c r="CC12">
        <f t="shared" si="66"/>
        <v>0.69469319793427875</v>
      </c>
      <c r="CD12">
        <f t="shared" si="67"/>
        <v>0.59897552719617497</v>
      </c>
      <c r="CE12">
        <f t="shared" si="68"/>
        <v>6.3380568526774663</v>
      </c>
      <c r="CF12">
        <f t="shared" si="69"/>
        <v>-1.3486735855605669E-2</v>
      </c>
      <c r="CG12">
        <f t="shared" si="70"/>
        <v>6.5927146492068882</v>
      </c>
      <c r="CH12">
        <f t="shared" si="71"/>
        <v>2.7554416592899558</v>
      </c>
      <c r="CI12">
        <f t="shared" si="72"/>
        <v>6.231538412622494</v>
      </c>
      <c r="CJ12">
        <f t="shared" si="73"/>
        <v>3.058268976970095</v>
      </c>
      <c r="CK12">
        <f t="shared" si="74"/>
        <v>246.11987362908579</v>
      </c>
      <c r="CL12">
        <f t="shared" si="75"/>
        <v>59.279903644396214</v>
      </c>
      <c r="CM12">
        <f t="shared" si="76"/>
        <v>268.43681065493621</v>
      </c>
      <c r="CN12">
        <f t="shared" si="77"/>
        <v>138.71853485321856</v>
      </c>
      <c r="CO12">
        <f t="shared" si="78"/>
        <v>48.121435131471003</v>
      </c>
      <c r="CP12">
        <f t="shared" si="79"/>
        <v>6.9106280581689807</v>
      </c>
      <c r="CQ12">
        <f t="shared" si="80"/>
        <v>274.81632989701842</v>
      </c>
      <c r="CR12">
        <f t="shared" si="81"/>
        <v>141.26867243246826</v>
      </c>
      <c r="CS12">
        <f t="shared" si="82"/>
        <v>47.125253006159262</v>
      </c>
      <c r="CT12">
        <f t="shared" si="83"/>
        <v>48.29937361622158</v>
      </c>
      <c r="CV12" t="s">
        <v>75</v>
      </c>
      <c r="CW12">
        <f>(gC11p+2*gC12p)/3</f>
        <v>3.680577280041593</v>
      </c>
      <c r="CZ12" t="s">
        <v>81</v>
      </c>
      <c r="DA12">
        <f>(AC4-AD4+3*AE4)/5</f>
        <v>50.5136538522734</v>
      </c>
    </row>
    <row r="13" spans="1:105" x14ac:dyDescent="0.25">
      <c r="A13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0.19126401652995695</v>
      </c>
      <c r="F13">
        <f>Align!G13</f>
        <v>0.3899965242098074</v>
      </c>
      <c r="G13">
        <f t="shared" si="0"/>
        <v>6.7321482821897369</v>
      </c>
      <c r="H13">
        <f t="shared" si="1"/>
        <v>2.7901429273991463</v>
      </c>
      <c r="I13">
        <f t="shared" si="2"/>
        <v>6.3472472346091084</v>
      </c>
      <c r="J13">
        <f t="shared" si="3"/>
        <v>3.1128482554036849</v>
      </c>
      <c r="K13">
        <f t="shared" si="4"/>
        <v>29.907684050165674</v>
      </c>
      <c r="L13">
        <f t="shared" si="5"/>
        <v>6.6286108836602409E-2</v>
      </c>
      <c r="M13">
        <f t="shared" si="84"/>
        <v>4.5980489957000374E-2</v>
      </c>
      <c r="N13">
        <f t="shared" si="85"/>
        <v>0.52311566899158946</v>
      </c>
      <c r="O13">
        <f t="shared" si="6"/>
        <v>0.69380930412021513</v>
      </c>
      <c r="P13">
        <f t="shared" si="7"/>
        <v>0.59821341988774235</v>
      </c>
      <c r="Q13">
        <f t="shared" si="8"/>
        <v>6.3623112519093903</v>
      </c>
      <c r="R13">
        <f t="shared" si="9"/>
        <v>-1.4795904972228713E-2</v>
      </c>
      <c r="S13">
        <f t="shared" si="10"/>
        <v>6.6346976063922778</v>
      </c>
      <c r="T13">
        <f t="shared" si="11"/>
        <v>2.7497544358732124</v>
      </c>
      <c r="U13">
        <f t="shared" si="12"/>
        <v>6.2553681632430473</v>
      </c>
      <c r="V13">
        <f t="shared" si="13"/>
        <v>3.0677884686270689</v>
      </c>
      <c r="W13">
        <f t="shared" si="14"/>
        <v>248.95489068909907</v>
      </c>
      <c r="X13">
        <f t="shared" si="15"/>
        <v>59.877785866605478</v>
      </c>
      <c r="Y13">
        <f t="shared" si="16"/>
        <v>280.06392989632434</v>
      </c>
      <c r="Z13">
        <f t="shared" si="17"/>
        <v>137.18759854251618</v>
      </c>
      <c r="AA13">
        <f t="shared" si="18"/>
        <v>48.106386271485114</v>
      </c>
      <c r="AB13">
        <f t="shared" si="19"/>
        <v>7.6250475889689753</v>
      </c>
      <c r="AC13">
        <f t="shared" si="20"/>
        <v>278.44340962294626</v>
      </c>
      <c r="AD13">
        <f t="shared" si="21"/>
        <v>143.24602289984949</v>
      </c>
      <c r="AE13">
        <f t="shared" si="22"/>
        <v>47.280045590870188</v>
      </c>
      <c r="AF13">
        <f t="shared" si="23"/>
        <v>40.136323186589223</v>
      </c>
      <c r="AG13">
        <f t="shared" si="24"/>
        <v>31.132103674594347</v>
      </c>
      <c r="AH13">
        <f t="shared" si="25"/>
        <v>6.3679088979065962E-2</v>
      </c>
      <c r="AI13">
        <f t="shared" si="86"/>
        <v>4.4220291343752834E-2</v>
      </c>
      <c r="AJ13">
        <f t="shared" si="87"/>
        <v>0.49362198366259502</v>
      </c>
      <c r="AK13">
        <f t="shared" si="26"/>
        <v>0.69437600932749666</v>
      </c>
      <c r="AL13">
        <f t="shared" si="27"/>
        <v>0.59870204213322509</v>
      </c>
      <c r="AM13">
        <f t="shared" si="28"/>
        <v>6.3467464294816178</v>
      </c>
      <c r="AN13">
        <f t="shared" si="29"/>
        <v>-1.3955961001290373E-2</v>
      </c>
      <c r="AO13">
        <f t="shared" si="30"/>
        <v>6.6401168443009544</v>
      </c>
      <c r="AP13">
        <f t="shared" si="31"/>
        <v>2.7520004423022137</v>
      </c>
      <c r="AQ13">
        <f t="shared" si="32"/>
        <v>6.2604775638961101</v>
      </c>
      <c r="AR13">
        <f t="shared" si="33"/>
        <v>3.070294246064305</v>
      </c>
      <c r="AS13">
        <f t="shared" si="34"/>
        <v>248.75170965888415</v>
      </c>
      <c r="AT13">
        <f t="shared" si="35"/>
        <v>59.828917454397562</v>
      </c>
      <c r="AU13">
        <f t="shared" si="36"/>
        <v>279.8353596615928</v>
      </c>
      <c r="AV13">
        <f t="shared" si="37"/>
        <v>148.41573221978479</v>
      </c>
      <c r="AW13">
        <f t="shared" si="38"/>
        <v>48.067124921384689</v>
      </c>
      <c r="AX13">
        <f t="shared" si="39"/>
        <v>7.1657858372180758</v>
      </c>
      <c r="AY13">
        <f t="shared" si="40"/>
        <v>276.11357684922598</v>
      </c>
      <c r="AZ13">
        <f t="shared" si="41"/>
        <v>141.97547986617101</v>
      </c>
      <c r="BA13">
        <f t="shared" si="42"/>
        <v>47.181447378391347</v>
      </c>
      <c r="BB13">
        <f t="shared" si="43"/>
        <v>56.124758367825955</v>
      </c>
      <c r="BC13">
        <f t="shared" si="44"/>
        <v>30.723963799784791</v>
      </c>
      <c r="BD13">
        <f t="shared" si="45"/>
        <v>6.4525007675405671E-2</v>
      </c>
      <c r="BE13">
        <f t="shared" si="88"/>
        <v>4.4791845184231474E-2</v>
      </c>
      <c r="BF13">
        <f t="shared" si="89"/>
        <v>0.50305481803386809</v>
      </c>
      <c r="BG13">
        <f t="shared" si="46"/>
        <v>0.69419466184962153</v>
      </c>
      <c r="BH13">
        <f t="shared" si="47"/>
        <v>0.59854568145272768</v>
      </c>
      <c r="BI13">
        <f t="shared" si="48"/>
        <v>6.3517216931321601</v>
      </c>
      <c r="BJ13">
        <f t="shared" si="49"/>
        <v>-1.4224521958359659E-2</v>
      </c>
      <c r="BK13">
        <f t="shared" si="50"/>
        <v>6.6383826708468963</v>
      </c>
      <c r="BL13">
        <f t="shared" si="51"/>
        <v>2.7512817130652891</v>
      </c>
      <c r="BM13">
        <f t="shared" si="52"/>
        <v>6.2588425393542835</v>
      </c>
      <c r="BN13">
        <f t="shared" si="53"/>
        <v>3.0694923892743544</v>
      </c>
      <c r="BO13">
        <f t="shared" si="54"/>
        <v>248.81669214527145</v>
      </c>
      <c r="BP13">
        <f t="shared" si="55"/>
        <v>59.844546821606258</v>
      </c>
      <c r="BQ13">
        <f t="shared" si="56"/>
        <v>279.90846226448468</v>
      </c>
      <c r="BR13">
        <f t="shared" si="57"/>
        <v>144.67348356166556</v>
      </c>
      <c r="BS13">
        <f t="shared" si="58"/>
        <v>44.298661761999654</v>
      </c>
      <c r="BT13">
        <f t="shared" si="59"/>
        <v>7.3122778091390437</v>
      </c>
      <c r="BU13">
        <f t="shared" si="60"/>
        <v>276.85743879824548</v>
      </c>
      <c r="BV13">
        <f t="shared" si="61"/>
        <v>142.38097740894537</v>
      </c>
      <c r="BW13">
        <f t="shared" si="62"/>
        <v>47.213251991118426</v>
      </c>
      <c r="BX13">
        <f t="shared" si="63"/>
        <v>23.060592988836703</v>
      </c>
      <c r="BY13">
        <f t="shared" si="64"/>
        <v>29.907684050165674</v>
      </c>
      <c r="BZ13">
        <f t="shared" si="65"/>
        <v>6.6286108836602409E-2</v>
      </c>
      <c r="CA13">
        <f t="shared" si="90"/>
        <v>4.5980489957000374E-2</v>
      </c>
      <c r="CB13">
        <f t="shared" si="91"/>
        <v>0.52311566899158946</v>
      </c>
      <c r="CC13">
        <f t="shared" si="66"/>
        <v>0.69380930412021513</v>
      </c>
      <c r="CD13">
        <f t="shared" si="67"/>
        <v>0.59821341988774235</v>
      </c>
      <c r="CE13">
        <f t="shared" si="68"/>
        <v>6.3623112519093903</v>
      </c>
      <c r="CF13">
        <f t="shared" si="69"/>
        <v>-1.4795904972228713E-2</v>
      </c>
      <c r="CG13">
        <f t="shared" si="70"/>
        <v>6.6346976063922778</v>
      </c>
      <c r="CH13">
        <f t="shared" si="71"/>
        <v>2.7497544358732124</v>
      </c>
      <c r="CI13">
        <f t="shared" si="72"/>
        <v>6.2553681632430473</v>
      </c>
      <c r="CJ13">
        <f t="shared" si="73"/>
        <v>3.0677884686270689</v>
      </c>
      <c r="CK13">
        <f t="shared" si="74"/>
        <v>248.95489068909907</v>
      </c>
      <c r="CL13">
        <f t="shared" si="75"/>
        <v>59.877785866605478</v>
      </c>
      <c r="CM13">
        <f t="shared" si="76"/>
        <v>272.49768987933976</v>
      </c>
      <c r="CN13">
        <f t="shared" si="77"/>
        <v>140.97071855100847</v>
      </c>
      <c r="CO13">
        <f t="shared" si="78"/>
        <v>48.106386271485114</v>
      </c>
      <c r="CP13">
        <f t="shared" si="79"/>
        <v>7.6250475889689753</v>
      </c>
      <c r="CQ13">
        <f t="shared" si="80"/>
        <v>278.44340962294626</v>
      </c>
      <c r="CR13">
        <f t="shared" si="81"/>
        <v>143.24602289984949</v>
      </c>
      <c r="CS13">
        <f t="shared" si="82"/>
        <v>47.280045590870188</v>
      </c>
      <c r="CT13">
        <f t="shared" si="83"/>
        <v>41.334324685997387</v>
      </c>
      <c r="CZ13" t="s">
        <v>82</v>
      </c>
      <c r="DA13">
        <f>5*(AC4-AD4)*AE4/(3*(AC4-AD4)+4*AE4)</f>
        <v>49.714798278141693</v>
      </c>
    </row>
    <row r="14" spans="1:105" x14ac:dyDescent="0.25">
      <c r="A14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0.19049120618688217</v>
      </c>
      <c r="F14">
        <f>Align!G14</f>
        <v>0.38871581605483574</v>
      </c>
      <c r="G14">
        <f t="shared" si="0"/>
        <v>6.7644917206250303</v>
      </c>
      <c r="H14">
        <f t="shared" si="1"/>
        <v>2.7945731879761522</v>
      </c>
      <c r="I14">
        <f t="shared" si="2"/>
        <v>6.3729976007868849</v>
      </c>
      <c r="J14">
        <f t="shared" si="3"/>
        <v>3.1231042058467264</v>
      </c>
      <c r="K14">
        <f t="shared" si="4"/>
        <v>30.202246015695138</v>
      </c>
      <c r="L14">
        <f t="shared" si="5"/>
        <v>6.5639621601975451E-2</v>
      </c>
      <c r="M14">
        <f t="shared" si="84"/>
        <v>3.6911231992475216E-2</v>
      </c>
      <c r="N14">
        <f t="shared" si="85"/>
        <v>0.56002690098406471</v>
      </c>
      <c r="O14">
        <f t="shared" si="6"/>
        <v>0.69310137666497817</v>
      </c>
      <c r="P14">
        <f t="shared" si="7"/>
        <v>0.59760303357335476</v>
      </c>
      <c r="Q14">
        <f t="shared" si="8"/>
        <v>6.3818263918272748</v>
      </c>
      <c r="R14">
        <f t="shared" si="9"/>
        <v>-1.5848057757264944E-2</v>
      </c>
      <c r="S14">
        <f t="shared" si="10"/>
        <v>6.6597706306875786</v>
      </c>
      <c r="T14">
        <f t="shared" si="11"/>
        <v>2.7513104030927669</v>
      </c>
      <c r="U14">
        <f t="shared" si="12"/>
        <v>6.2743372309488539</v>
      </c>
      <c r="V14">
        <f t="shared" si="13"/>
        <v>3.074755432586008</v>
      </c>
      <c r="W14">
        <f t="shared" si="14"/>
        <v>251.23532317636312</v>
      </c>
      <c r="X14">
        <f t="shared" si="15"/>
        <v>60.334558719259618</v>
      </c>
      <c r="Y14">
        <f t="shared" si="16"/>
        <v>283.05024128993216</v>
      </c>
      <c r="Z14">
        <f t="shared" si="17"/>
        <v>138.71072761054984</v>
      </c>
      <c r="AA14">
        <f t="shared" si="18"/>
        <v>48.308568254514377</v>
      </c>
      <c r="AB14">
        <f t="shared" si="19"/>
        <v>8.2049002219186118</v>
      </c>
      <c r="AC14">
        <f t="shared" si="20"/>
        <v>281.3757680676124</v>
      </c>
      <c r="AD14">
        <f t="shared" si="21"/>
        <v>144.84720448856396</v>
      </c>
      <c r="AE14">
        <f t="shared" si="22"/>
        <v>47.399905341405102</v>
      </c>
      <c r="AF14">
        <f t="shared" si="23"/>
        <v>41.42339751283145</v>
      </c>
      <c r="AG14">
        <f t="shared" si="24"/>
        <v>31.457214679219696</v>
      </c>
      <c r="AH14">
        <f t="shared" si="25"/>
        <v>6.3020964195841356E-2</v>
      </c>
      <c r="AI14">
        <f t="shared" si="86"/>
        <v>3.5449150371582083E-2</v>
      </c>
      <c r="AJ14">
        <f t="shared" si="87"/>
        <v>0.52907113403417716</v>
      </c>
      <c r="AK14">
        <f t="shared" si="26"/>
        <v>0.69369498531204632</v>
      </c>
      <c r="AL14">
        <f t="shared" si="27"/>
        <v>0.59811485239263085</v>
      </c>
      <c r="AM14">
        <f t="shared" si="28"/>
        <v>6.3654572385039163</v>
      </c>
      <c r="AN14">
        <f t="shared" si="29"/>
        <v>-1.4965592528786154E-2</v>
      </c>
      <c r="AO14">
        <f t="shared" si="30"/>
        <v>6.6654744102023287</v>
      </c>
      <c r="AP14">
        <f t="shared" si="31"/>
        <v>2.7536667707195388</v>
      </c>
      <c r="AQ14">
        <f t="shared" si="32"/>
        <v>6.2797109049311999</v>
      </c>
      <c r="AR14">
        <f t="shared" si="33"/>
        <v>3.077388815629027</v>
      </c>
      <c r="AS14">
        <f t="shared" si="34"/>
        <v>251.02033609494526</v>
      </c>
      <c r="AT14">
        <f t="shared" si="35"/>
        <v>60.282929232913126</v>
      </c>
      <c r="AU14">
        <f t="shared" si="36"/>
        <v>282.80802954796781</v>
      </c>
      <c r="AV14">
        <f t="shared" si="37"/>
        <v>150.2264714975102</v>
      </c>
      <c r="AW14">
        <f t="shared" si="38"/>
        <v>48.267229648281756</v>
      </c>
      <c r="AX14">
        <f t="shared" si="39"/>
        <v>7.7182208444763782</v>
      </c>
      <c r="AY14">
        <f t="shared" si="40"/>
        <v>278.91528434545404</v>
      </c>
      <c r="AZ14">
        <f t="shared" si="41"/>
        <v>143.50352996836767</v>
      </c>
      <c r="BA14">
        <f t="shared" si="42"/>
        <v>47.299651915277167</v>
      </c>
      <c r="BB14">
        <f t="shared" si="43"/>
        <v>61.301034111812996</v>
      </c>
      <c r="BC14">
        <f t="shared" si="44"/>
        <v>31.038891791378177</v>
      </c>
      <c r="BD14">
        <f t="shared" si="45"/>
        <v>6.3870321573487307E-2</v>
      </c>
      <c r="BE14">
        <f t="shared" si="88"/>
        <v>3.5923468218829552E-2</v>
      </c>
      <c r="BF14">
        <f t="shared" si="89"/>
        <v>0.53897828625269761</v>
      </c>
      <c r="BG14">
        <f t="shared" si="46"/>
        <v>0.69350489488108269</v>
      </c>
      <c r="BH14">
        <f t="shared" si="47"/>
        <v>0.59795095339888804</v>
      </c>
      <c r="BI14">
        <f t="shared" si="48"/>
        <v>6.3706930092160059</v>
      </c>
      <c r="BJ14">
        <f t="shared" si="49"/>
        <v>-1.5247936454600763E-2</v>
      </c>
      <c r="BK14">
        <f t="shared" si="50"/>
        <v>6.6636478972102502</v>
      </c>
      <c r="BL14">
        <f t="shared" si="51"/>
        <v>2.7529121945524055</v>
      </c>
      <c r="BM14">
        <f t="shared" si="52"/>
        <v>6.277990101152132</v>
      </c>
      <c r="BN14">
        <f t="shared" si="53"/>
        <v>3.07654553121932</v>
      </c>
      <c r="BO14">
        <f t="shared" si="54"/>
        <v>251.08914103665674</v>
      </c>
      <c r="BP14">
        <f t="shared" si="55"/>
        <v>60.299452848077507</v>
      </c>
      <c r="BQ14">
        <f t="shared" si="56"/>
        <v>282.88554753034043</v>
      </c>
      <c r="BR14">
        <f t="shared" si="57"/>
        <v>146.38843858734361</v>
      </c>
      <c r="BS14">
        <f t="shared" si="58"/>
        <v>44.401249601235662</v>
      </c>
      <c r="BT14">
        <f t="shared" si="59"/>
        <v>7.8735447355645221</v>
      </c>
      <c r="BU14">
        <f t="shared" si="60"/>
        <v>279.70133024145315</v>
      </c>
      <c r="BV14">
        <f t="shared" si="61"/>
        <v>143.93261552220008</v>
      </c>
      <c r="BW14">
        <f t="shared" si="62"/>
        <v>47.332040592600379</v>
      </c>
      <c r="BX14">
        <f t="shared" si="63"/>
        <v>24.76140130533776</v>
      </c>
      <c r="BY14">
        <f t="shared" si="64"/>
        <v>30.202246015695138</v>
      </c>
      <c r="BZ14">
        <f t="shared" si="65"/>
        <v>6.5639621601975451E-2</v>
      </c>
      <c r="CA14">
        <f t="shared" si="90"/>
        <v>3.6911231992475216E-2</v>
      </c>
      <c r="CB14">
        <f t="shared" si="91"/>
        <v>0.56002690098406471</v>
      </c>
      <c r="CC14">
        <f t="shared" si="66"/>
        <v>0.69310137666497817</v>
      </c>
      <c r="CD14">
        <f t="shared" si="67"/>
        <v>0.59760303357335476</v>
      </c>
      <c r="CE14">
        <f t="shared" si="68"/>
        <v>6.3818263918272748</v>
      </c>
      <c r="CF14">
        <f t="shared" si="69"/>
        <v>-1.5848057757264944E-2</v>
      </c>
      <c r="CG14">
        <f t="shared" si="70"/>
        <v>6.6597706306875786</v>
      </c>
      <c r="CH14">
        <f t="shared" si="71"/>
        <v>2.7513104030927669</v>
      </c>
      <c r="CI14">
        <f t="shared" si="72"/>
        <v>6.2743372309488539</v>
      </c>
      <c r="CJ14">
        <f t="shared" si="73"/>
        <v>3.074755432586008</v>
      </c>
      <c r="CK14">
        <f t="shared" si="74"/>
        <v>251.23532317636312</v>
      </c>
      <c r="CL14">
        <f t="shared" si="75"/>
        <v>60.334558719259618</v>
      </c>
      <c r="CM14">
        <f t="shared" si="76"/>
        <v>275.28730410585354</v>
      </c>
      <c r="CN14">
        <f t="shared" si="77"/>
        <v>142.59219620258912</v>
      </c>
      <c r="CO14">
        <f t="shared" si="78"/>
        <v>48.308568254514377</v>
      </c>
      <c r="CP14">
        <f t="shared" si="79"/>
        <v>8.2049002219186118</v>
      </c>
      <c r="CQ14">
        <f t="shared" si="80"/>
        <v>281.3757680676124</v>
      </c>
      <c r="CR14">
        <f t="shared" si="81"/>
        <v>144.84720448856396</v>
      </c>
      <c r="CS14">
        <f t="shared" si="82"/>
        <v>47.399905341405102</v>
      </c>
      <c r="CT14">
        <f t="shared" si="83"/>
        <v>43.117644249615168</v>
      </c>
      <c r="CV14" t="s">
        <v>76</v>
      </c>
      <c r="CW14">
        <f>3*gK0*(gC11p-3)-7*gC11_0</f>
        <v>-545.38897274753253</v>
      </c>
      <c r="CZ14" t="s">
        <v>83</v>
      </c>
      <c r="DA14">
        <f>(((AC4-AD4+3*AE4)/5)+(5*(AC4-AD4)*AE4/(3*(AC4-AD4)+4*AE4)))/2</f>
        <v>50.114226065207546</v>
      </c>
    </row>
    <row r="15" spans="1:105" x14ac:dyDescent="0.25">
      <c r="A15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0.18956204408307292</v>
      </c>
      <c r="F15">
        <f>Align!G15</f>
        <v>0.38725209804704125</v>
      </c>
      <c r="G15">
        <f t="shared" si="0"/>
        <v>6.7905910940533678</v>
      </c>
      <c r="H15">
        <f t="shared" si="1"/>
        <v>2.7934643043899849</v>
      </c>
      <c r="I15">
        <f t="shared" si="2"/>
        <v>6.4042356468153585</v>
      </c>
      <c r="J15">
        <f t="shared" si="3"/>
        <v>3.1349087742128385</v>
      </c>
      <c r="K15">
        <f t="shared" si="4"/>
        <v>30.609643793405837</v>
      </c>
      <c r="L15">
        <f t="shared" si="5"/>
        <v>6.4765993795297849E-2</v>
      </c>
      <c r="M15">
        <f t="shared" si="84"/>
        <v>4.490575027022603E-2</v>
      </c>
      <c r="N15">
        <f t="shared" si="85"/>
        <v>0.60493265125429074</v>
      </c>
      <c r="O15">
        <f t="shared" si="6"/>
        <v>0.69224206632205632</v>
      </c>
      <c r="P15">
        <f t="shared" si="7"/>
        <v>0.59686212252484117</v>
      </c>
      <c r="Q15">
        <f t="shared" si="8"/>
        <v>6.4056220263322521</v>
      </c>
      <c r="R15">
        <f t="shared" si="9"/>
        <v>-1.7129542140888132E-2</v>
      </c>
      <c r="S15">
        <f t="shared" si="10"/>
        <v>6.6771772876358755</v>
      </c>
      <c r="T15">
        <f t="shared" si="11"/>
        <v>2.7468089520849843</v>
      </c>
      <c r="U15">
        <f t="shared" si="12"/>
        <v>6.2972745985295946</v>
      </c>
      <c r="V15">
        <f t="shared" si="13"/>
        <v>3.0825507494207955</v>
      </c>
      <c r="W15">
        <f t="shared" si="14"/>
        <v>254.01921636960395</v>
      </c>
      <c r="X15">
        <f t="shared" si="15"/>
        <v>60.866983549550454</v>
      </c>
      <c r="Y15">
        <f t="shared" si="16"/>
        <v>285.59271413324052</v>
      </c>
      <c r="Z15">
        <f t="shared" si="17"/>
        <v>141.57215100027011</v>
      </c>
      <c r="AA15">
        <f t="shared" si="18"/>
        <v>48.330158243757765</v>
      </c>
      <c r="AB15">
        <f t="shared" si="19"/>
        <v>8.9180130594950562</v>
      </c>
      <c r="AC15">
        <f t="shared" si="20"/>
        <v>284.9681719141397</v>
      </c>
      <c r="AD15">
        <f t="shared" si="21"/>
        <v>146.81191895567957</v>
      </c>
      <c r="AE15">
        <f t="shared" si="22"/>
        <v>47.540327573411048</v>
      </c>
      <c r="AF15">
        <f t="shared" si="23"/>
        <v>28.625269243597533</v>
      </c>
      <c r="AG15">
        <f t="shared" si="24"/>
        <v>31.659116574630978</v>
      </c>
      <c r="AH15">
        <f t="shared" si="25"/>
        <v>6.2619056199078649E-2</v>
      </c>
      <c r="AI15">
        <f t="shared" si="86"/>
        <v>4.3264696559365746E-2</v>
      </c>
      <c r="AJ15">
        <f t="shared" si="87"/>
        <v>0.57233583059354287</v>
      </c>
      <c r="AK15">
        <f t="shared" si="26"/>
        <v>0.69286562248747119</v>
      </c>
      <c r="AL15">
        <f t="shared" si="27"/>
        <v>0.59739976257087357</v>
      </c>
      <c r="AM15">
        <f t="shared" si="28"/>
        <v>6.3883430417063316</v>
      </c>
      <c r="AN15">
        <f t="shared" si="29"/>
        <v>-1.6199161984923438E-2</v>
      </c>
      <c r="AO15">
        <f t="shared" si="30"/>
        <v>6.683191939544268</v>
      </c>
      <c r="AP15">
        <f t="shared" si="31"/>
        <v>2.7492832161330933</v>
      </c>
      <c r="AQ15">
        <f t="shared" si="32"/>
        <v>6.3029470425954202</v>
      </c>
      <c r="AR15">
        <f t="shared" si="33"/>
        <v>3.0853274421682011</v>
      </c>
      <c r="AS15">
        <f t="shared" si="34"/>
        <v>253.79060746859892</v>
      </c>
      <c r="AT15">
        <f t="shared" si="35"/>
        <v>60.812205275624486</v>
      </c>
      <c r="AU15">
        <f t="shared" si="36"/>
        <v>285.33569012755248</v>
      </c>
      <c r="AV15">
        <f t="shared" si="37"/>
        <v>151.18573699902331</v>
      </c>
      <c r="AW15">
        <f t="shared" si="38"/>
        <v>48.286662698344259</v>
      </c>
      <c r="AX15">
        <f t="shared" si="39"/>
        <v>8.3995287461393318</v>
      </c>
      <c r="AY15">
        <f t="shared" si="40"/>
        <v>282.35774048866216</v>
      </c>
      <c r="AZ15">
        <f t="shared" si="41"/>
        <v>145.38391187346664</v>
      </c>
      <c r="BA15">
        <f t="shared" si="42"/>
        <v>47.438990123439169</v>
      </c>
      <c r="BB15">
        <f t="shared" si="43"/>
        <v>43.26309651736954</v>
      </c>
      <c r="BC15">
        <f t="shared" si="44"/>
        <v>31.309292314222596</v>
      </c>
      <c r="BD15">
        <f t="shared" si="45"/>
        <v>6.3318709988837513E-2</v>
      </c>
      <c r="BE15">
        <f t="shared" si="88"/>
        <v>4.379810540404902E-2</v>
      </c>
      <c r="BF15">
        <f t="shared" si="89"/>
        <v>0.58277639165674666</v>
      </c>
      <c r="BG15">
        <f t="shared" si="46"/>
        <v>0.69266577903807924</v>
      </c>
      <c r="BH15">
        <f t="shared" si="47"/>
        <v>0.59722745436948022</v>
      </c>
      <c r="BI15">
        <f t="shared" si="48"/>
        <v>6.3938740073735909</v>
      </c>
      <c r="BJ15">
        <f t="shared" si="49"/>
        <v>-1.6497065838739333E-2</v>
      </c>
      <c r="BK15">
        <f t="shared" si="50"/>
        <v>6.6812643043913624</v>
      </c>
      <c r="BL15">
        <f t="shared" si="51"/>
        <v>2.7484902395104478</v>
      </c>
      <c r="BM15">
        <f t="shared" si="52"/>
        <v>6.3011290815977237</v>
      </c>
      <c r="BN15">
        <f t="shared" si="53"/>
        <v>3.084437540203758</v>
      </c>
      <c r="BO15">
        <f t="shared" si="54"/>
        <v>253.86382949277649</v>
      </c>
      <c r="BP15">
        <f t="shared" si="55"/>
        <v>60.829750419668201</v>
      </c>
      <c r="BQ15">
        <f t="shared" si="56"/>
        <v>285.41801333489906</v>
      </c>
      <c r="BR15">
        <f t="shared" si="57"/>
        <v>147.98142057450139</v>
      </c>
      <c r="BS15">
        <f t="shared" si="58"/>
        <v>45.052658498606917</v>
      </c>
      <c r="BT15">
        <f t="shared" si="59"/>
        <v>8.5651112878927762</v>
      </c>
      <c r="BU15">
        <f t="shared" si="60"/>
        <v>283.19227266979084</v>
      </c>
      <c r="BV15">
        <f t="shared" si="61"/>
        <v>145.84023609419052</v>
      </c>
      <c r="BW15">
        <f t="shared" si="62"/>
        <v>47.471791749589144</v>
      </c>
      <c r="BX15">
        <f t="shared" si="63"/>
        <v>15.392590793777794</v>
      </c>
      <c r="BY15">
        <f t="shared" si="64"/>
        <v>30.609643793405837</v>
      </c>
      <c r="BZ15">
        <f t="shared" si="65"/>
        <v>6.4765993795297849E-2</v>
      </c>
      <c r="CA15">
        <f t="shared" si="90"/>
        <v>4.490575027022603E-2</v>
      </c>
      <c r="CB15">
        <f t="shared" si="91"/>
        <v>0.60493265125429074</v>
      </c>
      <c r="CC15">
        <f t="shared" si="66"/>
        <v>0.69224206632205632</v>
      </c>
      <c r="CD15">
        <f t="shared" si="67"/>
        <v>0.59686212252484117</v>
      </c>
      <c r="CE15">
        <f t="shared" si="68"/>
        <v>6.4056220263322521</v>
      </c>
      <c r="CF15">
        <f t="shared" si="69"/>
        <v>-1.7129542140888132E-2</v>
      </c>
      <c r="CG15">
        <f t="shared" si="70"/>
        <v>6.6771772876358755</v>
      </c>
      <c r="CH15">
        <f t="shared" si="71"/>
        <v>2.7468089520849843</v>
      </c>
      <c r="CI15">
        <f t="shared" si="72"/>
        <v>6.2972745985295946</v>
      </c>
      <c r="CJ15">
        <f t="shared" si="73"/>
        <v>3.0825507494207955</v>
      </c>
      <c r="CK15">
        <f t="shared" si="74"/>
        <v>254.01921636960395</v>
      </c>
      <c r="CL15">
        <f t="shared" si="75"/>
        <v>60.866983549550454</v>
      </c>
      <c r="CM15">
        <f t="shared" si="76"/>
        <v>279.09286698118933</v>
      </c>
      <c r="CN15">
        <f t="shared" si="77"/>
        <v>144.82207457629573</v>
      </c>
      <c r="CO15">
        <f t="shared" si="78"/>
        <v>48.330158243757765</v>
      </c>
      <c r="CP15">
        <f t="shared" si="79"/>
        <v>8.9180130594950562</v>
      </c>
      <c r="CQ15">
        <f t="shared" si="80"/>
        <v>284.9681719141397</v>
      </c>
      <c r="CR15">
        <f t="shared" si="81"/>
        <v>146.81191895567957</v>
      </c>
      <c r="CS15">
        <f t="shared" si="82"/>
        <v>47.540327573411048</v>
      </c>
      <c r="CT15">
        <f t="shared" si="83"/>
        <v>39.258736742938723</v>
      </c>
      <c r="CV15" t="s">
        <v>77</v>
      </c>
      <c r="CW15">
        <f>3*gK0*(gC12p-1)-7*gC12_0</f>
        <v>41.495905101780863</v>
      </c>
      <c r="CZ15" t="s">
        <v>84</v>
      </c>
      <c r="DA15">
        <f>CW18</f>
        <v>1828.1769515560634</v>
      </c>
    </row>
    <row r="16" spans="1:105" x14ac:dyDescent="0.25">
      <c r="A16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0.18876987732243708</v>
      </c>
      <c r="F16">
        <f>Align!G16</f>
        <v>0.38605195687015897</v>
      </c>
      <c r="G16">
        <f t="shared" si="0"/>
        <v>6.8234998991995166</v>
      </c>
      <c r="H16">
        <f t="shared" si="1"/>
        <v>2.791249175146965</v>
      </c>
      <c r="I16">
        <f t="shared" si="2"/>
        <v>6.4311108171478617</v>
      </c>
      <c r="J16">
        <f t="shared" si="3"/>
        <v>3.1446544393720175</v>
      </c>
      <c r="K16">
        <f t="shared" si="4"/>
        <v>30.97109039875809</v>
      </c>
      <c r="L16">
        <f t="shared" si="5"/>
        <v>6.4010145412235625E-2</v>
      </c>
      <c r="M16">
        <f t="shared" si="84"/>
        <v>3.8801553821902597E-2</v>
      </c>
      <c r="N16">
        <f t="shared" si="85"/>
        <v>0.64373420507619339</v>
      </c>
      <c r="O16">
        <f t="shared" si="6"/>
        <v>0.6915012791962738</v>
      </c>
      <c r="P16">
        <f t="shared" si="7"/>
        <v>0.59622340407974173</v>
      </c>
      <c r="Q16">
        <f t="shared" si="8"/>
        <v>6.4262306110086245</v>
      </c>
      <c r="R16">
        <f t="shared" si="9"/>
        <v>-1.8238110156683418E-2</v>
      </c>
      <c r="S16">
        <f t="shared" si="10"/>
        <v>6.7023564046762951</v>
      </c>
      <c r="T16">
        <f t="shared" si="11"/>
        <v>2.7416937147296458</v>
      </c>
      <c r="U16">
        <f t="shared" si="12"/>
        <v>6.3169337453277556</v>
      </c>
      <c r="V16">
        <f t="shared" si="13"/>
        <v>3.0888246696818058</v>
      </c>
      <c r="W16">
        <f t="shared" si="14"/>
        <v>256.43006960624422</v>
      </c>
      <c r="X16">
        <f t="shared" si="15"/>
        <v>61.311624182301784</v>
      </c>
      <c r="Y16">
        <f t="shared" si="16"/>
        <v>288.67644132890217</v>
      </c>
      <c r="Z16">
        <f t="shared" si="17"/>
        <v>143.69641815723003</v>
      </c>
      <c r="AA16">
        <f t="shared" si="18"/>
        <v>48.305232793842627</v>
      </c>
      <c r="AB16">
        <f t="shared" si="19"/>
        <v>9.5410139738739197</v>
      </c>
      <c r="AC16">
        <f t="shared" si="20"/>
        <v>288.09436276965937</v>
      </c>
      <c r="AD16">
        <f t="shared" si="21"/>
        <v>148.52445038360597</v>
      </c>
      <c r="AE16">
        <f t="shared" si="22"/>
        <v>47.656795093296211</v>
      </c>
      <c r="AF16">
        <f t="shared" si="23"/>
        <v>24.241923560272035</v>
      </c>
      <c r="AG16">
        <f t="shared" si="24"/>
        <v>31.976495760090614</v>
      </c>
      <c r="AH16">
        <f t="shared" si="25"/>
        <v>6.1997537656214456E-2</v>
      </c>
      <c r="AI16">
        <f t="shared" si="86"/>
        <v>3.7548240717061837E-2</v>
      </c>
      <c r="AJ16">
        <f t="shared" si="87"/>
        <v>0.60988407131060474</v>
      </c>
      <c r="AK16">
        <f t="shared" si="26"/>
        <v>0.69214744702578423</v>
      </c>
      <c r="AL16">
        <f t="shared" si="27"/>
        <v>0.59678054026228844</v>
      </c>
      <c r="AM16">
        <f t="shared" si="28"/>
        <v>6.4082494071468954</v>
      </c>
      <c r="AN16">
        <f t="shared" si="29"/>
        <v>-1.7270939116521444E-2</v>
      </c>
      <c r="AO16">
        <f t="shared" si="30"/>
        <v>6.7086193679142641</v>
      </c>
      <c r="AP16">
        <f t="shared" si="31"/>
        <v>2.7442556684528383</v>
      </c>
      <c r="AQ16">
        <f t="shared" si="32"/>
        <v>6.3228365534499975</v>
      </c>
      <c r="AR16">
        <f t="shared" si="33"/>
        <v>3.0917109971443759</v>
      </c>
      <c r="AS16">
        <f t="shared" si="34"/>
        <v>256.19067428345483</v>
      </c>
      <c r="AT16">
        <f t="shared" si="35"/>
        <v>61.254385512576327</v>
      </c>
      <c r="AU16">
        <f t="shared" si="36"/>
        <v>288.4069417730982</v>
      </c>
      <c r="AV16">
        <f t="shared" si="37"/>
        <v>152.9039217313601</v>
      </c>
      <c r="AW16">
        <f t="shared" si="38"/>
        <v>48.260136495990892</v>
      </c>
      <c r="AX16">
        <f t="shared" si="39"/>
        <v>8.9971604166399501</v>
      </c>
      <c r="AY16">
        <f t="shared" si="40"/>
        <v>285.36595862070493</v>
      </c>
      <c r="AZ16">
        <f t="shared" si="41"/>
        <v>147.02968284384787</v>
      </c>
      <c r="BA16">
        <f t="shared" si="42"/>
        <v>47.555443025549394</v>
      </c>
      <c r="BB16">
        <f t="shared" si="43"/>
        <v>44.26729731151844</v>
      </c>
      <c r="BC16">
        <f t="shared" si="44"/>
        <v>31.641360639646436</v>
      </c>
      <c r="BD16">
        <f t="shared" si="45"/>
        <v>6.2654195645303071E-2</v>
      </c>
      <c r="BE16">
        <f t="shared" si="88"/>
        <v>3.795691118047291E-2</v>
      </c>
      <c r="BF16">
        <f t="shared" si="89"/>
        <v>0.62073330283721961</v>
      </c>
      <c r="BG16">
        <f t="shared" si="46"/>
        <v>0.6919402137443873</v>
      </c>
      <c r="BH16">
        <f t="shared" si="47"/>
        <v>0.59660186043017482</v>
      </c>
      <c r="BI16">
        <f t="shared" si="48"/>
        <v>6.4140088656839449</v>
      </c>
      <c r="BJ16">
        <f t="shared" si="49"/>
        <v>-1.7580826601888311E-2</v>
      </c>
      <c r="BK16">
        <f t="shared" si="50"/>
        <v>6.7066107652513054</v>
      </c>
      <c r="BL16">
        <f t="shared" si="51"/>
        <v>2.7434340211151076</v>
      </c>
      <c r="BM16">
        <f t="shared" si="52"/>
        <v>6.3209434565783136</v>
      </c>
      <c r="BN16">
        <f t="shared" si="53"/>
        <v>3.0907853195047017</v>
      </c>
      <c r="BO16">
        <f t="shared" si="54"/>
        <v>256.2674023490311</v>
      </c>
      <c r="BP16">
        <f t="shared" si="55"/>
        <v>61.272730952048661</v>
      </c>
      <c r="BQ16">
        <f t="shared" si="56"/>
        <v>288.49331847983404</v>
      </c>
      <c r="BR16">
        <f t="shared" si="57"/>
        <v>149.83489851033528</v>
      </c>
      <c r="BS16">
        <f t="shared" si="58"/>
        <v>45.159772886647175</v>
      </c>
      <c r="BT16">
        <f t="shared" si="59"/>
        <v>9.1709436520459704</v>
      </c>
      <c r="BU16">
        <f t="shared" si="60"/>
        <v>286.23873121625599</v>
      </c>
      <c r="BV16">
        <f t="shared" si="61"/>
        <v>147.50761982533675</v>
      </c>
      <c r="BW16">
        <f t="shared" si="62"/>
        <v>47.588305053162173</v>
      </c>
      <c r="BX16">
        <f t="shared" si="63"/>
        <v>16.399233227708681</v>
      </c>
      <c r="BY16">
        <f t="shared" si="64"/>
        <v>30.97109039875809</v>
      </c>
      <c r="BZ16">
        <f t="shared" si="65"/>
        <v>6.4010145412235625E-2</v>
      </c>
      <c r="CA16">
        <f t="shared" si="90"/>
        <v>3.8801553821902597E-2</v>
      </c>
      <c r="CB16">
        <f t="shared" si="91"/>
        <v>0.64373420507619339</v>
      </c>
      <c r="CC16">
        <f t="shared" si="66"/>
        <v>0.6915012791962738</v>
      </c>
      <c r="CD16">
        <f t="shared" si="67"/>
        <v>0.59622340407974173</v>
      </c>
      <c r="CE16">
        <f t="shared" si="68"/>
        <v>6.4262306110086245</v>
      </c>
      <c r="CF16">
        <f t="shared" si="69"/>
        <v>-1.8238110156683418E-2</v>
      </c>
      <c r="CG16">
        <f t="shared" si="70"/>
        <v>6.7023564046762951</v>
      </c>
      <c r="CH16">
        <f t="shared" si="71"/>
        <v>2.7416937147296458</v>
      </c>
      <c r="CI16">
        <f t="shared" si="72"/>
        <v>6.3169337453277556</v>
      </c>
      <c r="CJ16">
        <f t="shared" si="73"/>
        <v>3.0888246696818058</v>
      </c>
      <c r="CK16">
        <f t="shared" si="74"/>
        <v>256.43006960624422</v>
      </c>
      <c r="CL16">
        <f t="shared" si="75"/>
        <v>61.311624182301784</v>
      </c>
      <c r="CM16">
        <f t="shared" si="76"/>
        <v>282.44285238316252</v>
      </c>
      <c r="CN16">
        <f t="shared" si="77"/>
        <v>146.8132126300998</v>
      </c>
      <c r="CO16">
        <f t="shared" si="78"/>
        <v>48.305232793842627</v>
      </c>
      <c r="CP16">
        <f t="shared" si="79"/>
        <v>9.5410139738739197</v>
      </c>
      <c r="CQ16">
        <f t="shared" si="80"/>
        <v>288.09436276965937</v>
      </c>
      <c r="CR16">
        <f t="shared" si="81"/>
        <v>148.52445038360597</v>
      </c>
      <c r="CS16">
        <f t="shared" si="82"/>
        <v>47.656795093296211</v>
      </c>
      <c r="CT16">
        <f t="shared" si="83"/>
        <v>35.4611172299239</v>
      </c>
      <c r="CV16" t="s">
        <v>78</v>
      </c>
      <c r="CW16">
        <f>3*gK0*(gC44p-1)-7*gC44_0</f>
        <v>-634.29027338380206</v>
      </c>
    </row>
    <row r="17" spans="1:101" x14ac:dyDescent="0.25">
      <c r="A17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0.18821761319213962</v>
      </c>
      <c r="F17">
        <f>Align!G17</f>
        <v>0.38522940940047751</v>
      </c>
      <c r="G17">
        <f t="shared" si="0"/>
        <v>6.8500574938693628</v>
      </c>
      <c r="H17">
        <f t="shared" si="1"/>
        <v>2.7945731879761522</v>
      </c>
      <c r="I17">
        <f t="shared" si="2"/>
        <v>6.4499808461639727</v>
      </c>
      <c r="J17">
        <f t="shared" si="3"/>
        <v>3.1513689515276533</v>
      </c>
      <c r="K17">
        <f t="shared" si="4"/>
        <v>31.189400511941862</v>
      </c>
      <c r="L17">
        <f t="shared" si="5"/>
        <v>6.3562106595827325E-2</v>
      </c>
      <c r="M17">
        <f t="shared" si="84"/>
        <v>2.7456293161881841E-2</v>
      </c>
      <c r="N17">
        <f t="shared" si="85"/>
        <v>0.67119049823807519</v>
      </c>
      <c r="O17">
        <f t="shared" si="6"/>
        <v>0.69097804938988994</v>
      </c>
      <c r="P17">
        <f t="shared" si="7"/>
        <v>0.59577226701656705</v>
      </c>
      <c r="Q17">
        <f t="shared" si="8"/>
        <v>6.4408400858816783</v>
      </c>
      <c r="R17">
        <f t="shared" si="9"/>
        <v>-1.9023258948949184E-2</v>
      </c>
      <c r="S17">
        <f t="shared" si="10"/>
        <v>6.7233513711966619</v>
      </c>
      <c r="T17">
        <f t="shared" si="11"/>
        <v>2.7428817191833064</v>
      </c>
      <c r="U17">
        <f t="shared" si="12"/>
        <v>6.3306749768246222</v>
      </c>
      <c r="V17">
        <f t="shared" si="13"/>
        <v>3.0930777997648304</v>
      </c>
      <c r="W17">
        <f t="shared" si="14"/>
        <v>258.13241856080026</v>
      </c>
      <c r="X17">
        <f t="shared" si="15"/>
        <v>61.620356184635945</v>
      </c>
      <c r="Y17">
        <f t="shared" si="16"/>
        <v>291.14821635730726</v>
      </c>
      <c r="Z17">
        <f t="shared" si="17"/>
        <v>144.71048544255356</v>
      </c>
      <c r="AA17">
        <f t="shared" si="18"/>
        <v>48.457017109996599</v>
      </c>
      <c r="AB17">
        <f t="shared" si="19"/>
        <v>9.9856985420827531</v>
      </c>
      <c r="AC17">
        <f t="shared" si="20"/>
        <v>290.31890537039664</v>
      </c>
      <c r="AD17">
        <f t="shared" si="21"/>
        <v>149.74463755042092</v>
      </c>
      <c r="AE17">
        <f t="shared" si="22"/>
        <v>47.736433155505217</v>
      </c>
      <c r="AF17">
        <f t="shared" si="23"/>
        <v>26.734467885781633</v>
      </c>
      <c r="AG17">
        <f t="shared" si="24"/>
        <v>32.267461333980947</v>
      </c>
      <c r="AH17">
        <f t="shared" si="25"/>
        <v>6.1438486885618787E-2</v>
      </c>
      <c r="AI17">
        <f t="shared" si="86"/>
        <v>2.6566088026286586E-2</v>
      </c>
      <c r="AJ17">
        <f t="shared" si="87"/>
        <v>0.63645015933689131</v>
      </c>
      <c r="AK17">
        <f t="shared" si="26"/>
        <v>0.691640223014092</v>
      </c>
      <c r="AL17">
        <f t="shared" si="27"/>
        <v>0.59634320364993443</v>
      </c>
      <c r="AM17">
        <f t="shared" si="28"/>
        <v>6.4223584866339793</v>
      </c>
      <c r="AN17">
        <f t="shared" si="29"/>
        <v>-1.8029913043454804E-2</v>
      </c>
      <c r="AO17">
        <f t="shared" si="30"/>
        <v>6.7297944498851683</v>
      </c>
      <c r="AP17">
        <f t="shared" si="31"/>
        <v>2.7455102598878236</v>
      </c>
      <c r="AQ17">
        <f t="shared" si="32"/>
        <v>6.3367417484055002</v>
      </c>
      <c r="AR17">
        <f t="shared" si="33"/>
        <v>3.0960419381168629</v>
      </c>
      <c r="AS17">
        <f t="shared" si="34"/>
        <v>257.88528360040476</v>
      </c>
      <c r="AT17">
        <f t="shared" si="35"/>
        <v>61.561361098431156</v>
      </c>
      <c r="AU17">
        <f t="shared" si="36"/>
        <v>290.8694722021956</v>
      </c>
      <c r="AV17">
        <f t="shared" si="37"/>
        <v>154.59601345965569</v>
      </c>
      <c r="AW17">
        <f t="shared" si="38"/>
        <v>48.410624552753582</v>
      </c>
      <c r="AX17">
        <f t="shared" si="39"/>
        <v>9.4235765001950682</v>
      </c>
      <c r="AY17">
        <f t="shared" si="40"/>
        <v>287.50593020517829</v>
      </c>
      <c r="AZ17">
        <f t="shared" si="41"/>
        <v>148.2019079503329</v>
      </c>
      <c r="BA17">
        <f t="shared" si="42"/>
        <v>47.635279425079609</v>
      </c>
      <c r="BB17">
        <f t="shared" si="43"/>
        <v>52.816652460952085</v>
      </c>
      <c r="BC17">
        <f t="shared" si="44"/>
        <v>31.908107726634579</v>
      </c>
      <c r="BD17">
        <f t="shared" si="45"/>
        <v>6.2130415785991044E-2</v>
      </c>
      <c r="BE17">
        <f t="shared" si="88"/>
        <v>2.6856332937765983E-2</v>
      </c>
      <c r="BF17">
        <f t="shared" si="89"/>
        <v>0.64758963577498563</v>
      </c>
      <c r="BG17">
        <f t="shared" si="46"/>
        <v>0.6914277591055813</v>
      </c>
      <c r="BH17">
        <f t="shared" si="47"/>
        <v>0.59616001388790885</v>
      </c>
      <c r="BI17">
        <f t="shared" si="48"/>
        <v>6.4282807483786248</v>
      </c>
      <c r="BJ17">
        <f t="shared" si="49"/>
        <v>-1.8348325397561926E-2</v>
      </c>
      <c r="BK17">
        <f t="shared" si="50"/>
        <v>6.727727134560352</v>
      </c>
      <c r="BL17">
        <f t="shared" si="51"/>
        <v>2.7446668707654704</v>
      </c>
      <c r="BM17">
        <f t="shared" si="52"/>
        <v>6.334795174342438</v>
      </c>
      <c r="BN17">
        <f t="shared" si="53"/>
        <v>3.0950908697012367</v>
      </c>
      <c r="BO17">
        <f t="shared" si="54"/>
        <v>257.96452733133623</v>
      </c>
      <c r="BP17">
        <f t="shared" si="55"/>
        <v>61.580277850354946</v>
      </c>
      <c r="BQ17">
        <f t="shared" si="56"/>
        <v>290.9588514093748</v>
      </c>
      <c r="BR17">
        <f t="shared" si="57"/>
        <v>151.30113366964565</v>
      </c>
      <c r="BS17">
        <f t="shared" si="58"/>
        <v>45.083115811335659</v>
      </c>
      <c r="BT17">
        <f t="shared" si="59"/>
        <v>9.6032641793687787</v>
      </c>
      <c r="BU17">
        <f t="shared" si="60"/>
        <v>288.40611232288916</v>
      </c>
      <c r="BV17">
        <f t="shared" si="61"/>
        <v>148.69536950032821</v>
      </c>
      <c r="BW17">
        <f t="shared" si="62"/>
        <v>47.668117691020321</v>
      </c>
      <c r="BX17">
        <f t="shared" si="63"/>
        <v>19.99096797574887</v>
      </c>
      <c r="BY17">
        <f t="shared" si="64"/>
        <v>31.189400511941862</v>
      </c>
      <c r="BZ17">
        <f t="shared" si="65"/>
        <v>6.3562106595827325E-2</v>
      </c>
      <c r="CA17">
        <f t="shared" si="90"/>
        <v>2.7456293161881841E-2</v>
      </c>
      <c r="CB17">
        <f t="shared" si="91"/>
        <v>0.67119049823807519</v>
      </c>
      <c r="CC17">
        <f t="shared" si="66"/>
        <v>0.69097804938988994</v>
      </c>
      <c r="CD17">
        <f t="shared" si="67"/>
        <v>0.59577226701656705</v>
      </c>
      <c r="CE17">
        <f t="shared" si="68"/>
        <v>6.4408400858816783</v>
      </c>
      <c r="CF17">
        <f t="shared" si="69"/>
        <v>-1.9023258948949184E-2</v>
      </c>
      <c r="CG17">
        <f t="shared" si="70"/>
        <v>6.7233513711966619</v>
      </c>
      <c r="CH17">
        <f t="shared" si="71"/>
        <v>2.7428817191833064</v>
      </c>
      <c r="CI17">
        <f t="shared" si="72"/>
        <v>6.3306749768246222</v>
      </c>
      <c r="CJ17">
        <f t="shared" si="73"/>
        <v>3.0930777997648304</v>
      </c>
      <c r="CK17">
        <f t="shared" si="74"/>
        <v>258.13241856080026</v>
      </c>
      <c r="CL17">
        <f t="shared" si="75"/>
        <v>61.620356184635945</v>
      </c>
      <c r="CM17">
        <f t="shared" si="76"/>
        <v>284.45909671007894</v>
      </c>
      <c r="CN17">
        <f t="shared" si="77"/>
        <v>148.05504526616772</v>
      </c>
      <c r="CO17">
        <f t="shared" si="78"/>
        <v>48.457017109996599</v>
      </c>
      <c r="CP17">
        <f t="shared" si="79"/>
        <v>9.9856985420827531</v>
      </c>
      <c r="CQ17">
        <f t="shared" si="80"/>
        <v>290.31890537039664</v>
      </c>
      <c r="CR17">
        <f t="shared" si="81"/>
        <v>149.74463755042092</v>
      </c>
      <c r="CS17">
        <f t="shared" si="82"/>
        <v>47.736433155505217</v>
      </c>
      <c r="CT17">
        <f t="shared" si="83"/>
        <v>37.896103350167813</v>
      </c>
    </row>
    <row r="18" spans="1:101" x14ac:dyDescent="0.25">
      <c r="A18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0.18751881685054153</v>
      </c>
      <c r="F18">
        <f>Align!G18</f>
        <v>0.38419063426876759</v>
      </c>
      <c r="G18">
        <f t="shared" si="0"/>
        <v>6.8768226247527133</v>
      </c>
      <c r="H18">
        <f t="shared" si="1"/>
        <v>2.7979051271739794</v>
      </c>
      <c r="I18">
        <f t="shared" si="2"/>
        <v>6.4740169567494474</v>
      </c>
      <c r="J18">
        <f t="shared" si="3"/>
        <v>3.1598896269572361</v>
      </c>
      <c r="K18">
        <f t="shared" si="4"/>
        <v>31.47519808872412</v>
      </c>
      <c r="L18">
        <f t="shared" si="5"/>
        <v>6.2984957057671723E-2</v>
      </c>
      <c r="M18">
        <f t="shared" si="84"/>
        <v>3.5406345744320875E-2</v>
      </c>
      <c r="N18">
        <f t="shared" si="85"/>
        <v>0.70659684398239608</v>
      </c>
      <c r="O18">
        <f t="shared" si="6"/>
        <v>0.69030448458599902</v>
      </c>
      <c r="P18">
        <f t="shared" si="7"/>
        <v>0.59519150872684856</v>
      </c>
      <c r="Q18">
        <f t="shared" si="8"/>
        <v>6.4597124434423927</v>
      </c>
      <c r="R18">
        <f t="shared" si="9"/>
        <v>-2.0036627300280996E-2</v>
      </c>
      <c r="S18">
        <f t="shared" si="10"/>
        <v>6.7430418999563342</v>
      </c>
      <c r="T18">
        <f t="shared" si="11"/>
        <v>2.7434750805885768</v>
      </c>
      <c r="U18">
        <f t="shared" si="12"/>
        <v>6.3480723558663996</v>
      </c>
      <c r="V18">
        <f t="shared" si="13"/>
        <v>3.098417585632613</v>
      </c>
      <c r="W18">
        <f t="shared" si="14"/>
        <v>260.31363826346865</v>
      </c>
      <c r="X18">
        <f t="shared" si="15"/>
        <v>62.014476717794849</v>
      </c>
      <c r="Y18">
        <f t="shared" si="16"/>
        <v>293.71417205896148</v>
      </c>
      <c r="Z18">
        <f t="shared" si="17"/>
        <v>146.37331075391259</v>
      </c>
      <c r="AA18">
        <f t="shared" si="18"/>
        <v>48.62003030590482</v>
      </c>
      <c r="AB18">
        <f t="shared" si="19"/>
        <v>10.56387063649376</v>
      </c>
      <c r="AC18">
        <f t="shared" si="20"/>
        <v>293.20281460495096</v>
      </c>
      <c r="AD18">
        <f t="shared" si="21"/>
        <v>151.3284471854565</v>
      </c>
      <c r="AE18">
        <f t="shared" si="22"/>
        <v>47.835679231459352</v>
      </c>
      <c r="AF18">
        <f t="shared" si="23"/>
        <v>25.631186032542775</v>
      </c>
      <c r="AG18">
        <f t="shared" si="24"/>
        <v>32.539733236984546</v>
      </c>
      <c r="AH18">
        <f t="shared" si="25"/>
        <v>6.0924408493513348E-2</v>
      </c>
      <c r="AI18">
        <f t="shared" si="86"/>
        <v>3.423566580677373E-2</v>
      </c>
      <c r="AJ18">
        <f t="shared" si="87"/>
        <v>0.67068582514366504</v>
      </c>
      <c r="AK18">
        <f t="shared" si="26"/>
        <v>0.69098765971385867</v>
      </c>
      <c r="AL18">
        <f t="shared" si="27"/>
        <v>0.59578055319078438</v>
      </c>
      <c r="AM18">
        <f t="shared" si="28"/>
        <v>6.4405713501173016</v>
      </c>
      <c r="AN18">
        <f t="shared" si="29"/>
        <v>-1.9008821796826281E-2</v>
      </c>
      <c r="AO18">
        <f t="shared" si="30"/>
        <v>6.7497153007744215</v>
      </c>
      <c r="AP18">
        <f t="shared" si="31"/>
        <v>2.7461902214877192</v>
      </c>
      <c r="AQ18">
        <f t="shared" si="32"/>
        <v>6.3543548663240603</v>
      </c>
      <c r="AR18">
        <f t="shared" si="33"/>
        <v>3.1014840032461342</v>
      </c>
      <c r="AS18">
        <f t="shared" si="34"/>
        <v>260.05626781610363</v>
      </c>
      <c r="AT18">
        <f t="shared" si="35"/>
        <v>61.953163396977523</v>
      </c>
      <c r="AU18">
        <f t="shared" si="36"/>
        <v>293.42377871512997</v>
      </c>
      <c r="AV18">
        <f t="shared" si="37"/>
        <v>156.13624851371694</v>
      </c>
      <c r="AW18">
        <f t="shared" si="38"/>
        <v>48.571959989519513</v>
      </c>
      <c r="AX18">
        <f t="shared" si="39"/>
        <v>9.9774959729807797</v>
      </c>
      <c r="AY18">
        <f t="shared" si="40"/>
        <v>290.27792307195347</v>
      </c>
      <c r="AZ18">
        <f t="shared" si="41"/>
        <v>149.72214642379572</v>
      </c>
      <c r="BA18">
        <f t="shared" si="42"/>
        <v>47.734990302125794</v>
      </c>
      <c r="BB18">
        <f t="shared" si="43"/>
        <v>51.756652197446755</v>
      </c>
      <c r="BC18">
        <f t="shared" si="44"/>
        <v>32.184888187564404</v>
      </c>
      <c r="BD18">
        <f t="shared" si="45"/>
        <v>6.1596112698815715E-2</v>
      </c>
      <c r="BE18">
        <f t="shared" si="88"/>
        <v>3.4617193941951306E-2</v>
      </c>
      <c r="BF18">
        <f t="shared" si="89"/>
        <v>0.68220682971693691</v>
      </c>
      <c r="BG18">
        <f t="shared" si="46"/>
        <v>0.69076833559373096</v>
      </c>
      <c r="BH18">
        <f t="shared" si="47"/>
        <v>0.59559144844516299</v>
      </c>
      <c r="BI18">
        <f t="shared" si="48"/>
        <v>6.44670808708773</v>
      </c>
      <c r="BJ18">
        <f t="shared" si="49"/>
        <v>-1.9338452494802927E-2</v>
      </c>
      <c r="BK18">
        <f t="shared" si="50"/>
        <v>6.7475728958433869</v>
      </c>
      <c r="BL18">
        <f t="shared" si="51"/>
        <v>2.745318562282864</v>
      </c>
      <c r="BM18">
        <f t="shared" si="52"/>
        <v>6.3523379514480229</v>
      </c>
      <c r="BN18">
        <f t="shared" si="53"/>
        <v>3.1004995714107184</v>
      </c>
      <c r="BO18">
        <f t="shared" si="54"/>
        <v>260.13883762885212</v>
      </c>
      <c r="BP18">
        <f t="shared" si="55"/>
        <v>61.97283399036035</v>
      </c>
      <c r="BQ18">
        <f t="shared" si="56"/>
        <v>293.51694296249798</v>
      </c>
      <c r="BR18">
        <f t="shared" si="57"/>
        <v>152.88222231495436</v>
      </c>
      <c r="BS18">
        <f t="shared" si="58"/>
        <v>45.283781323537426</v>
      </c>
      <c r="BT18">
        <f t="shared" si="59"/>
        <v>10.165019166909191</v>
      </c>
      <c r="BU18">
        <f t="shared" si="60"/>
        <v>291.21436285386778</v>
      </c>
      <c r="BV18">
        <f t="shared" si="61"/>
        <v>150.23617663598247</v>
      </c>
      <c r="BW18">
        <f t="shared" si="62"/>
        <v>47.767731803355709</v>
      </c>
      <c r="BX18">
        <f t="shared" si="63"/>
        <v>18.475903834784312</v>
      </c>
      <c r="BY18">
        <f t="shared" si="64"/>
        <v>31.47519808872412</v>
      </c>
      <c r="BZ18">
        <f t="shared" si="65"/>
        <v>6.2984957057671723E-2</v>
      </c>
      <c r="CA18">
        <f t="shared" si="90"/>
        <v>3.5406345744320875E-2</v>
      </c>
      <c r="CB18">
        <f t="shared" si="91"/>
        <v>0.70659684398239608</v>
      </c>
      <c r="CC18">
        <f t="shared" si="66"/>
        <v>0.69030448458599902</v>
      </c>
      <c r="CD18">
        <f t="shared" si="67"/>
        <v>0.59519150872684856</v>
      </c>
      <c r="CE18">
        <f t="shared" si="68"/>
        <v>6.4597124434423927</v>
      </c>
      <c r="CF18">
        <f t="shared" si="69"/>
        <v>-2.0036627300280996E-2</v>
      </c>
      <c r="CG18">
        <f t="shared" si="70"/>
        <v>6.7430418999563342</v>
      </c>
      <c r="CH18">
        <f t="shared" si="71"/>
        <v>2.7434750805885768</v>
      </c>
      <c r="CI18">
        <f t="shared" si="72"/>
        <v>6.3480723558663996</v>
      </c>
      <c r="CJ18">
        <f t="shared" si="73"/>
        <v>3.098417585632613</v>
      </c>
      <c r="CK18">
        <f t="shared" si="74"/>
        <v>260.31363826346865</v>
      </c>
      <c r="CL18">
        <f t="shared" si="75"/>
        <v>62.014476717794849</v>
      </c>
      <c r="CM18">
        <f t="shared" si="76"/>
        <v>287.10253108724874</v>
      </c>
      <c r="CN18">
        <f t="shared" si="77"/>
        <v>149.67913123976899</v>
      </c>
      <c r="CO18">
        <f t="shared" si="78"/>
        <v>48.62003030590482</v>
      </c>
      <c r="CP18">
        <f t="shared" si="79"/>
        <v>10.56387063649376</v>
      </c>
      <c r="CQ18">
        <f t="shared" si="80"/>
        <v>293.20281460495096</v>
      </c>
      <c r="CR18">
        <f t="shared" si="81"/>
        <v>151.3284471854565</v>
      </c>
      <c r="CS18">
        <f t="shared" si="82"/>
        <v>47.835679231459352</v>
      </c>
      <c r="CT18">
        <f t="shared" si="83"/>
        <v>40.750024616605465</v>
      </c>
      <c r="CV18" t="s">
        <v>123</v>
      </c>
      <c r="CW18">
        <f>SUM(AF4:AF25)+SUM(BB4:BB25)+SUM(BX4:BX25)+SUM(CT4:CT25)</f>
        <v>1828.1769515560634</v>
      </c>
    </row>
    <row r="19" spans="1:101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0.18689416907287151</v>
      </c>
      <c r="F19">
        <f>Align!G19</f>
        <v>0.3832512269076177</v>
      </c>
      <c r="G19">
        <f t="shared" si="0"/>
        <v>6.9037977341019108</v>
      </c>
      <c r="H19">
        <f t="shared" si="1"/>
        <v>2.791249175146965</v>
      </c>
      <c r="I19">
        <f t="shared" si="2"/>
        <v>6.4956547655943817</v>
      </c>
      <c r="J19">
        <f t="shared" si="3"/>
        <v>3.167634999620323</v>
      </c>
      <c r="K19">
        <f t="shared" si="4"/>
        <v>31.805434890110856</v>
      </c>
      <c r="L19">
        <f t="shared" si="5"/>
        <v>6.233098232580369E-2</v>
      </c>
      <c r="M19">
        <f t="shared" si="84"/>
        <v>3.2364823372575742E-2</v>
      </c>
      <c r="N19">
        <f t="shared" si="85"/>
        <v>0.73896166735497182</v>
      </c>
      <c r="O19">
        <f t="shared" si="6"/>
        <v>0.68968992902311566</v>
      </c>
      <c r="P19">
        <f t="shared" si="7"/>
        <v>0.59466162914351028</v>
      </c>
      <c r="Q19">
        <f t="shared" si="8"/>
        <v>6.4769958217230323</v>
      </c>
      <c r="R19">
        <f t="shared" si="9"/>
        <v>-2.0963808563681963E-2</v>
      </c>
      <c r="S19">
        <f t="shared" si="10"/>
        <v>6.7634655812822357</v>
      </c>
      <c r="T19">
        <f t="shared" si="11"/>
        <v>2.7345119964388358</v>
      </c>
      <c r="U19">
        <f t="shared" si="12"/>
        <v>6.3636188554566093</v>
      </c>
      <c r="V19">
        <f t="shared" si="13"/>
        <v>3.1032470995160195</v>
      </c>
      <c r="W19">
        <f t="shared" si="14"/>
        <v>262.2901230583152</v>
      </c>
      <c r="X19">
        <f t="shared" si="15"/>
        <v>62.374393127956914</v>
      </c>
      <c r="Y19">
        <f t="shared" si="16"/>
        <v>296.28671948328861</v>
      </c>
      <c r="Z19">
        <f t="shared" si="17"/>
        <v>148.42762873924329</v>
      </c>
      <c r="AA19">
        <f t="shared" si="18"/>
        <v>48.432098053292613</v>
      </c>
      <c r="AB19">
        <f t="shared" si="19"/>
        <v>11.09705771851165</v>
      </c>
      <c r="AC19">
        <f t="shared" si="20"/>
        <v>295.85404759305754</v>
      </c>
      <c r="AD19">
        <f t="shared" si="21"/>
        <v>152.78641559500292</v>
      </c>
      <c r="AE19">
        <f t="shared" si="22"/>
        <v>47.922946363248499</v>
      </c>
      <c r="AF19">
        <f t="shared" si="23"/>
        <v>0</v>
      </c>
      <c r="AG19">
        <f t="shared" si="24"/>
        <v>32.788648143590464</v>
      </c>
      <c r="AH19">
        <f t="shared" si="25"/>
        <v>6.0461901061557868E-2</v>
      </c>
      <c r="AI19">
        <f t="shared" si="86"/>
        <v>3.1349934317427525E-2</v>
      </c>
      <c r="AJ19">
        <f t="shared" si="87"/>
        <v>0.70203575946109253</v>
      </c>
      <c r="AK19">
        <f t="shared" si="26"/>
        <v>0.69039118025123947</v>
      </c>
      <c r="AL19">
        <f t="shared" si="27"/>
        <v>0.59526625910866815</v>
      </c>
      <c r="AM19">
        <f t="shared" si="28"/>
        <v>6.4572792196656748</v>
      </c>
      <c r="AN19">
        <f t="shared" si="29"/>
        <v>-1.9906028613970839E-2</v>
      </c>
      <c r="AO19">
        <f t="shared" si="30"/>
        <v>6.7703424231000726</v>
      </c>
      <c r="AP19">
        <f t="shared" si="31"/>
        <v>2.7372923471662101</v>
      </c>
      <c r="AQ19">
        <f t="shared" si="32"/>
        <v>6.370089147902406</v>
      </c>
      <c r="AR19">
        <f t="shared" si="33"/>
        <v>3.1064023664673432</v>
      </c>
      <c r="AS19">
        <f t="shared" si="34"/>
        <v>262.02370703768685</v>
      </c>
      <c r="AT19">
        <f t="shared" si="35"/>
        <v>62.311037568042984</v>
      </c>
      <c r="AU19">
        <f t="shared" si="36"/>
        <v>295.98577209019061</v>
      </c>
      <c r="AV19">
        <f t="shared" si="37"/>
        <v>157.4355634907466</v>
      </c>
      <c r="AW19">
        <f t="shared" si="38"/>
        <v>48.382904104684926</v>
      </c>
      <c r="AX19">
        <f t="shared" si="39"/>
        <v>10.489090134584872</v>
      </c>
      <c r="AY19">
        <f t="shared" si="40"/>
        <v>292.83034116258818</v>
      </c>
      <c r="AZ19">
        <f t="shared" si="41"/>
        <v>151.12376522104057</v>
      </c>
      <c r="BA19">
        <f t="shared" si="42"/>
        <v>47.82311444624272</v>
      </c>
      <c r="BB19">
        <f t="shared" si="43"/>
        <v>0</v>
      </c>
      <c r="BC19">
        <f t="shared" si="44"/>
        <v>32.460910392430591</v>
      </c>
      <c r="BD19">
        <f t="shared" si="45"/>
        <v>6.1072347510693396E-2</v>
      </c>
      <c r="BE19">
        <f t="shared" si="88"/>
        <v>3.168107000273674E-2</v>
      </c>
      <c r="BF19">
        <f t="shared" si="89"/>
        <v>0.7138878997196737</v>
      </c>
      <c r="BG19">
        <f t="shared" si="46"/>
        <v>0.69016594369639594</v>
      </c>
      <c r="BH19">
        <f t="shared" si="47"/>
        <v>0.59507205656777318</v>
      </c>
      <c r="BI19">
        <f t="shared" si="48"/>
        <v>6.4636033075478352</v>
      </c>
      <c r="BJ19">
        <f t="shared" si="49"/>
        <v>-2.0245428006150479E-2</v>
      </c>
      <c r="BK19">
        <f t="shared" si="50"/>
        <v>6.7681336338714289</v>
      </c>
      <c r="BL19">
        <f t="shared" si="51"/>
        <v>2.7363993196833691</v>
      </c>
      <c r="BM19">
        <f t="shared" si="52"/>
        <v>6.3680109392364175</v>
      </c>
      <c r="BN19">
        <f t="shared" si="53"/>
        <v>3.1053889187481434</v>
      </c>
      <c r="BO19">
        <f t="shared" si="54"/>
        <v>262.10921881583153</v>
      </c>
      <c r="BP19">
        <f t="shared" si="55"/>
        <v>62.331372856329381</v>
      </c>
      <c r="BQ19">
        <f t="shared" si="56"/>
        <v>296.08236743250956</v>
      </c>
      <c r="BR19">
        <f t="shared" si="57"/>
        <v>154.43304741151178</v>
      </c>
      <c r="BS19">
        <f t="shared" si="58"/>
        <v>45.344798547990365</v>
      </c>
      <c r="BT19">
        <f t="shared" si="59"/>
        <v>10.683594435989491</v>
      </c>
      <c r="BU19">
        <f t="shared" si="60"/>
        <v>293.79882010643678</v>
      </c>
      <c r="BV19">
        <f t="shared" si="61"/>
        <v>151.65604107660579</v>
      </c>
      <c r="BW19">
        <f t="shared" si="62"/>
        <v>47.855628309402974</v>
      </c>
      <c r="BX19">
        <f t="shared" si="63"/>
        <v>0</v>
      </c>
      <c r="BY19">
        <f t="shared" si="64"/>
        <v>31.805434890110856</v>
      </c>
      <c r="BZ19">
        <f t="shared" si="65"/>
        <v>6.233098232580369E-2</v>
      </c>
      <c r="CA19">
        <f t="shared" si="90"/>
        <v>3.2364823372575742E-2</v>
      </c>
      <c r="CB19">
        <f t="shared" si="91"/>
        <v>0.73896166735497182</v>
      </c>
      <c r="CC19">
        <f t="shared" si="66"/>
        <v>0.68968992902311566</v>
      </c>
      <c r="CD19">
        <f t="shared" si="67"/>
        <v>0.59466162914351028</v>
      </c>
      <c r="CE19">
        <f t="shared" si="68"/>
        <v>6.4769958217230323</v>
      </c>
      <c r="CF19">
        <f t="shared" si="69"/>
        <v>-2.0963808563681963E-2</v>
      </c>
      <c r="CG19">
        <f t="shared" si="70"/>
        <v>6.7634655812822357</v>
      </c>
      <c r="CH19">
        <f t="shared" si="71"/>
        <v>2.7345119964388358</v>
      </c>
      <c r="CI19">
        <f t="shared" si="72"/>
        <v>6.3636188554566093</v>
      </c>
      <c r="CJ19">
        <f t="shared" si="73"/>
        <v>3.1032470995160195</v>
      </c>
      <c r="CK19">
        <f t="shared" si="74"/>
        <v>262.2901230583152</v>
      </c>
      <c r="CL19">
        <f t="shared" si="75"/>
        <v>62.374393127956914</v>
      </c>
      <c r="CM19">
        <f t="shared" si="76"/>
        <v>290.17471320764378</v>
      </c>
      <c r="CN19">
        <f t="shared" si="77"/>
        <v>151.48363187706568</v>
      </c>
      <c r="CO19">
        <f t="shared" si="78"/>
        <v>48.432098053292613</v>
      </c>
      <c r="CP19">
        <f t="shared" si="79"/>
        <v>11.09705771851165</v>
      </c>
      <c r="CQ19">
        <f t="shared" si="80"/>
        <v>295.85404759305754</v>
      </c>
      <c r="CR19">
        <f t="shared" si="81"/>
        <v>152.78641559500292</v>
      </c>
      <c r="CS19">
        <f t="shared" si="82"/>
        <v>47.922946363248499</v>
      </c>
      <c r="CT19">
        <f t="shared" si="83"/>
        <v>0</v>
      </c>
    </row>
    <row r="20" spans="1:101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0.18653850947206904</v>
      </c>
      <c r="F20">
        <f>Align!G20</f>
        <v>0.38270781210782145</v>
      </c>
      <c r="G20">
        <f t="shared" si="0"/>
        <v>6.9241683553243671</v>
      </c>
      <c r="H20">
        <f t="shared" si="1"/>
        <v>2.7868294391394235</v>
      </c>
      <c r="I20">
        <f t="shared" si="2"/>
        <v>6.5080395647836768</v>
      </c>
      <c r="J20">
        <f t="shared" si="3"/>
        <v>3.1721327905843113</v>
      </c>
      <c r="K20">
        <f t="shared" si="4"/>
        <v>31.999354546317505</v>
      </c>
      <c r="L20">
        <f t="shared" si="5"/>
        <v>6.1953249623534747E-2</v>
      </c>
      <c r="M20">
        <f t="shared" si="84"/>
        <v>1.872404835582292E-2</v>
      </c>
      <c r="N20">
        <f t="shared" si="85"/>
        <v>0.75768571571079479</v>
      </c>
      <c r="O20">
        <f t="shared" si="6"/>
        <v>0.68933488906631424</v>
      </c>
      <c r="P20">
        <f t="shared" si="7"/>
        <v>0.59435550804439319</v>
      </c>
      <c r="Q20">
        <f t="shared" si="8"/>
        <v>6.4870088514782571</v>
      </c>
      <c r="R20">
        <f t="shared" si="9"/>
        <v>-2.1500588591343406E-2</v>
      </c>
      <c r="S20">
        <f t="shared" si="10"/>
        <v>6.7799301492812587</v>
      </c>
      <c r="T20">
        <f t="shared" si="11"/>
        <v>2.7287766509601039</v>
      </c>
      <c r="U20">
        <f t="shared" si="12"/>
        <v>6.3724697889621318</v>
      </c>
      <c r="V20">
        <f t="shared" si="13"/>
        <v>3.1060537007117253</v>
      </c>
      <c r="W20">
        <f t="shared" si="14"/>
        <v>263.42686349139677</v>
      </c>
      <c r="X20">
        <f t="shared" si="15"/>
        <v>62.583869336642834</v>
      </c>
      <c r="Y20">
        <f t="shared" si="16"/>
        <v>298.19127338249496</v>
      </c>
      <c r="Z20">
        <f t="shared" si="17"/>
        <v>149.43724235725918</v>
      </c>
      <c r="AA20">
        <f t="shared" si="18"/>
        <v>48.303708094294265</v>
      </c>
      <c r="AB20">
        <f t="shared" si="19"/>
        <v>11.407573813862909</v>
      </c>
      <c r="AC20">
        <f t="shared" si="20"/>
        <v>297.3944514960761</v>
      </c>
      <c r="AD20">
        <f t="shared" si="21"/>
        <v>153.63436918111256</v>
      </c>
      <c r="AE20">
        <f t="shared" si="22"/>
        <v>47.971906204211813</v>
      </c>
      <c r="AF20">
        <f t="shared" si="23"/>
        <v>0</v>
      </c>
      <c r="AG20">
        <f t="shared" si="24"/>
        <v>32.996866745911035</v>
      </c>
      <c r="AH20">
        <f t="shared" si="25"/>
        <v>6.0080371123287526E-2</v>
      </c>
      <c r="AI20">
        <f t="shared" si="86"/>
        <v>1.8160303184959481E-2</v>
      </c>
      <c r="AJ20">
        <f t="shared" si="87"/>
        <v>0.72019606264605196</v>
      </c>
      <c r="AK20">
        <f t="shared" si="26"/>
        <v>0.69004612409196553</v>
      </c>
      <c r="AL20">
        <f t="shared" si="27"/>
        <v>0.59496874619861229</v>
      </c>
      <c r="AM20">
        <f t="shared" si="28"/>
        <v>6.4669709123379402</v>
      </c>
      <c r="AN20">
        <f t="shared" si="29"/>
        <v>-2.0426114517357763E-2</v>
      </c>
      <c r="AO20">
        <f t="shared" si="30"/>
        <v>6.7869254774883796</v>
      </c>
      <c r="AP20">
        <f t="shared" si="31"/>
        <v>2.7315921207152631</v>
      </c>
      <c r="AQ20">
        <f t="shared" si="32"/>
        <v>6.3790447118126963</v>
      </c>
      <c r="AR20">
        <f t="shared" si="33"/>
        <v>3.109258433590532</v>
      </c>
      <c r="AS20">
        <f t="shared" si="34"/>
        <v>263.15534771082611</v>
      </c>
      <c r="AT20">
        <f t="shared" si="35"/>
        <v>62.519363735699734</v>
      </c>
      <c r="AU20">
        <f t="shared" si="36"/>
        <v>297.88392569866846</v>
      </c>
      <c r="AV20">
        <f t="shared" si="37"/>
        <v>158.57975563993915</v>
      </c>
      <c r="AW20">
        <f t="shared" si="38"/>
        <v>48.253921148369898</v>
      </c>
      <c r="AX20">
        <f t="shared" si="39"/>
        <v>10.787361844118374</v>
      </c>
      <c r="AY20">
        <f t="shared" si="40"/>
        <v>294.31506872166517</v>
      </c>
      <c r="AZ20">
        <f t="shared" si="41"/>
        <v>151.93987262079051</v>
      </c>
      <c r="BA20">
        <f t="shared" si="42"/>
        <v>47.872752513538089</v>
      </c>
      <c r="BB20">
        <f t="shared" si="43"/>
        <v>0</v>
      </c>
      <c r="BC20">
        <f t="shared" si="44"/>
        <v>32.664362679379856</v>
      </c>
      <c r="BD20">
        <f t="shared" si="45"/>
        <v>6.0691954086447758E-2</v>
      </c>
      <c r="BE20">
        <f t="shared" si="88"/>
        <v>1.8344408098746056E-2</v>
      </c>
      <c r="BF20">
        <f t="shared" si="89"/>
        <v>0.73223230781841975</v>
      </c>
      <c r="BG20">
        <f t="shared" si="46"/>
        <v>0.6898176185368261</v>
      </c>
      <c r="BH20">
        <f t="shared" si="47"/>
        <v>0.59477172507365539</v>
      </c>
      <c r="BI20">
        <f t="shared" si="48"/>
        <v>6.4733996913417968</v>
      </c>
      <c r="BJ20">
        <f t="shared" si="49"/>
        <v>-2.0770959158832425E-2</v>
      </c>
      <c r="BK20">
        <f t="shared" si="50"/>
        <v>6.7846780187754359</v>
      </c>
      <c r="BL20">
        <f t="shared" si="51"/>
        <v>2.730687566726528</v>
      </c>
      <c r="BM20">
        <f t="shared" si="52"/>
        <v>6.3769323209126672</v>
      </c>
      <c r="BN20">
        <f t="shared" si="53"/>
        <v>3.1082288171639858</v>
      </c>
      <c r="BO20">
        <f t="shared" si="54"/>
        <v>263.24251924312784</v>
      </c>
      <c r="BP20">
        <f t="shared" si="55"/>
        <v>62.540073589338562</v>
      </c>
      <c r="BQ20">
        <f t="shared" si="56"/>
        <v>297.98260124707394</v>
      </c>
      <c r="BR20">
        <f t="shared" si="57"/>
        <v>155.5324130664238</v>
      </c>
      <c r="BS20">
        <f t="shared" si="58"/>
        <v>45.170032587365512</v>
      </c>
      <c r="BT20">
        <f t="shared" si="59"/>
        <v>10.9858270017517</v>
      </c>
      <c r="BU20">
        <f t="shared" si="60"/>
        <v>295.30161135783015</v>
      </c>
      <c r="BV20">
        <f t="shared" si="61"/>
        <v>152.48246608266487</v>
      </c>
      <c r="BW20">
        <f t="shared" si="62"/>
        <v>47.905075853312091</v>
      </c>
      <c r="BX20">
        <f t="shared" si="63"/>
        <v>0</v>
      </c>
      <c r="BY20">
        <f t="shared" si="64"/>
        <v>31.999354546317505</v>
      </c>
      <c r="BZ20">
        <f t="shared" si="65"/>
        <v>6.1953249623534747E-2</v>
      </c>
      <c r="CA20">
        <f t="shared" si="90"/>
        <v>1.872404835582292E-2</v>
      </c>
      <c r="CB20">
        <f t="shared" si="91"/>
        <v>0.75768571571079479</v>
      </c>
      <c r="CC20">
        <f t="shared" si="66"/>
        <v>0.68933488906631424</v>
      </c>
      <c r="CD20">
        <f t="shared" si="67"/>
        <v>0.59435550804439319</v>
      </c>
      <c r="CE20">
        <f t="shared" si="68"/>
        <v>6.4870088514782571</v>
      </c>
      <c r="CF20">
        <f t="shared" si="69"/>
        <v>-2.1500588591343406E-2</v>
      </c>
      <c r="CG20">
        <f t="shared" si="70"/>
        <v>6.7799301492812587</v>
      </c>
      <c r="CH20">
        <f t="shared" si="71"/>
        <v>2.7287766509601039</v>
      </c>
      <c r="CI20">
        <f t="shared" si="72"/>
        <v>6.3724697889621318</v>
      </c>
      <c r="CJ20">
        <f t="shared" si="73"/>
        <v>3.1060537007117253</v>
      </c>
      <c r="CK20">
        <f t="shared" si="74"/>
        <v>263.42686349139677</v>
      </c>
      <c r="CL20">
        <f t="shared" si="75"/>
        <v>62.583869336642834</v>
      </c>
      <c r="CM20">
        <f t="shared" si="76"/>
        <v>291.98718597609388</v>
      </c>
      <c r="CN20">
        <f t="shared" si="77"/>
        <v>152.53928606045969</v>
      </c>
      <c r="CO20">
        <f t="shared" si="78"/>
        <v>48.303708094294265</v>
      </c>
      <c r="CP20">
        <f t="shared" si="79"/>
        <v>11.407573813862909</v>
      </c>
      <c r="CQ20">
        <f t="shared" si="80"/>
        <v>297.3944514960761</v>
      </c>
      <c r="CR20">
        <f t="shared" si="81"/>
        <v>153.63436918111256</v>
      </c>
      <c r="CS20">
        <f t="shared" si="82"/>
        <v>47.971906204211813</v>
      </c>
      <c r="CT20">
        <f t="shared" si="83"/>
        <v>0</v>
      </c>
    </row>
    <row r="21" spans="1:101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0.18628790984322882</v>
      </c>
      <c r="F21">
        <f>Align!G21</f>
        <v>0.38232053933053556</v>
      </c>
      <c r="G21">
        <f t="shared" si="0"/>
        <v>6.9583878503224321</v>
      </c>
      <c r="H21">
        <f t="shared" si="1"/>
        <v>2.7846248157265188</v>
      </c>
      <c r="I21">
        <f t="shared" si="2"/>
        <v>6.5167943589127466</v>
      </c>
      <c r="J21">
        <f t="shared" si="3"/>
        <v>3.1753460123428923</v>
      </c>
      <c r="K21">
        <f t="shared" si="4"/>
        <v>32.129761563877068</v>
      </c>
      <c r="L21">
        <f t="shared" si="5"/>
        <v>6.1701796200966816E-2</v>
      </c>
      <c r="M21">
        <f t="shared" si="84"/>
        <v>1.3306613059117406E-2</v>
      </c>
      <c r="N21">
        <f t="shared" si="85"/>
        <v>0.77099232876991219</v>
      </c>
      <c r="O21">
        <f t="shared" si="6"/>
        <v>0.68908279505515913</v>
      </c>
      <c r="P21">
        <f t="shared" si="7"/>
        <v>0.59413814857738867</v>
      </c>
      <c r="Q21">
        <f t="shared" si="8"/>
        <v>6.4941310773024643</v>
      </c>
      <c r="R21">
        <f t="shared" si="9"/>
        <v>-2.1882229880643811E-2</v>
      </c>
      <c r="S21">
        <f t="shared" si="10"/>
        <v>6.8109450979801736</v>
      </c>
      <c r="T21">
        <f t="shared" si="11"/>
        <v>2.7256208113647542</v>
      </c>
      <c r="U21">
        <f t="shared" si="12"/>
        <v>6.3787086244876274</v>
      </c>
      <c r="V21">
        <f t="shared" si="13"/>
        <v>3.1080629338813837</v>
      </c>
      <c r="W21">
        <f t="shared" si="14"/>
        <v>264.23270987572039</v>
      </c>
      <c r="X21">
        <f t="shared" si="15"/>
        <v>62.733664689059403</v>
      </c>
      <c r="Y21">
        <f t="shared" si="16"/>
        <v>301.25607203274649</v>
      </c>
      <c r="Z21">
        <f t="shared" si="17"/>
        <v>149.23111485854599</v>
      </c>
      <c r="AA21">
        <f t="shared" si="18"/>
        <v>48.24495696933068</v>
      </c>
      <c r="AB21">
        <f t="shared" si="19"/>
        <v>11.629165004363731</v>
      </c>
      <c r="AC21">
        <f t="shared" si="20"/>
        <v>298.49210841638222</v>
      </c>
      <c r="AD21">
        <f t="shared" si="21"/>
        <v>154.23898400734987</v>
      </c>
      <c r="AE21">
        <f t="shared" si="22"/>
        <v>48.00601321328206</v>
      </c>
      <c r="AF21">
        <f t="shared" si="23"/>
        <v>0</v>
      </c>
      <c r="AG21">
        <f t="shared" si="24"/>
        <v>33.422940455550986</v>
      </c>
      <c r="AH21">
        <f t="shared" si="25"/>
        <v>5.9314470031039596E-2</v>
      </c>
      <c r="AI21">
        <f t="shared" si="86"/>
        <v>1.2848169210581597E-2</v>
      </c>
      <c r="AJ21">
        <f t="shared" si="87"/>
        <v>0.73304423185663359</v>
      </c>
      <c r="AK21">
        <f t="shared" si="26"/>
        <v>0.68980220978015472</v>
      </c>
      <c r="AL21">
        <f t="shared" si="27"/>
        <v>0.59475843939851414</v>
      </c>
      <c r="AM21">
        <f t="shared" si="28"/>
        <v>6.4738335081696885</v>
      </c>
      <c r="AN21">
        <f t="shared" si="29"/>
        <v>-2.0794225313976789E-2</v>
      </c>
      <c r="AO21">
        <f t="shared" si="30"/>
        <v>6.8180558461076632</v>
      </c>
      <c r="AP21">
        <f t="shared" si="31"/>
        <v>2.728466408092058</v>
      </c>
      <c r="AQ21">
        <f t="shared" si="32"/>
        <v>6.3853681100296305</v>
      </c>
      <c r="AR21">
        <f t="shared" si="33"/>
        <v>3.1113078070038775</v>
      </c>
      <c r="AS21">
        <f t="shared" si="34"/>
        <v>263.95713392131643</v>
      </c>
      <c r="AT21">
        <f t="shared" si="35"/>
        <v>62.668237931228873</v>
      </c>
      <c r="AU21">
        <f t="shared" si="36"/>
        <v>300.94188334047806</v>
      </c>
      <c r="AV21">
        <f t="shared" si="37"/>
        <v>161.13181045166419</v>
      </c>
      <c r="AW21">
        <f t="shared" si="38"/>
        <v>48.194640904872749</v>
      </c>
      <c r="AX21">
        <f t="shared" si="39"/>
        <v>10.999237129514341</v>
      </c>
      <c r="AY21">
        <f t="shared" si="40"/>
        <v>295.3682319219688</v>
      </c>
      <c r="AZ21">
        <f t="shared" si="41"/>
        <v>152.51911633083989</v>
      </c>
      <c r="BA21">
        <f t="shared" si="42"/>
        <v>47.907239671520983</v>
      </c>
      <c r="BB21">
        <f t="shared" si="43"/>
        <v>0</v>
      </c>
      <c r="BC21">
        <f t="shared" si="44"/>
        <v>32.991880824993018</v>
      </c>
      <c r="BD21">
        <f t="shared" si="45"/>
        <v>6.0089450811127536E-2</v>
      </c>
      <c r="BE21">
        <f t="shared" si="88"/>
        <v>1.2997378384296925E-2</v>
      </c>
      <c r="BF21">
        <f t="shared" si="89"/>
        <v>0.74522968620271668</v>
      </c>
      <c r="BG21">
        <f t="shared" si="46"/>
        <v>0.68957103595802782</v>
      </c>
      <c r="BH21">
        <f t="shared" si="47"/>
        <v>0.59455911765131098</v>
      </c>
      <c r="BI21">
        <f t="shared" si="48"/>
        <v>6.480346612108475</v>
      </c>
      <c r="BJ21">
        <f t="shared" si="49"/>
        <v>-2.1143469020415528E-2</v>
      </c>
      <c r="BK21">
        <f t="shared" si="50"/>
        <v>6.8157709070235715</v>
      </c>
      <c r="BL21">
        <f t="shared" si="51"/>
        <v>2.7275520155326252</v>
      </c>
      <c r="BM21">
        <f t="shared" si="52"/>
        <v>6.3832281778421809</v>
      </c>
      <c r="BN21">
        <f t="shared" si="53"/>
        <v>3.1102651125802288</v>
      </c>
      <c r="BO21">
        <f t="shared" si="54"/>
        <v>264.04562368719172</v>
      </c>
      <c r="BP21">
        <f t="shared" si="55"/>
        <v>62.689247015620587</v>
      </c>
      <c r="BQ21">
        <f t="shared" si="56"/>
        <v>301.04277198252095</v>
      </c>
      <c r="BR21">
        <f t="shared" si="57"/>
        <v>157.16570380361517</v>
      </c>
      <c r="BS21">
        <f t="shared" si="58"/>
        <v>44.190672867955982</v>
      </c>
      <c r="BT21">
        <f t="shared" si="59"/>
        <v>11.200837641592548</v>
      </c>
      <c r="BU21">
        <f t="shared" si="60"/>
        <v>296.36917169947276</v>
      </c>
      <c r="BV21">
        <f t="shared" si="61"/>
        <v>153.06990869615828</v>
      </c>
      <c r="BW21">
        <f t="shared" si="62"/>
        <v>47.939461428149251</v>
      </c>
      <c r="BX21">
        <f t="shared" si="63"/>
        <v>0</v>
      </c>
      <c r="BY21">
        <f t="shared" si="64"/>
        <v>32.129761563877068</v>
      </c>
      <c r="BZ21">
        <f t="shared" si="65"/>
        <v>6.1701796200966816E-2</v>
      </c>
      <c r="CA21">
        <f t="shared" si="90"/>
        <v>1.3306613059117406E-2</v>
      </c>
      <c r="CB21">
        <f t="shared" si="91"/>
        <v>0.77099232876991219</v>
      </c>
      <c r="CC21">
        <f t="shared" si="66"/>
        <v>0.68908279505515913</v>
      </c>
      <c r="CD21">
        <f t="shared" si="67"/>
        <v>0.59413814857738867</v>
      </c>
      <c r="CE21">
        <f t="shared" si="68"/>
        <v>6.4941310773024643</v>
      </c>
      <c r="CF21">
        <f t="shared" si="69"/>
        <v>-2.1882229880643811E-2</v>
      </c>
      <c r="CG21">
        <f t="shared" si="70"/>
        <v>6.8109450979801736</v>
      </c>
      <c r="CH21">
        <f t="shared" si="71"/>
        <v>2.7256208113647542</v>
      </c>
      <c r="CI21">
        <f t="shared" si="72"/>
        <v>6.3787086244876274</v>
      </c>
      <c r="CJ21">
        <f t="shared" si="73"/>
        <v>3.1080629338813837</v>
      </c>
      <c r="CK21">
        <f t="shared" si="74"/>
        <v>264.23270987572039</v>
      </c>
      <c r="CL21">
        <f t="shared" si="75"/>
        <v>62.733664689059403</v>
      </c>
      <c r="CM21">
        <f t="shared" si="76"/>
        <v>293.21012531517783</v>
      </c>
      <c r="CN21">
        <f t="shared" si="77"/>
        <v>153.25408821733032</v>
      </c>
      <c r="CO21">
        <f t="shared" si="78"/>
        <v>48.24495696933068</v>
      </c>
      <c r="CP21">
        <f t="shared" si="79"/>
        <v>11.629165004363731</v>
      </c>
      <c r="CQ21">
        <f t="shared" si="80"/>
        <v>298.49210841638222</v>
      </c>
      <c r="CR21">
        <f t="shared" si="81"/>
        <v>154.23898400734987</v>
      </c>
      <c r="CS21">
        <f t="shared" si="82"/>
        <v>48.00601321328206</v>
      </c>
      <c r="CT21">
        <f t="shared" si="83"/>
        <v>0</v>
      </c>
    </row>
    <row r="22" spans="1:101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0.18584227706986439</v>
      </c>
      <c r="F22">
        <f>Align!G22</f>
        <v>0.38162352074308936</v>
      </c>
      <c r="G22">
        <f t="shared" si="0"/>
        <v>6.9790823795993937</v>
      </c>
      <c r="H22">
        <f t="shared" si="1"/>
        <v>2.7868294391394235</v>
      </c>
      <c r="I22">
        <f t="shared" si="2"/>
        <v>6.5324210354117449</v>
      </c>
      <c r="J22">
        <f t="shared" si="3"/>
        <v>3.1811456422710123</v>
      </c>
      <c r="K22">
        <f t="shared" si="4"/>
        <v>32.317300153417648</v>
      </c>
      <c r="L22">
        <f t="shared" si="5"/>
        <v>6.1343738201792467E-2</v>
      </c>
      <c r="M22">
        <f t="shared" si="84"/>
        <v>2.3833841532781376E-2</v>
      </c>
      <c r="N22">
        <f t="shared" si="85"/>
        <v>0.79482617030269354</v>
      </c>
      <c r="O22">
        <f t="shared" si="6"/>
        <v>0.68863172311342746</v>
      </c>
      <c r="P22">
        <f t="shared" si="7"/>
        <v>0.59374922717308309</v>
      </c>
      <c r="Q22">
        <f t="shared" si="8"/>
        <v>6.5069009196617422</v>
      </c>
      <c r="R22">
        <f t="shared" si="9"/>
        <v>-2.2566147050284036E-2</v>
      </c>
      <c r="S22">
        <f t="shared" si="10"/>
        <v>6.826729438656379</v>
      </c>
      <c r="T22">
        <f t="shared" si="11"/>
        <v>2.7259931231502952</v>
      </c>
      <c r="U22">
        <f t="shared" si="12"/>
        <v>6.3898186842585094</v>
      </c>
      <c r="V22">
        <f t="shared" si="13"/>
        <v>3.1117014277157078</v>
      </c>
      <c r="W22">
        <f t="shared" si="14"/>
        <v>265.6753513660758</v>
      </c>
      <c r="X22">
        <f t="shared" si="15"/>
        <v>63.00427697575671</v>
      </c>
      <c r="Y22">
        <f t="shared" si="16"/>
        <v>303.24913846646393</v>
      </c>
      <c r="Z22">
        <f t="shared" si="17"/>
        <v>150.18239521938</v>
      </c>
      <c r="AA22">
        <f t="shared" si="18"/>
        <v>48.353031298250862</v>
      </c>
      <c r="AB22">
        <f t="shared" si="19"/>
        <v>12.027972643301002</v>
      </c>
      <c r="AC22">
        <f t="shared" si="20"/>
        <v>300.46426421651665</v>
      </c>
      <c r="AD22">
        <f t="shared" si="21"/>
        <v>155.32609171209262</v>
      </c>
      <c r="AE22">
        <f t="shared" si="22"/>
        <v>48.065663280002497</v>
      </c>
      <c r="AF22">
        <f t="shared" si="23"/>
        <v>0</v>
      </c>
      <c r="AG22">
        <f t="shared" si="24"/>
        <v>33.645827881791135</v>
      </c>
      <c r="AH22">
        <f t="shared" si="25"/>
        <v>5.892154019705053E-2</v>
      </c>
      <c r="AI22">
        <f t="shared" si="86"/>
        <v>2.2902239767763767E-2</v>
      </c>
      <c r="AJ22">
        <f t="shared" si="87"/>
        <v>0.75594647162439732</v>
      </c>
      <c r="AK22">
        <f t="shared" si="26"/>
        <v>0.6893678527058269</v>
      </c>
      <c r="AL22">
        <f t="shared" si="27"/>
        <v>0.5943839298188025</v>
      </c>
      <c r="AM22">
        <f t="shared" si="28"/>
        <v>6.4860783242034179</v>
      </c>
      <c r="AN22">
        <f t="shared" si="29"/>
        <v>-2.1450716389330271E-2</v>
      </c>
      <c r="AO22">
        <f t="shared" si="30"/>
        <v>6.834027036763505</v>
      </c>
      <c r="AP22">
        <f t="shared" si="31"/>
        <v>2.7289071396547278</v>
      </c>
      <c r="AQ22">
        <f t="shared" si="32"/>
        <v>6.396649236011605</v>
      </c>
      <c r="AR22">
        <f t="shared" si="33"/>
        <v>3.1150277564728217</v>
      </c>
      <c r="AS22">
        <f t="shared" si="34"/>
        <v>265.39165451635466</v>
      </c>
      <c r="AT22">
        <f t="shared" si="35"/>
        <v>62.936998943357125</v>
      </c>
      <c r="AU22">
        <f t="shared" si="36"/>
        <v>302.92531909511007</v>
      </c>
      <c r="AV22">
        <f t="shared" si="37"/>
        <v>162.41572061133053</v>
      </c>
      <c r="AW22">
        <f t="shared" si="38"/>
        <v>48.301398346291847</v>
      </c>
      <c r="AX22">
        <f t="shared" si="39"/>
        <v>11.378667022139112</v>
      </c>
      <c r="AY22">
        <f t="shared" si="40"/>
        <v>297.25116248463917</v>
      </c>
      <c r="AZ22">
        <f t="shared" si="41"/>
        <v>153.55546574920777</v>
      </c>
      <c r="BA22">
        <f t="shared" si="42"/>
        <v>47.967405930842283</v>
      </c>
      <c r="BB22">
        <f t="shared" si="43"/>
        <v>0</v>
      </c>
      <c r="BC22">
        <f t="shared" si="44"/>
        <v>33.202985305666644</v>
      </c>
      <c r="BD22">
        <f t="shared" si="45"/>
        <v>5.9707402263665103E-2</v>
      </c>
      <c r="BE22">
        <f t="shared" si="88"/>
        <v>2.3204574031631602E-2</v>
      </c>
      <c r="BF22">
        <f t="shared" si="89"/>
        <v>0.76843426023434824</v>
      </c>
      <c r="BG22">
        <f t="shared" si="46"/>
        <v>0.68913124339015319</v>
      </c>
      <c r="BH22">
        <f t="shared" si="47"/>
        <v>0.59417992150258947</v>
      </c>
      <c r="BI22">
        <f t="shared" si="48"/>
        <v>6.4927614932563769</v>
      </c>
      <c r="BJ22">
        <f t="shared" si="49"/>
        <v>-2.1808852170505211E-2</v>
      </c>
      <c r="BK22">
        <f t="shared" si="50"/>
        <v>6.8316814175790341</v>
      </c>
      <c r="BL22">
        <f t="shared" si="51"/>
        <v>2.7279705064068667</v>
      </c>
      <c r="BM22">
        <f t="shared" si="52"/>
        <v>6.3944537364791021</v>
      </c>
      <c r="BN22">
        <f t="shared" si="53"/>
        <v>3.113958596396861</v>
      </c>
      <c r="BO22">
        <f t="shared" si="54"/>
        <v>265.48277524025576</v>
      </c>
      <c r="BP22">
        <f t="shared" si="55"/>
        <v>62.958608006062327</v>
      </c>
      <c r="BQ22">
        <f t="shared" si="56"/>
        <v>303.02932679050741</v>
      </c>
      <c r="BR22">
        <f t="shared" si="57"/>
        <v>158.33883500325695</v>
      </c>
      <c r="BS22">
        <f t="shared" si="58"/>
        <v>44.185332230936496</v>
      </c>
      <c r="BT22">
        <f t="shared" si="59"/>
        <v>11.586506993217347</v>
      </c>
      <c r="BU22">
        <f t="shared" si="60"/>
        <v>298.28090469772758</v>
      </c>
      <c r="BV22">
        <f t="shared" si="61"/>
        <v>154.12262340494075</v>
      </c>
      <c r="BW22">
        <f t="shared" si="62"/>
        <v>47.999501009838269</v>
      </c>
      <c r="BX22">
        <f t="shared" si="63"/>
        <v>0</v>
      </c>
      <c r="BY22">
        <f t="shared" si="64"/>
        <v>32.317300153417648</v>
      </c>
      <c r="BZ22">
        <f t="shared" si="65"/>
        <v>6.1343738201792467E-2</v>
      </c>
      <c r="CA22">
        <f t="shared" si="90"/>
        <v>2.3833841532781376E-2</v>
      </c>
      <c r="CB22">
        <f t="shared" si="91"/>
        <v>0.79482617030269354</v>
      </c>
      <c r="CC22">
        <f t="shared" si="66"/>
        <v>0.68863172311342746</v>
      </c>
      <c r="CD22">
        <f t="shared" si="67"/>
        <v>0.59374922717308309</v>
      </c>
      <c r="CE22">
        <f t="shared" si="68"/>
        <v>6.5069009196617422</v>
      </c>
      <c r="CF22">
        <f t="shared" si="69"/>
        <v>-2.2566147050284036E-2</v>
      </c>
      <c r="CG22">
        <f t="shared" si="70"/>
        <v>6.826729438656379</v>
      </c>
      <c r="CH22">
        <f t="shared" si="71"/>
        <v>2.7259931231502952</v>
      </c>
      <c r="CI22">
        <f t="shared" si="72"/>
        <v>6.3898186842585094</v>
      </c>
      <c r="CJ22">
        <f t="shared" si="73"/>
        <v>3.1117014277157078</v>
      </c>
      <c r="CK22">
        <f t="shared" si="74"/>
        <v>265.6753513660758</v>
      </c>
      <c r="CL22">
        <f t="shared" si="75"/>
        <v>63.00427697575671</v>
      </c>
      <c r="CM22">
        <f t="shared" si="76"/>
        <v>294.97784272108748</v>
      </c>
      <c r="CN22">
        <f t="shared" si="77"/>
        <v>154.31804309206822</v>
      </c>
      <c r="CO22">
        <f t="shared" si="78"/>
        <v>48.353031298250862</v>
      </c>
      <c r="CP22">
        <f t="shared" si="79"/>
        <v>12.027972643301002</v>
      </c>
      <c r="CQ22">
        <f t="shared" si="80"/>
        <v>300.46426421651665</v>
      </c>
      <c r="CR22">
        <f t="shared" si="81"/>
        <v>155.32609171209262</v>
      </c>
      <c r="CS22">
        <f t="shared" si="82"/>
        <v>48.065663280002497</v>
      </c>
      <c r="CT22">
        <f t="shared" si="83"/>
        <v>0</v>
      </c>
    </row>
    <row r="23" spans="1:101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0.18525167989688088</v>
      </c>
      <c r="F23">
        <f>Align!G23</f>
        <v>0.38069110863859346</v>
      </c>
      <c r="G23">
        <f t="shared" si="0"/>
        <v>7.0068673252162164</v>
      </c>
      <c r="H23">
        <f t="shared" si="1"/>
        <v>2.7835238115389078</v>
      </c>
      <c r="I23">
        <f t="shared" si="2"/>
        <v>6.5532469161724469</v>
      </c>
      <c r="J23">
        <f t="shared" si="3"/>
        <v>3.1889371000584696</v>
      </c>
      <c r="K23">
        <f t="shared" si="4"/>
        <v>32.614372065118232</v>
      </c>
      <c r="L23">
        <f t="shared" si="5"/>
        <v>6.0784981419902531E-2</v>
      </c>
      <c r="M23">
        <f t="shared" si="84"/>
        <v>3.1541673459269469E-2</v>
      </c>
      <c r="N23">
        <f t="shared" si="85"/>
        <v>0.82636784376196304</v>
      </c>
      <c r="O23">
        <f t="shared" si="6"/>
        <v>0.68803568222651923</v>
      </c>
      <c r="P23">
        <f t="shared" si="7"/>
        <v>0.59323531123792206</v>
      </c>
      <c r="Q23">
        <f t="shared" si="8"/>
        <v>6.5238262327542076</v>
      </c>
      <c r="R23">
        <f t="shared" si="9"/>
        <v>-2.3471930603017221E-2</v>
      </c>
      <c r="S23">
        <f t="shared" si="10"/>
        <v>6.8479754834884172</v>
      </c>
      <c r="T23">
        <f t="shared" si="11"/>
        <v>2.7204029895822921</v>
      </c>
      <c r="U23">
        <f t="shared" si="12"/>
        <v>6.4046416374538957</v>
      </c>
      <c r="V23">
        <f t="shared" si="13"/>
        <v>3.1166228880911744</v>
      </c>
      <c r="W23">
        <f t="shared" si="14"/>
        <v>267.60366287129602</v>
      </c>
      <c r="X23">
        <f t="shared" si="15"/>
        <v>63.368130730136215</v>
      </c>
      <c r="Y23">
        <f t="shared" si="16"/>
        <v>305.93331910860269</v>
      </c>
      <c r="Z23">
        <f t="shared" si="17"/>
        <v>151.8784767428663</v>
      </c>
      <c r="AA23">
        <f t="shared" si="18"/>
        <v>48.280179004888197</v>
      </c>
      <c r="AB23">
        <f t="shared" si="19"/>
        <v>12.55953516744319</v>
      </c>
      <c r="AC23">
        <f t="shared" si="20"/>
        <v>303.0862950310941</v>
      </c>
      <c r="AD23">
        <f t="shared" si="21"/>
        <v>156.77301632354045</v>
      </c>
      <c r="AE23">
        <f t="shared" si="22"/>
        <v>48.141732172425336</v>
      </c>
      <c r="AF23">
        <f t="shared" si="23"/>
        <v>0</v>
      </c>
      <c r="AG23">
        <f t="shared" si="24"/>
        <v>33.922886596526737</v>
      </c>
      <c r="AH23">
        <f t="shared" si="25"/>
        <v>5.8440309740709927E-2</v>
      </c>
      <c r="AI23">
        <f t="shared" si="86"/>
        <v>3.0310553969445188E-2</v>
      </c>
      <c r="AJ23">
        <f t="shared" si="87"/>
        <v>0.78625702559384247</v>
      </c>
      <c r="AK23">
        <f t="shared" si="26"/>
        <v>0.68879383209806477</v>
      </c>
      <c r="AL23">
        <f t="shared" si="27"/>
        <v>0.59388900011864387</v>
      </c>
      <c r="AM23">
        <f t="shared" si="28"/>
        <v>6.5023077650082648</v>
      </c>
      <c r="AN23">
        <f t="shared" si="29"/>
        <v>-2.2320202052200644E-2</v>
      </c>
      <c r="AO23">
        <f t="shared" si="30"/>
        <v>6.8555213010488565</v>
      </c>
      <c r="AP23">
        <f t="shared" si="31"/>
        <v>2.7234006148950227</v>
      </c>
      <c r="AQ23">
        <f t="shared" si="32"/>
        <v>6.4116989432887008</v>
      </c>
      <c r="AR23">
        <f t="shared" si="33"/>
        <v>3.1200571100411403</v>
      </c>
      <c r="AS23">
        <f t="shared" si="34"/>
        <v>267.30911365616583</v>
      </c>
      <c r="AT23">
        <f t="shared" si="35"/>
        <v>63.298381934583254</v>
      </c>
      <c r="AU23">
        <f t="shared" si="36"/>
        <v>305.59658074688235</v>
      </c>
      <c r="AV23">
        <f t="shared" si="37"/>
        <v>163.92847234046712</v>
      </c>
      <c r="AW23">
        <f t="shared" si="38"/>
        <v>48.22703739733452</v>
      </c>
      <c r="AX23">
        <f t="shared" si="39"/>
        <v>11.884304010671364</v>
      </c>
      <c r="AY23">
        <f t="shared" si="40"/>
        <v>299.75429760897498</v>
      </c>
      <c r="AZ23">
        <f t="shared" si="41"/>
        <v>154.93461999844186</v>
      </c>
      <c r="BA23">
        <f t="shared" si="42"/>
        <v>48.044430614574914</v>
      </c>
      <c r="BB23">
        <f t="shared" si="43"/>
        <v>0</v>
      </c>
      <c r="BC23">
        <f t="shared" si="44"/>
        <v>33.486715086057238</v>
      </c>
      <c r="BD23">
        <f t="shared" si="45"/>
        <v>5.9201507072439971E-2</v>
      </c>
      <c r="BE23">
        <f t="shared" si="88"/>
        <v>3.071010652772822E-2</v>
      </c>
      <c r="BF23">
        <f t="shared" si="89"/>
        <v>0.79914436676207645</v>
      </c>
      <c r="BG23">
        <f t="shared" si="46"/>
        <v>0.68855006143958308</v>
      </c>
      <c r="BH23">
        <f t="shared" si="47"/>
        <v>0.5936788171787315</v>
      </c>
      <c r="BI23">
        <f t="shared" si="48"/>
        <v>6.5092163392910383</v>
      </c>
      <c r="BJ23">
        <f t="shared" si="49"/>
        <v>-2.2690106539033694E-2</v>
      </c>
      <c r="BK23">
        <f t="shared" si="50"/>
        <v>6.8530950671543085</v>
      </c>
      <c r="BL23">
        <f t="shared" si="51"/>
        <v>2.7224367776330363</v>
      </c>
      <c r="BM23">
        <f t="shared" si="52"/>
        <v>6.409429782328548</v>
      </c>
      <c r="BN23">
        <f t="shared" si="53"/>
        <v>3.1189528922900926</v>
      </c>
      <c r="BO23">
        <f t="shared" si="54"/>
        <v>267.40375037512558</v>
      </c>
      <c r="BP23">
        <f t="shared" si="55"/>
        <v>63.320791762291016</v>
      </c>
      <c r="BQ23">
        <f t="shared" si="56"/>
        <v>305.70477256021638</v>
      </c>
      <c r="BR23">
        <f t="shared" si="57"/>
        <v>159.91267794308891</v>
      </c>
      <c r="BS23">
        <f t="shared" si="58"/>
        <v>44.170280669745608</v>
      </c>
      <c r="BT23">
        <f t="shared" si="59"/>
        <v>12.100491090197695</v>
      </c>
      <c r="BU23">
        <f t="shared" si="60"/>
        <v>300.82241817003779</v>
      </c>
      <c r="BV23">
        <f t="shared" si="61"/>
        <v>155.52362627242471</v>
      </c>
      <c r="BW23">
        <f t="shared" si="62"/>
        <v>48.076271594864025</v>
      </c>
      <c r="BX23">
        <f t="shared" si="63"/>
        <v>0</v>
      </c>
      <c r="BY23">
        <f t="shared" si="64"/>
        <v>32.614372065118232</v>
      </c>
      <c r="BZ23">
        <f t="shared" si="65"/>
        <v>6.0784981419902531E-2</v>
      </c>
      <c r="CA23">
        <f t="shared" si="90"/>
        <v>3.1541673459269469E-2</v>
      </c>
      <c r="CB23">
        <f t="shared" si="91"/>
        <v>0.82636784376196304</v>
      </c>
      <c r="CC23">
        <f t="shared" si="66"/>
        <v>0.68803568222651923</v>
      </c>
      <c r="CD23">
        <f t="shared" si="67"/>
        <v>0.59323531123792206</v>
      </c>
      <c r="CE23">
        <f t="shared" si="68"/>
        <v>6.5238262327542076</v>
      </c>
      <c r="CF23">
        <f t="shared" si="69"/>
        <v>-2.3471930603017221E-2</v>
      </c>
      <c r="CG23">
        <f t="shared" si="70"/>
        <v>6.8479754834884172</v>
      </c>
      <c r="CH23">
        <f t="shared" si="71"/>
        <v>2.7204029895822921</v>
      </c>
      <c r="CI23">
        <f t="shared" si="72"/>
        <v>6.4046416374538957</v>
      </c>
      <c r="CJ23">
        <f t="shared" si="73"/>
        <v>3.1166228880911744</v>
      </c>
      <c r="CK23">
        <f t="shared" si="74"/>
        <v>267.60366287129602</v>
      </c>
      <c r="CL23">
        <f t="shared" si="75"/>
        <v>63.368130730136215</v>
      </c>
      <c r="CM23">
        <f t="shared" si="76"/>
        <v>297.77956632179212</v>
      </c>
      <c r="CN23">
        <f t="shared" si="77"/>
        <v>155.95535313627161</v>
      </c>
      <c r="CO23">
        <f t="shared" si="78"/>
        <v>48.280179004888197</v>
      </c>
      <c r="CP23">
        <f t="shared" si="79"/>
        <v>12.55953516744319</v>
      </c>
      <c r="CQ23">
        <f t="shared" si="80"/>
        <v>303.0862950310941</v>
      </c>
      <c r="CR23">
        <f t="shared" si="81"/>
        <v>156.77301632354045</v>
      </c>
      <c r="CS23">
        <f t="shared" si="82"/>
        <v>48.141732172425336</v>
      </c>
      <c r="CT23">
        <f t="shared" si="83"/>
        <v>0</v>
      </c>
    </row>
    <row r="24" spans="1:101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0.18495311800280445</v>
      </c>
      <c r="F24">
        <f>Align!G24</f>
        <v>0.38022277732041276</v>
      </c>
      <c r="G24">
        <f t="shared" si="0"/>
        <v>7.0278516536758504</v>
      </c>
      <c r="H24">
        <f t="shared" si="1"/>
        <v>2.7769360266922449</v>
      </c>
      <c r="I24">
        <f t="shared" si="2"/>
        <v>6.5638255418953904</v>
      </c>
      <c r="J24">
        <f t="shared" si="3"/>
        <v>3.1928650054990402</v>
      </c>
      <c r="K24">
        <f t="shared" si="4"/>
        <v>32.801974149316564</v>
      </c>
      <c r="L24">
        <f t="shared" si="5"/>
        <v>6.0437338038732184E-2</v>
      </c>
      <c r="M24">
        <f t="shared" si="84"/>
        <v>1.5653790640659016E-2</v>
      </c>
      <c r="N24">
        <f t="shared" si="85"/>
        <v>0.84202163440262201</v>
      </c>
      <c r="O24">
        <f t="shared" si="6"/>
        <v>0.68774025653352366</v>
      </c>
      <c r="P24">
        <f t="shared" si="7"/>
        <v>0.59298059050546714</v>
      </c>
      <c r="Q24">
        <f t="shared" si="8"/>
        <v>6.5322369686948649</v>
      </c>
      <c r="R24">
        <f t="shared" si="9"/>
        <v>-2.3921752382348727E-2</v>
      </c>
      <c r="S24">
        <f t="shared" si="10"/>
        <v>6.8655347999695717</v>
      </c>
      <c r="T24">
        <f t="shared" si="11"/>
        <v>2.7127992832024268</v>
      </c>
      <c r="U24">
        <f t="shared" si="12"/>
        <v>6.4122259403756123</v>
      </c>
      <c r="V24">
        <f t="shared" si="13"/>
        <v>3.1191218721005969</v>
      </c>
      <c r="W24">
        <f t="shared" si="14"/>
        <v>268.583645702978</v>
      </c>
      <c r="X24">
        <f t="shared" si="15"/>
        <v>63.551619074474459</v>
      </c>
      <c r="Y24">
        <f t="shared" si="16"/>
        <v>307.90070041527486</v>
      </c>
      <c r="Z24">
        <f t="shared" si="17"/>
        <v>152.77999722977216</v>
      </c>
      <c r="AA24">
        <f t="shared" si="18"/>
        <v>48.072560558528721</v>
      </c>
      <c r="AB24">
        <f t="shared" si="19"/>
        <v>12.824948965446401</v>
      </c>
      <c r="AC24">
        <f t="shared" si="20"/>
        <v>304.39270079602403</v>
      </c>
      <c r="AD24">
        <f t="shared" si="21"/>
        <v>157.49461053684595</v>
      </c>
      <c r="AE24">
        <f t="shared" si="22"/>
        <v>48.178256073158153</v>
      </c>
      <c r="AF24">
        <f t="shared" si="23"/>
        <v>0</v>
      </c>
      <c r="AG24">
        <f t="shared" si="24"/>
        <v>34.142840776954486</v>
      </c>
      <c r="AH24">
        <f t="shared" si="25"/>
        <v>5.8063826995266035E-2</v>
      </c>
      <c r="AI24">
        <f t="shared" si="86"/>
        <v>1.5044517984643905E-2</v>
      </c>
      <c r="AJ24">
        <f t="shared" si="87"/>
        <v>0.80130154357848637</v>
      </c>
      <c r="AK24">
        <f t="shared" si="26"/>
        <v>0.68850927419248997</v>
      </c>
      <c r="AL24">
        <f t="shared" si="27"/>
        <v>0.59364364976539974</v>
      </c>
      <c r="AM24">
        <f t="shared" si="28"/>
        <v>6.5103732245499559</v>
      </c>
      <c r="AN24">
        <f t="shared" si="29"/>
        <v>-2.275203663292924E-2</v>
      </c>
      <c r="AO24">
        <f t="shared" si="30"/>
        <v>6.8732117062568898</v>
      </c>
      <c r="AP24">
        <f t="shared" si="31"/>
        <v>2.715832682126214</v>
      </c>
      <c r="AQ24">
        <f t="shared" si="32"/>
        <v>6.4193959655916508</v>
      </c>
      <c r="AR24">
        <f t="shared" si="33"/>
        <v>3.1226096129698075</v>
      </c>
      <c r="AS24">
        <f t="shared" si="34"/>
        <v>268.28365618330525</v>
      </c>
      <c r="AT24">
        <f t="shared" si="35"/>
        <v>63.480636272708274</v>
      </c>
      <c r="AU24">
        <f t="shared" si="36"/>
        <v>307.5567964408437</v>
      </c>
      <c r="AV24">
        <f t="shared" si="37"/>
        <v>165.13375442668689</v>
      </c>
      <c r="AW24">
        <f t="shared" si="38"/>
        <v>48.018866803968052</v>
      </c>
      <c r="AX24">
        <f t="shared" si="39"/>
        <v>12.136748289167258</v>
      </c>
      <c r="AY24">
        <f t="shared" si="40"/>
        <v>301.00143242006936</v>
      </c>
      <c r="AZ24">
        <f t="shared" si="41"/>
        <v>155.62237162887257</v>
      </c>
      <c r="BA24">
        <f t="shared" si="42"/>
        <v>48.081548053275434</v>
      </c>
      <c r="BB24">
        <f t="shared" si="43"/>
        <v>0</v>
      </c>
      <c r="BC24">
        <f t="shared" si="44"/>
        <v>33.695885234408514</v>
      </c>
      <c r="BD24">
        <f t="shared" si="45"/>
        <v>5.8834008550563588E-2</v>
      </c>
      <c r="BE24">
        <f t="shared" si="88"/>
        <v>1.5242269393758261E-2</v>
      </c>
      <c r="BF24">
        <f t="shared" si="89"/>
        <v>0.81438663615583473</v>
      </c>
      <c r="BG24">
        <f t="shared" si="46"/>
        <v>0.68826196873500711</v>
      </c>
      <c r="BH24">
        <f t="shared" si="47"/>
        <v>0.59343041906555305</v>
      </c>
      <c r="BI24">
        <f t="shared" si="48"/>
        <v>6.517393644793926</v>
      </c>
      <c r="BJ24">
        <f t="shared" si="49"/>
        <v>-2.3127773383491368E-2</v>
      </c>
      <c r="BK24">
        <f t="shared" si="50"/>
        <v>6.8707429192280065</v>
      </c>
      <c r="BL24">
        <f t="shared" si="51"/>
        <v>2.714857182929507</v>
      </c>
      <c r="BM24">
        <f t="shared" si="52"/>
        <v>6.4170901845142705</v>
      </c>
      <c r="BN24">
        <f t="shared" si="53"/>
        <v>3.1214880036788051</v>
      </c>
      <c r="BO24">
        <f t="shared" si="54"/>
        <v>268.38005554189471</v>
      </c>
      <c r="BP24">
        <f t="shared" si="55"/>
        <v>63.503446058092152</v>
      </c>
      <c r="BQ24">
        <f t="shared" si="56"/>
        <v>307.66730737665137</v>
      </c>
      <c r="BR24">
        <f t="shared" si="57"/>
        <v>161.01678934308876</v>
      </c>
      <c r="BS24">
        <f t="shared" si="58"/>
        <v>43.859820140713822</v>
      </c>
      <c r="BT24">
        <f t="shared" si="59"/>
        <v>12.357110959898925</v>
      </c>
      <c r="BU24">
        <f t="shared" si="60"/>
        <v>302.0886850024047</v>
      </c>
      <c r="BV24">
        <f t="shared" si="61"/>
        <v>156.22228819097512</v>
      </c>
      <c r="BW24">
        <f t="shared" si="62"/>
        <v>48.113225113670751</v>
      </c>
      <c r="BX24">
        <f t="shared" si="63"/>
        <v>0</v>
      </c>
      <c r="BY24">
        <f t="shared" si="64"/>
        <v>32.801974149316564</v>
      </c>
      <c r="BZ24">
        <f t="shared" si="65"/>
        <v>6.0437338038732184E-2</v>
      </c>
      <c r="CA24">
        <f t="shared" si="90"/>
        <v>1.5653790640659016E-2</v>
      </c>
      <c r="CB24">
        <f t="shared" si="91"/>
        <v>0.84202163440262201</v>
      </c>
      <c r="CC24">
        <f t="shared" si="66"/>
        <v>0.68774025653352366</v>
      </c>
      <c r="CD24">
        <f t="shared" si="67"/>
        <v>0.59298059050546714</v>
      </c>
      <c r="CE24">
        <f t="shared" si="68"/>
        <v>6.5322369686948649</v>
      </c>
      <c r="CF24">
        <f t="shared" si="69"/>
        <v>-2.3921752382348727E-2</v>
      </c>
      <c r="CG24">
        <f t="shared" si="70"/>
        <v>6.8655347999695717</v>
      </c>
      <c r="CH24">
        <f t="shared" si="71"/>
        <v>2.7127992832024268</v>
      </c>
      <c r="CI24">
        <f t="shared" si="72"/>
        <v>6.4122259403756123</v>
      </c>
      <c r="CJ24">
        <f t="shared" si="73"/>
        <v>3.1191218721005969</v>
      </c>
      <c r="CK24">
        <f t="shared" si="74"/>
        <v>268.583645702978</v>
      </c>
      <c r="CL24">
        <f t="shared" si="75"/>
        <v>63.551619074474459</v>
      </c>
      <c r="CM24">
        <f t="shared" si="76"/>
        <v>299.54176273486951</v>
      </c>
      <c r="CN24">
        <f t="shared" si="77"/>
        <v>156.95946606997484</v>
      </c>
      <c r="CO24">
        <f t="shared" si="78"/>
        <v>48.072560558528721</v>
      </c>
      <c r="CP24">
        <f t="shared" si="79"/>
        <v>12.824948965446401</v>
      </c>
      <c r="CQ24">
        <f t="shared" si="80"/>
        <v>304.39270079602403</v>
      </c>
      <c r="CR24">
        <f t="shared" si="81"/>
        <v>157.49461053684595</v>
      </c>
      <c r="CS24">
        <f t="shared" si="82"/>
        <v>48.178256073158153</v>
      </c>
      <c r="CT24">
        <f t="shared" si="83"/>
        <v>0</v>
      </c>
    </row>
    <row r="25" spans="1:101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0.18475088415451557</v>
      </c>
      <c r="F25">
        <f>Align!G25</f>
        <v>0.37990972573080195</v>
      </c>
      <c r="G25">
        <f t="shared" si="0"/>
        <v>7.0489620483868389</v>
      </c>
      <c r="H25">
        <f t="shared" si="1"/>
        <v>2.7780318245128113</v>
      </c>
      <c r="I25">
        <f t="shared" si="2"/>
        <v>6.5710105018208003</v>
      </c>
      <c r="J25">
        <f t="shared" si="3"/>
        <v>3.1954959764842168</v>
      </c>
      <c r="K25">
        <f t="shared" si="4"/>
        <v>32.888231257697939</v>
      </c>
      <c r="L25">
        <f t="shared" si="5"/>
        <v>6.0278826929495551E-2</v>
      </c>
      <c r="M25">
        <f t="shared" si="84"/>
        <v>1.0392286292903419E-2</v>
      </c>
      <c r="N25">
        <f t="shared" si="85"/>
        <v>0.85241392069552546</v>
      </c>
      <c r="O25">
        <f t="shared" si="6"/>
        <v>0.68754426850307326</v>
      </c>
      <c r="P25">
        <f t="shared" si="7"/>
        <v>0.59281160650762144</v>
      </c>
      <c r="Q25">
        <f t="shared" si="8"/>
        <v>6.5378247044538922</v>
      </c>
      <c r="R25">
        <f t="shared" si="9"/>
        <v>-2.4220488135481166E-2</v>
      </c>
      <c r="S25">
        <f t="shared" si="10"/>
        <v>6.8841952489546232</v>
      </c>
      <c r="T25">
        <f t="shared" si="11"/>
        <v>2.7130963901461915</v>
      </c>
      <c r="U25">
        <f t="shared" si="12"/>
        <v>6.4174156375005609</v>
      </c>
      <c r="V25">
        <f t="shared" si="13"/>
        <v>3.1208024767845948</v>
      </c>
      <c r="W25">
        <f t="shared" si="14"/>
        <v>269.24869577483963</v>
      </c>
      <c r="X25">
        <f t="shared" si="15"/>
        <v>63.674542877086076</v>
      </c>
      <c r="Y25">
        <f t="shared" si="16"/>
        <v>309.84153131601556</v>
      </c>
      <c r="Z25">
        <f t="shared" si="17"/>
        <v>152.7038345848205</v>
      </c>
      <c r="AA25">
        <f t="shared" si="18"/>
        <v>48.12422170971557</v>
      </c>
      <c r="AB25">
        <f t="shared" si="19"/>
        <v>13.001742480388684</v>
      </c>
      <c r="AC25">
        <f t="shared" si="20"/>
        <v>305.26188028619845</v>
      </c>
      <c r="AD25">
        <f t="shared" si="21"/>
        <v>157.9749512352025</v>
      </c>
      <c r="AE25">
        <f t="shared" si="22"/>
        <v>48.202049624001958</v>
      </c>
      <c r="AF25">
        <f t="shared" si="23"/>
        <v>0</v>
      </c>
      <c r="AG25">
        <f t="shared" si="24"/>
        <v>34.410450766814996</v>
      </c>
      <c r="AH25">
        <f t="shared" si="25"/>
        <v>5.7612264757422559E-2</v>
      </c>
      <c r="AI25">
        <f t="shared" si="86"/>
        <v>9.9583934185989466E-3</v>
      </c>
      <c r="AJ25">
        <f t="shared" si="87"/>
        <v>0.81125993699708532</v>
      </c>
      <c r="AK25">
        <f t="shared" si="26"/>
        <v>0.68832104652654014</v>
      </c>
      <c r="AL25">
        <f t="shared" si="27"/>
        <v>0.59348135687728676</v>
      </c>
      <c r="AM25">
        <f t="shared" si="28"/>
        <v>6.5157156479680749</v>
      </c>
      <c r="AN25">
        <f t="shared" si="29"/>
        <v>-2.3037978345501586E-2</v>
      </c>
      <c r="AO25">
        <f t="shared" si="30"/>
        <v>6.8919729177151901</v>
      </c>
      <c r="AP25">
        <f t="shared" si="31"/>
        <v>2.7161616089953009</v>
      </c>
      <c r="AQ25">
        <f t="shared" si="32"/>
        <v>6.4246659450996866</v>
      </c>
      <c r="AR25">
        <f t="shared" si="33"/>
        <v>3.1243283163422793</v>
      </c>
      <c r="AS25">
        <f t="shared" si="34"/>
        <v>268.94484560088318</v>
      </c>
      <c r="AT25">
        <f t="shared" si="35"/>
        <v>63.60268544106723</v>
      </c>
      <c r="AU25">
        <f t="shared" si="36"/>
        <v>309.4918716717288</v>
      </c>
      <c r="AV25">
        <f t="shared" si="37"/>
        <v>166.75372833412445</v>
      </c>
      <c r="AW25">
        <f t="shared" si="38"/>
        <v>48.069912985597369</v>
      </c>
      <c r="AX25">
        <f t="shared" si="39"/>
        <v>12.304387502494379</v>
      </c>
      <c r="AY25">
        <f t="shared" si="40"/>
        <v>301.82866905272448</v>
      </c>
      <c r="AZ25">
        <f t="shared" si="41"/>
        <v>156.07879009128646</v>
      </c>
      <c r="BA25">
        <f t="shared" si="42"/>
        <v>48.105707315631832</v>
      </c>
      <c r="BB25">
        <f t="shared" si="43"/>
        <v>0</v>
      </c>
      <c r="BC25">
        <f t="shared" si="44"/>
        <v>33.903044263775975</v>
      </c>
      <c r="BD25">
        <f t="shared" si="45"/>
        <v>5.8474512925029039E-2</v>
      </c>
      <c r="BE25">
        <f t="shared" si="88"/>
        <v>1.0098927016878255E-2</v>
      </c>
      <c r="BF25">
        <f t="shared" si="89"/>
        <v>0.82448556317271293</v>
      </c>
      <c r="BG25">
        <f t="shared" si="46"/>
        <v>0.68807122260543951</v>
      </c>
      <c r="BH25">
        <f t="shared" si="47"/>
        <v>0.59326595471804233</v>
      </c>
      <c r="BI25">
        <f t="shared" si="48"/>
        <v>6.5228153754205085</v>
      </c>
      <c r="BJ25">
        <f t="shared" si="49"/>
        <v>-2.34178550664218E-2</v>
      </c>
      <c r="BK25">
        <f t="shared" si="50"/>
        <v>6.8894714982001082</v>
      </c>
      <c r="BL25">
        <f t="shared" si="51"/>
        <v>2.715175786831463</v>
      </c>
      <c r="BM25">
        <f t="shared" si="52"/>
        <v>6.4223341331548598</v>
      </c>
      <c r="BN25">
        <f t="shared" si="53"/>
        <v>3.1231943513782072</v>
      </c>
      <c r="BO25">
        <f t="shared" si="54"/>
        <v>269.04249371299778</v>
      </c>
      <c r="BP25">
        <f t="shared" si="55"/>
        <v>63.62577821365732</v>
      </c>
      <c r="BQ25">
        <f t="shared" si="56"/>
        <v>309.60424154041334</v>
      </c>
      <c r="BR25">
        <f t="shared" si="57"/>
        <v>162.07181119939096</v>
      </c>
      <c r="BS25">
        <f t="shared" si="58"/>
        <v>43.344904299949548</v>
      </c>
      <c r="BT25">
        <f t="shared" si="59"/>
        <v>12.527692466108132</v>
      </c>
      <c r="BU25">
        <f t="shared" si="60"/>
        <v>302.92943600603803</v>
      </c>
      <c r="BV25">
        <f t="shared" si="61"/>
        <v>156.68640532742063</v>
      </c>
      <c r="BW25">
        <f t="shared" si="62"/>
        <v>48.137285248327615</v>
      </c>
      <c r="BX25">
        <f t="shared" si="63"/>
        <v>0</v>
      </c>
      <c r="BY25">
        <f t="shared" si="64"/>
        <v>32.888231257697939</v>
      </c>
      <c r="BZ25">
        <f t="shared" si="65"/>
        <v>6.0278826929495551E-2</v>
      </c>
      <c r="CA25">
        <f t="shared" si="90"/>
        <v>1.0392286292903419E-2</v>
      </c>
      <c r="CB25">
        <f t="shared" si="91"/>
        <v>0.85241392069552546</v>
      </c>
      <c r="CC25">
        <f t="shared" si="66"/>
        <v>0.68754426850307326</v>
      </c>
      <c r="CD25">
        <f t="shared" si="67"/>
        <v>0.59281160650762144</v>
      </c>
      <c r="CE25">
        <f t="shared" si="68"/>
        <v>6.5378247044538922</v>
      </c>
      <c r="CF25">
        <f t="shared" si="69"/>
        <v>-2.4220488135481166E-2</v>
      </c>
      <c r="CG25">
        <f t="shared" si="70"/>
        <v>6.8841952489546232</v>
      </c>
      <c r="CH25">
        <f t="shared" si="71"/>
        <v>2.7130963901461915</v>
      </c>
      <c r="CI25">
        <f t="shared" si="72"/>
        <v>6.4174156375005609</v>
      </c>
      <c r="CJ25">
        <f t="shared" si="73"/>
        <v>3.1208024767845948</v>
      </c>
      <c r="CK25">
        <f t="shared" si="74"/>
        <v>269.24869577483963</v>
      </c>
      <c r="CL25">
        <f t="shared" si="75"/>
        <v>63.674542877086076</v>
      </c>
      <c r="CM25">
        <f t="shared" si="76"/>
        <v>300.34933810958057</v>
      </c>
      <c r="CN25">
        <f t="shared" si="77"/>
        <v>157.44993118803797</v>
      </c>
      <c r="CO25">
        <f t="shared" si="78"/>
        <v>48.12422170971557</v>
      </c>
      <c r="CP25">
        <f t="shared" si="79"/>
        <v>13.001742480388684</v>
      </c>
      <c r="CQ25">
        <f t="shared" si="80"/>
        <v>305.26188028619845</v>
      </c>
      <c r="CR25">
        <f t="shared" si="81"/>
        <v>157.9749512352025</v>
      </c>
      <c r="CS25">
        <f t="shared" si="82"/>
        <v>48.202049624001958</v>
      </c>
      <c r="CT25">
        <f t="shared" si="8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30</vt:i4>
      </vt:variant>
    </vt:vector>
  </HeadingPairs>
  <TitlesOfParts>
    <vt:vector size="43" baseType="lpstr">
      <vt:lpstr>Summary</vt:lpstr>
      <vt:lpstr>Inputs</vt:lpstr>
      <vt:lpstr>Align</vt:lpstr>
      <vt:lpstr>FS_NoVs111</vt:lpstr>
      <vt:lpstr>FS_NoVp111</vt:lpstr>
      <vt:lpstr>FS_NoVs100</vt:lpstr>
      <vt:lpstr>FS_NoVp100</vt:lpstr>
      <vt:lpstr>Cook_NoVs111</vt:lpstr>
      <vt:lpstr>Cook_NoVp111</vt:lpstr>
      <vt:lpstr>Cook_NoVs100</vt:lpstr>
      <vt:lpstr>Cook_NoVp100</vt:lpstr>
      <vt:lpstr>Global_FS</vt:lpstr>
      <vt:lpstr>Global_Cook</vt:lpstr>
      <vt:lpstr>alpha_100</vt:lpstr>
      <vt:lpstr>alpha_111</vt:lpstr>
      <vt:lpstr>CutoffLowBar</vt:lpstr>
      <vt:lpstr>CutoffOilBar</vt:lpstr>
      <vt:lpstr>gamma_100</vt:lpstr>
      <vt:lpstr>gamma_111</vt:lpstr>
      <vt:lpstr>gC11_0</vt:lpstr>
      <vt:lpstr>gC11a</vt:lpstr>
      <vt:lpstr>gC11p</vt:lpstr>
      <vt:lpstr>gC12_0</vt:lpstr>
      <vt:lpstr>gC12a</vt:lpstr>
      <vt:lpstr>gC12p</vt:lpstr>
      <vt:lpstr>gC44_0</vt:lpstr>
      <vt:lpstr>gC44a</vt:lpstr>
      <vt:lpstr>gC44p</vt:lpstr>
      <vt:lpstr>gK0</vt:lpstr>
      <vt:lpstr>gK0p</vt:lpstr>
      <vt:lpstr>Lfin_100</vt:lpstr>
      <vt:lpstr>Lfin_111</vt:lpstr>
      <vt:lpstr>Linit_100</vt:lpstr>
      <vt:lpstr>Linit_111</vt:lpstr>
      <vt:lpstr>NormalizeFlag</vt:lpstr>
      <vt:lpstr>rho_100</vt:lpstr>
      <vt:lpstr>rho_111</vt:lpstr>
      <vt:lpstr>SBR0_100</vt:lpstr>
      <vt:lpstr>SBR0_111</vt:lpstr>
      <vt:lpstr>scal_100</vt:lpstr>
      <vt:lpstr>scal_111</vt:lpstr>
      <vt:lpstr>T_100</vt:lpstr>
      <vt:lpstr>T_111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Gulick, Brian W.</dc:creator>
  <cp:lastModifiedBy>Gulick, Brian W.</cp:lastModifiedBy>
  <dcterms:created xsi:type="dcterms:W3CDTF">2026-07-29T21:44:51Z</dcterms:created>
  <dcterms:modified xsi:type="dcterms:W3CDTF">2026-07-30T19:31:29Z</dcterms:modified>
</cp:coreProperties>
</file>